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aveExternalLinkValues="0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홍길둥-0000\Desktop\"/>
    </mc:Choice>
  </mc:AlternateContent>
  <bookViews>
    <workbookView xWindow="3930" yWindow="19095" windowWidth="23250" windowHeight="12450" tabRatio="852"/>
  </bookViews>
  <sheets>
    <sheet name="#1. 재무상태표" sheetId="67" r:id="rId1"/>
    <sheet name="#2. 손익계산서" sheetId="3" r:id="rId2"/>
    <sheet name="#3. 운영사업원가명세서" sheetId="6" r:id="rId3"/>
    <sheet name="#4. 수탁사업원가명세서" sheetId="7" r:id="rId4"/>
    <sheet name="#5. 영업비용명세서" sheetId="8" r:id="rId5"/>
    <sheet name="#6. 자본변동표" sheetId="151" r:id="rId6"/>
    <sheet name="#7. 현금흐름표" sheetId="152" r:id="rId7"/>
    <sheet name="#8. 합계잔액시산표." sheetId="15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123Graph_A" localSheetId="5" hidden="1">[1]시산표!#REF!</definedName>
    <definedName name="__123Graph_A" localSheetId="6" hidden="1">[1]시산표!#REF!</definedName>
    <definedName name="__123Graph_A" hidden="1">[1]시산표!#REF!</definedName>
    <definedName name="__123Graph_B" localSheetId="5" hidden="1">[1]시산표!#REF!</definedName>
    <definedName name="__123Graph_B" localSheetId="6" hidden="1">[1]시산표!#REF!</definedName>
    <definedName name="__123Graph_B" hidden="1">[1]시산표!#REF!</definedName>
    <definedName name="__123Graph_D" hidden="1">[2]지역개발!#REF!</definedName>
    <definedName name="__123Graph_LBL_A" localSheetId="5" hidden="1">[1]시산표!#REF!</definedName>
    <definedName name="__123Graph_LBL_A" localSheetId="6" hidden="1">[1]시산표!#REF!</definedName>
    <definedName name="__123Graph_LBL_A" hidden="1">[1]시산표!#REF!</definedName>
    <definedName name="__123Graph_LBL_B" localSheetId="5" hidden="1">[1]시산표!#REF!</definedName>
    <definedName name="__123Graph_LBL_B" localSheetId="6" hidden="1">[1]시산표!#REF!</definedName>
    <definedName name="__123Graph_LBL_B" hidden="1">[1]시산표!#REF!</definedName>
    <definedName name="__123Graph_LBL_E" hidden="1">[2]지역개발!#REF!</definedName>
    <definedName name="__123Graph_X" localSheetId="5" hidden="1">[1]시산표!#REF!</definedName>
    <definedName name="__123Graph_X" localSheetId="6" hidden="1">[1]시산표!#REF!</definedName>
    <definedName name="__123Graph_X" hidden="1">[1]시산표!#REF!</definedName>
    <definedName name="_Dist_Bin" hidden="1">#REF!</definedName>
    <definedName name="_Dist_Values" hidden="1">#REF!</definedName>
    <definedName name="_Fill" hidden="1">[3]시산표!$AB$496:$AB$560</definedName>
    <definedName name="_xlnm._FilterDatabase" localSheetId="7" hidden="1">'#8. 합계잔액시산표.'!$A$3:$H$241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Sort" hidden="1">#REF!</definedName>
    <definedName name="AccessDatabase" hidden="1">"C:\My Documents\2000년월차손익(상호연결)\재고자산평가결산용(2000년).mdb"</definedName>
    <definedName name="adsas" hidden="1">{#N/A,#N/A,FALSE,"Aging Summary";#N/A,#N/A,FALSE,"Ratio Analysis";#N/A,#N/A,FALSE,"Test 120 Day Accts";#N/A,#N/A,FALSE,"Tickmarks"}</definedName>
    <definedName name="aocnf" hidden="1">{#N/A,#N/A,FALSE,"채권채무";#N/A,#N/A,FALSE,"control sheet"}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ss" hidden="1">{#N/A,#N/A,FALSE,"채권채무";#N/A,#N/A,FALSE,"control sheet"}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G_Del" hidden="1">15</definedName>
    <definedName name="BG_Ins" hidden="1">4</definedName>
    <definedName name="BG_Mod" hidden="1">6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DF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dkdk" hidden="1">{"'미착금액'!$A$4:$G$14"}</definedName>
    <definedName name="FD" hidden="1">{#N/A,#N/A,FALSE,"Aging Summary";#N/A,#N/A,FALSE,"Ratio Analysis";#N/A,#N/A,FALSE,"Test 120 Day Accts";#N/A,#N/A,FALSE,"Tickmarks"}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f" hidden="1">{#N/A,#N/A,FALSE,"Aging Summary";#N/A,#N/A,FALSE,"Ratio Analysis";#N/A,#N/A,FALSE,"Test 120 Day Accts";#N/A,#N/A,FALSE,"Tickmarks"}</definedName>
    <definedName name="fila" hidden="1">{#N/A,#N/A,FALSE,"채권채무";#N/A,#N/A,FALSE,"control sheet"}</definedName>
    <definedName name="GHGHGH" hidden="1">{"'미착금액'!$A$4:$G$14"}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hhh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k" hidden="1">#REF!</definedName>
    <definedName name="LKJ" hidden="1">#REF!</definedName>
    <definedName name="QQQ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RKSK" localSheetId="5" hidden="1">[4]시산표!#REF!</definedName>
    <definedName name="RKSK" localSheetId="6" hidden="1">[4]시산표!#REF!</definedName>
    <definedName name="RKSK" hidden="1">[4]시산표!#REF!</definedName>
    <definedName name="SAPBEXrevision" hidden="1">6</definedName>
    <definedName name="SAPBEXsysID" hidden="1">"SBP"</definedName>
    <definedName name="SAPBEXwbID" hidden="1">"3MONAOKEVD0YVJ7BYB16D4KYJ"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fa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TEST" localSheetId="5" hidden="1">[5]시산표!#REF!</definedName>
    <definedName name="TEST" localSheetId="6" hidden="1">[5]시산표!#REF!</definedName>
    <definedName name="TEST" hidden="1">[5]시산표!#REF!</definedName>
    <definedName name="TextRefCopyRangeCount" hidden="1">6</definedName>
    <definedName name="TKTKTK" hidden="1">{"'미착금액'!$A$4:$G$14"}</definedName>
    <definedName name="WBS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nwn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P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98결산서." hidden="1">{#N/A,#N/A,TRUE,"대차대조"}</definedName>
    <definedName name="wrn.Aging._.and._.Trend._.Analysis." hidden="1">{#N/A,#N/A,FALSE,"Aging Summary";#N/A,#N/A,FALSE,"Ratio Analysis";#N/A,#N/A,FALSE,"Test 120 Day Accts";#N/A,#N/A,FALSE,"Tickmarks"}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급여인상안." hidden="1">{#N/A,#N/A,FALSE,"계약직(여)"}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채권채무조회서." hidden="1">{#N/A,#N/A,FALSE,"채권채무";#N/A,#N/A,FALSE,"control sheet"}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함영민." hidden="1">{#N/A,#N/A,FALSE,"범우구미";#N/A,#N/A,FALSE,"세한케미칼";#N/A,#N/A,FALSE,"세명화학";#N/A,#N/A,FALSE,"신영케미칼";#N/A,#N/A,FALSE,"일석상사"}</definedName>
    <definedName name="WWW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XREF_COLUMN_1" localSheetId="5" hidden="1">#REF!</definedName>
    <definedName name="XREF_COLUMN_1" localSheetId="6" hidden="1">#REF!</definedName>
    <definedName name="XREF_COLUMN_1" hidden="1">#REF!</definedName>
    <definedName name="XREF_COLUMN_2" localSheetId="5" hidden="1">[6]LS!#REF!</definedName>
    <definedName name="XREF_COLUMN_2" localSheetId="6" hidden="1">[6]LS!#REF!</definedName>
    <definedName name="XREF_COLUMN_2" hidden="1">[6]LS!#REF!</definedName>
    <definedName name="XRefActiveRow" localSheetId="5" hidden="1">#REF!</definedName>
    <definedName name="XRefActiveRow" localSheetId="6" hidden="1">#REF!</definedName>
    <definedName name="XRefActiveRow" hidden="1">#REF!</definedName>
    <definedName name="XRefColumnsCount" hidden="1">2</definedName>
    <definedName name="XRefCopy2" localSheetId="5" hidden="1">#REF!</definedName>
    <definedName name="XRefCopy2" localSheetId="6" hidden="1">#REF!</definedName>
    <definedName name="XRefCopy2" hidden="1">#REF!</definedName>
    <definedName name="XRefCopy2Row" localSheetId="5" hidden="1">#REF!</definedName>
    <definedName name="XRefCopy2Row" localSheetId="6" hidden="1">#REF!</definedName>
    <definedName name="XRefCopy2Row" hidden="1">#REF!</definedName>
    <definedName name="XRefCopy3" localSheetId="5" hidden="1">#REF!</definedName>
    <definedName name="XRefCopy3" localSheetId="6" hidden="1">#REF!</definedName>
    <definedName name="XRefCopy3" hidden="1">#REF!</definedName>
    <definedName name="XRefCopy3Row" localSheetId="5" hidden="1">#REF!</definedName>
    <definedName name="XRefCopy3Row" localSheetId="6" hidden="1">#REF!</definedName>
    <definedName name="XRefCopy3Row" hidden="1">#REF!</definedName>
    <definedName name="XRefCopyRangeCount" hidden="1">3</definedName>
    <definedName name="XRefPaste1Row" localSheetId="5" hidden="1">#REF!</definedName>
    <definedName name="XRefPaste1Row" localSheetId="6" hidden="1">#REF!</definedName>
    <definedName name="XRefPaste1Row" hidden="1">#REF!</definedName>
    <definedName name="XRefPaste2Row" localSheetId="5" hidden="1">#REF!</definedName>
    <definedName name="XRefPaste2Row" localSheetId="6" hidden="1">#REF!</definedName>
    <definedName name="XRefPaste2Row" hidden="1">#REF!</definedName>
    <definedName name="XRefPasteRangeCount" hidden="1">2</definedName>
    <definedName name="Z_B2172A22_A087_11D6_A4E5_008013D50C77_.wvu.PrintArea" hidden="1">#REF!</definedName>
    <definedName name="가기긱" hidden="1">{"'미착금액'!$A$4:$G$14"}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결손금" hidden="1">{#N/A,#N/A,FALSE,"Aging Summary";#N/A,#N/A,FALSE,"Ratio Analysis";#N/A,#N/A,FALSE,"Test 120 Day Accts";#N/A,#N/A,FALSE,"Tickmarks"}</definedName>
    <definedName name="계약" hidden="1">{#N/A,#N/A,FALSE,"계약직(여)"}</definedName>
    <definedName name="고정비비교자세히" hidden="1">#REF!</definedName>
    <definedName name="그리일" hidden="1">#REF!</definedName>
    <definedName name="급여인상안" hidden="1">{#N/A,#N/A,FALSE,"계약직(여)"}</definedName>
    <definedName name="ㄴㄹㅇㄹㅇㄴ" hidden="1">{#N/A,#N/A,FALSE,"Aging Summary";#N/A,#N/A,FALSE,"Ratio Analysis";#N/A,#N/A,FALSE,"Test 120 Day Accts";#N/A,#N/A,FALSE,"Tickmarks"}</definedName>
    <definedName name="ㄴ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라" hidden="1">{#N/A,#N/A,FALSE,"계약직(여)"}</definedName>
    <definedName name="나나나" hidden="1">{"'미착금액'!$A$4:$G$14"}</definedName>
    <definedName name="ㄷ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단기차입금상세" hidden="1">{#N/A,#N/A,FALSE,"Aging Summary";#N/A,#N/A,FALSE,"Ratio Analysis";#N/A,#N/A,FALSE,"Test 120 Day Accts";#N/A,#N/A,FALSE,"Tickmarks"}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ㄺ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ㅂㅂ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바보" hidden="1">{#N/A,#N/A,FALSE,"Aging Summary";#N/A,#N/A,FALSE,"Ratio Analysis";#N/A,#N/A,FALSE,"Test 120 Day Accts";#N/A,#N/A,FALSE,"Tickmarks"}</definedName>
    <definedName name="배관명세" hidden="1">[7]발생집계!$A$4</definedName>
    <definedName name="배배배" hidden="1">{"'미착금액'!$A$4:$G$14"}</definedName>
    <definedName name="부속" hidden="1">[8]수정시산표!#REF!</definedName>
    <definedName name="분개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비비비" hidden="1">[9]수정시산표!#REF!</definedName>
    <definedName name="비율2" hidden="1">[9]수정시산표!#REF!</definedName>
    <definedName name="새새샛" hidden="1">{"'미착금액'!$A$4:$G$14"}</definedName>
    <definedName name="손익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논" hidden="1">{#N/A,#N/A,FALSE,"채권채무";#N/A,#N/A,FALSE,"control sheet"}</definedName>
    <definedName name="아아아" hidden="1">{"'미착금액'!$A$4:$G$14"}</definedName>
    <definedName name="영성기업" hidden="1">{#N/A,#N/A,FALSE,"범우구미";#N/A,#N/A,FALSE,"세한케미칼";#N/A,#N/A,FALSE,"세명화학";#N/A,#N/A,FALSE,"신영케미칼";#N/A,#N/A,FALSE,"일석상사"}</definedName>
    <definedName name="원가" hidden="1">{#N/A,#N/A,FALSE,"채권채무";#N/A,#N/A,FALSE,"control sheet"}</definedName>
    <definedName name="유가증권" hidden="1">{#N/A,#N/A,FALSE,"Aging Summary";#N/A,#N/A,FALSE,"Ratio Analysis";#N/A,#N/A,FALSE,"Test 120 Day Accts";#N/A,#N/A,FALSE,"Tickmarks"}</definedName>
    <definedName name="유가증권평가" hidden="1">[10]지역개발!#REF!</definedName>
    <definedName name="유동부채참조" hidden="1">{#N/A,#N/A,FALSE,"채권채무";#N/A,#N/A,FALSE,"control sheet"}</definedName>
    <definedName name="인원충원사유" hidden="1">{#N/A,#N/A,FALSE,"계약직(여)"}</definedName>
    <definedName name="ㅈㅈ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자본금" hidden="1">{#N/A,#N/A,FALSE,"Aging Summary";#N/A,#N/A,FALSE,"Ratio Analysis";#N/A,#N/A,FALSE,"Test 120 Day Accts";#N/A,#N/A,FALSE,"Tickmarks"}</definedName>
    <definedName name="자본반기" localSheetId="5" hidden="1">[11]시산표!#REF!</definedName>
    <definedName name="자본반기" localSheetId="6" hidden="1">[11]시산표!#REF!</definedName>
    <definedName name="자본반기" hidden="1">[11]시산표!#REF!</definedName>
    <definedName name="잔액" hidden="1">#REF!</definedName>
    <definedName name="재재재" hidden="1">{"'미착금액'!$A$4:$G$14"}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조회" hidden="1">{#N/A,#N/A,FALSE,"채권채무";#N/A,#N/A,FALSE,"control sheet"}</definedName>
    <definedName name="조회서" hidden="1">{#N/A,#N/A,FALSE,"채권채무";#N/A,#N/A,FALSE,"control sheet"}</definedName>
    <definedName name="지지지" hidden="1">{"'미착금액'!$A$4:$G$14"}</definedName>
    <definedName name="ㅊ" hidden="1">{#N/A,#N/A,FALSE,"Aging Summary";#N/A,#N/A,FALSE,"Ratio Analysis";#N/A,#N/A,FALSE,"Test 120 Day Accts";#N/A,#N/A,FALSE,"Tickmarks"}</definedName>
    <definedName name="채권재" hidden="1">{#N/A,#N/A,FALSE,"채권채무";#N/A,#N/A,FALSE,"control sheet"}</definedName>
    <definedName name="초임금비교" hidden="1">{#N/A,#N/A,FALSE,"계약직(여)"}</definedName>
    <definedName name="초임급" hidden="1">{#N/A,#N/A,FALSE,"계약직(여)"}</definedName>
    <definedName name="ㅋㅋㅋㅋ" hidden="1">{#N/A,#N/A,FALSE,"Aging Summary";#N/A,#N/A,FALSE,"Ratio Analysis";#N/A,#N/A,FALSE,"Test 120 Day Accts";#N/A,#N/A,FALSE,"Tickmarks"}</definedName>
    <definedName name="포공화학" hidden="1">{#N/A,#N/A,FALSE,"범우구미";#N/A,#N/A,FALSE,"세한케미칼";#N/A,#N/A,FALSE,"세명화학";#N/A,#N/A,FALSE,"신영케미칼";#N/A,#N/A,FALSE,"일석상사"}</definedName>
    <definedName name="ㅎㅇ" hidden="1">{#N/A,#N/A,FALSE,"Aging Summary";#N/A,#N/A,FALSE,"Ratio Analysis";#N/A,#N/A,FALSE,"Test 120 Day Accts";#N/A,#N/A,FALSE,"Tickmarks"}</definedName>
    <definedName name="ㅎㅎ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한원양행" hidden="1">{#N/A,#N/A,FALSE,"범우구미";#N/A,#N/A,FALSE,"세한케미칼";#N/A,#N/A,FALSE,"세명화학";#N/A,#N/A,FALSE,"신영케미칼";#N/A,#N/A,FALSE,"일석상사"}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정산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후후후" hidden="1">{"'미착금액'!$A$4:$G$14"}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ㅣㅣㅣ" hidden="1">#REF!</definedName>
  </definedNames>
  <calcPr calcId="162913"/>
</workbook>
</file>

<file path=xl/calcChain.xml><?xml version="1.0" encoding="utf-8"?>
<calcChain xmlns="http://schemas.openxmlformats.org/spreadsheetml/2006/main">
  <c r="L8" i="67" l="1"/>
  <c r="M8" i="67"/>
  <c r="Q8" i="67" s="1"/>
  <c r="O8" i="67"/>
  <c r="L9" i="67"/>
  <c r="P9" i="67" s="1"/>
  <c r="M9" i="67"/>
  <c r="N9" i="67"/>
  <c r="O9" i="67"/>
  <c r="Q9" i="67" s="1"/>
  <c r="L10" i="67"/>
  <c r="M10" i="67"/>
  <c r="N10" i="67"/>
  <c r="O10" i="67"/>
  <c r="Q10" i="67" s="1"/>
  <c r="L11" i="67"/>
  <c r="P11" i="67" s="1"/>
  <c r="M11" i="67"/>
  <c r="N11" i="67"/>
  <c r="O11" i="67"/>
  <c r="Q11" i="67" s="1"/>
  <c r="L12" i="67"/>
  <c r="P12" i="67" s="1"/>
  <c r="M12" i="67"/>
  <c r="N12" i="67"/>
  <c r="O12" i="67"/>
  <c r="Q12" i="67" s="1"/>
  <c r="L13" i="67"/>
  <c r="M13" i="67"/>
  <c r="N13" i="67"/>
  <c r="O13" i="67"/>
  <c r="Q13" i="67" s="1"/>
  <c r="L14" i="67"/>
  <c r="P14" i="67" s="1"/>
  <c r="M14" i="67"/>
  <c r="N14" i="67"/>
  <c r="O14" i="67"/>
  <c r="Q14" i="67" s="1"/>
  <c r="L15" i="67"/>
  <c r="P15" i="67" s="1"/>
  <c r="M15" i="67"/>
  <c r="N15" i="67"/>
  <c r="O15" i="67"/>
  <c r="Q15" i="67" s="1"/>
  <c r="L16" i="67"/>
  <c r="M16" i="67"/>
  <c r="N16" i="67"/>
  <c r="O16" i="67"/>
  <c r="Q16" i="67" s="1"/>
  <c r="L17" i="67"/>
  <c r="P17" i="67" s="1"/>
  <c r="M17" i="67"/>
  <c r="N17" i="67"/>
  <c r="O17" i="67"/>
  <c r="Q17" i="67" s="1"/>
  <c r="L18" i="67"/>
  <c r="P18" i="67" s="1"/>
  <c r="M18" i="67"/>
  <c r="N18" i="67"/>
  <c r="O18" i="67"/>
  <c r="Q18" i="67" s="1"/>
  <c r="L19" i="67"/>
  <c r="M19" i="67"/>
  <c r="N19" i="67"/>
  <c r="O19" i="67"/>
  <c r="Q19" i="67" s="1"/>
  <c r="L20" i="67"/>
  <c r="P20" i="67" s="1"/>
  <c r="M20" i="67"/>
  <c r="N20" i="67"/>
  <c r="O20" i="67"/>
  <c r="Q20" i="67" s="1"/>
  <c r="L21" i="67"/>
  <c r="P21" i="67" s="1"/>
  <c r="M21" i="67"/>
  <c r="N21" i="67"/>
  <c r="O21" i="67"/>
  <c r="Q21" i="67" s="1"/>
  <c r="L22" i="67"/>
  <c r="M22" i="67"/>
  <c r="N22" i="67"/>
  <c r="O22" i="67"/>
  <c r="Q22" i="67" s="1"/>
  <c r="L23" i="67"/>
  <c r="P23" i="67" s="1"/>
  <c r="M23" i="67"/>
  <c r="N23" i="67"/>
  <c r="O23" i="67"/>
  <c r="Q23" i="67" s="1"/>
  <c r="L24" i="67"/>
  <c r="P24" i="67" s="1"/>
  <c r="M24" i="67"/>
  <c r="N24" i="67"/>
  <c r="O24" i="67"/>
  <c r="Q24" i="67" s="1"/>
  <c r="L25" i="67"/>
  <c r="M25" i="67"/>
  <c r="N25" i="67"/>
  <c r="O25" i="67"/>
  <c r="Q25" i="67" s="1"/>
  <c r="L26" i="67"/>
  <c r="P26" i="67" s="1"/>
  <c r="M26" i="67"/>
  <c r="N26" i="67"/>
  <c r="O26" i="67"/>
  <c r="Q26" i="67" s="1"/>
  <c r="L27" i="67"/>
  <c r="P27" i="67" s="1"/>
  <c r="M27" i="67"/>
  <c r="N27" i="67"/>
  <c r="O27" i="67"/>
  <c r="Q27" i="67" s="1"/>
  <c r="L28" i="67"/>
  <c r="M28" i="67"/>
  <c r="N28" i="67"/>
  <c r="O28" i="67"/>
  <c r="Q28" i="67" s="1"/>
  <c r="L29" i="67"/>
  <c r="P29" i="67" s="1"/>
  <c r="M29" i="67"/>
  <c r="N29" i="67"/>
  <c r="O29" i="67"/>
  <c r="Q29" i="67" s="1"/>
  <c r="L30" i="67"/>
  <c r="P30" i="67" s="1"/>
  <c r="M30" i="67"/>
  <c r="N30" i="67"/>
  <c r="O30" i="67"/>
  <c r="Q30" i="67" s="1"/>
  <c r="L31" i="67"/>
  <c r="M31" i="67"/>
  <c r="N31" i="67"/>
  <c r="O31" i="67"/>
  <c r="Q31" i="67" s="1"/>
  <c r="L32" i="67"/>
  <c r="P32" i="67" s="1"/>
  <c r="M32" i="67"/>
  <c r="N32" i="67"/>
  <c r="O32" i="67"/>
  <c r="Q32" i="67" s="1"/>
  <c r="L33" i="67"/>
  <c r="P33" i="67" s="1"/>
  <c r="M33" i="67"/>
  <c r="N33" i="67"/>
  <c r="O33" i="67"/>
  <c r="Q33" i="67" s="1"/>
  <c r="L34" i="67"/>
  <c r="M34" i="67"/>
  <c r="N34" i="67"/>
  <c r="O34" i="67"/>
  <c r="Q34" i="67" s="1"/>
  <c r="L35" i="67"/>
  <c r="P35" i="67" s="1"/>
  <c r="M35" i="67"/>
  <c r="N35" i="67"/>
  <c r="O35" i="67"/>
  <c r="Q35" i="67" s="1"/>
  <c r="L36" i="67"/>
  <c r="P36" i="67" s="1"/>
  <c r="M36" i="67"/>
  <c r="N36" i="67"/>
  <c r="O36" i="67"/>
  <c r="Q36" i="67" s="1"/>
  <c r="L37" i="67"/>
  <c r="M37" i="67"/>
  <c r="N37" i="67"/>
  <c r="O37" i="67"/>
  <c r="Q37" i="67" s="1"/>
  <c r="L38" i="67"/>
  <c r="P38" i="67" s="1"/>
  <c r="M38" i="67"/>
  <c r="N38" i="67"/>
  <c r="O38" i="67"/>
  <c r="Q38" i="67" s="1"/>
  <c r="L39" i="67"/>
  <c r="P39" i="67" s="1"/>
  <c r="M39" i="67"/>
  <c r="N39" i="67"/>
  <c r="O39" i="67"/>
  <c r="Q39" i="67" s="1"/>
  <c r="L40" i="67"/>
  <c r="M40" i="67"/>
  <c r="N40" i="67"/>
  <c r="O40" i="67"/>
  <c r="Q40" i="67" s="1"/>
  <c r="L41" i="67"/>
  <c r="P41" i="67" s="1"/>
  <c r="M41" i="67"/>
  <c r="N41" i="67"/>
  <c r="O41" i="67"/>
  <c r="Q41" i="67" s="1"/>
  <c r="L43" i="67"/>
  <c r="P43" i="67" s="1"/>
  <c r="M43" i="67"/>
  <c r="N43" i="67"/>
  <c r="O43" i="67"/>
  <c r="Q43" i="67" s="1"/>
  <c r="L44" i="67"/>
  <c r="M44" i="67"/>
  <c r="N44" i="67"/>
  <c r="O44" i="67"/>
  <c r="Q44" i="67" s="1"/>
  <c r="L45" i="67"/>
  <c r="P45" i="67" s="1"/>
  <c r="M45" i="67"/>
  <c r="N45" i="67"/>
  <c r="O45" i="67"/>
  <c r="Q45" i="67" s="1"/>
  <c r="L46" i="67"/>
  <c r="P46" i="67" s="1"/>
  <c r="M46" i="67"/>
  <c r="N46" i="67"/>
  <c r="O46" i="67"/>
  <c r="Q46" i="67" s="1"/>
  <c r="L47" i="67"/>
  <c r="M47" i="67"/>
  <c r="N47" i="67"/>
  <c r="O47" i="67"/>
  <c r="Q47" i="67" s="1"/>
  <c r="L48" i="67"/>
  <c r="P48" i="67" s="1"/>
  <c r="M48" i="67"/>
  <c r="N48" i="67"/>
  <c r="O48" i="67"/>
  <c r="Q48" i="67" s="1"/>
  <c r="L49" i="67"/>
  <c r="P49" i="67" s="1"/>
  <c r="M49" i="67"/>
  <c r="N49" i="67"/>
  <c r="O49" i="67"/>
  <c r="Q49" i="67" s="1"/>
  <c r="N50" i="67"/>
  <c r="L51" i="67"/>
  <c r="M51" i="67"/>
  <c r="N51" i="67"/>
  <c r="P51" i="67" s="1"/>
  <c r="O51" i="67"/>
  <c r="Q51" i="67"/>
  <c r="L52" i="67"/>
  <c r="M52" i="67"/>
  <c r="Q52" i="67" s="1"/>
  <c r="N52" i="67"/>
  <c r="P52" i="67" s="1"/>
  <c r="O52" i="67"/>
  <c r="L53" i="67"/>
  <c r="M53" i="67"/>
  <c r="N53" i="67"/>
  <c r="P53" i="67" s="1"/>
  <c r="O53" i="67"/>
  <c r="Q53" i="67"/>
  <c r="L54" i="67"/>
  <c r="M54" i="67"/>
  <c r="Q54" i="67" s="1"/>
  <c r="N54" i="67"/>
  <c r="P54" i="67" s="1"/>
  <c r="O54" i="67"/>
  <c r="L55" i="67"/>
  <c r="M55" i="67"/>
  <c r="N55" i="67"/>
  <c r="P55" i="67" s="1"/>
  <c r="O55" i="67"/>
  <c r="Q55" i="67"/>
  <c r="L56" i="67"/>
  <c r="M56" i="67"/>
  <c r="N56" i="67"/>
  <c r="P56" i="67" s="1"/>
  <c r="O56" i="67"/>
  <c r="Q56" i="67"/>
  <c r="L57" i="67"/>
  <c r="M57" i="67"/>
  <c r="N57" i="67"/>
  <c r="P57" i="67" s="1"/>
  <c r="O57" i="67"/>
  <c r="Q57" i="67"/>
  <c r="L58" i="67"/>
  <c r="M58" i="67"/>
  <c r="N58" i="67"/>
  <c r="P58" i="67" s="1"/>
  <c r="O58" i="67"/>
  <c r="Q58" i="67"/>
  <c r="L59" i="67"/>
  <c r="M59" i="67"/>
  <c r="N59" i="67"/>
  <c r="P59" i="67" s="1"/>
  <c r="O59" i="67"/>
  <c r="Q59" i="67"/>
  <c r="L60" i="67"/>
  <c r="M60" i="67"/>
  <c r="N60" i="67"/>
  <c r="P60" i="67" s="1"/>
  <c r="O60" i="67"/>
  <c r="Q60" i="67"/>
  <c r="L61" i="67"/>
  <c r="M61" i="67"/>
  <c r="N61" i="67"/>
  <c r="P61" i="67" s="1"/>
  <c r="O61" i="67"/>
  <c r="Q61" i="67"/>
  <c r="L62" i="67"/>
  <c r="M62" i="67"/>
  <c r="N62" i="67"/>
  <c r="P62" i="67" s="1"/>
  <c r="O62" i="67"/>
  <c r="Q62" i="67"/>
  <c r="L63" i="67"/>
  <c r="M63" i="67"/>
  <c r="N63" i="67"/>
  <c r="P63" i="67" s="1"/>
  <c r="O63" i="67"/>
  <c r="Q63" i="67"/>
  <c r="L64" i="67"/>
  <c r="M64" i="67"/>
  <c r="N64" i="67"/>
  <c r="P64" i="67" s="1"/>
  <c r="O64" i="67"/>
  <c r="Q64" i="67"/>
  <c r="L65" i="67"/>
  <c r="M65" i="67"/>
  <c r="N65" i="67"/>
  <c r="P65" i="67" s="1"/>
  <c r="O65" i="67"/>
  <c r="Q65" i="67"/>
  <c r="L66" i="67"/>
  <c r="M66" i="67"/>
  <c r="N66" i="67"/>
  <c r="P66" i="67" s="1"/>
  <c r="O66" i="67"/>
  <c r="Q66" i="67"/>
  <c r="L67" i="67"/>
  <c r="M67" i="67"/>
  <c r="N67" i="67"/>
  <c r="P67" i="67" s="1"/>
  <c r="O67" i="67"/>
  <c r="Q67" i="67"/>
  <c r="L68" i="67"/>
  <c r="M68" i="67"/>
  <c r="N68" i="67"/>
  <c r="P68" i="67" s="1"/>
  <c r="O68" i="67"/>
  <c r="Q68" i="67"/>
  <c r="L69" i="67"/>
  <c r="M69" i="67"/>
  <c r="N69" i="67"/>
  <c r="P69" i="67" s="1"/>
  <c r="O69" i="67"/>
  <c r="Q69" i="67"/>
  <c r="L70" i="67"/>
  <c r="M70" i="67"/>
  <c r="N70" i="67"/>
  <c r="P70" i="67" s="1"/>
  <c r="O70" i="67"/>
  <c r="Q70" i="67"/>
  <c r="L71" i="67"/>
  <c r="M71" i="67"/>
  <c r="N71" i="67"/>
  <c r="P71" i="67" s="1"/>
  <c r="O71" i="67"/>
  <c r="Q71" i="67"/>
  <c r="L72" i="67"/>
  <c r="M72" i="67"/>
  <c r="N72" i="67"/>
  <c r="P72" i="67" s="1"/>
  <c r="O72" i="67"/>
  <c r="Q72" i="67"/>
  <c r="L73" i="67"/>
  <c r="M73" i="67"/>
  <c r="N73" i="67"/>
  <c r="P73" i="67" s="1"/>
  <c r="O73" i="67"/>
  <c r="Q73" i="67"/>
  <c r="L74" i="67"/>
  <c r="M74" i="67"/>
  <c r="N74" i="67"/>
  <c r="P74" i="67" s="1"/>
  <c r="O74" i="67"/>
  <c r="Q74" i="67"/>
  <c r="L75" i="67"/>
  <c r="M75" i="67"/>
  <c r="N75" i="67"/>
  <c r="P75" i="67" s="1"/>
  <c r="O75" i="67"/>
  <c r="Q75" i="67"/>
  <c r="L76" i="67"/>
  <c r="M76" i="67"/>
  <c r="N76" i="67"/>
  <c r="P76" i="67" s="1"/>
  <c r="O76" i="67"/>
  <c r="Q76" i="67"/>
  <c r="L77" i="67"/>
  <c r="M77" i="67"/>
  <c r="N77" i="67"/>
  <c r="P77" i="67" s="1"/>
  <c r="O77" i="67"/>
  <c r="Q77" i="67"/>
  <c r="L78" i="67"/>
  <c r="M78" i="67"/>
  <c r="N78" i="67"/>
  <c r="P78" i="67" s="1"/>
  <c r="O78" i="67"/>
  <c r="Q78" i="67"/>
  <c r="L79" i="67"/>
  <c r="M79" i="67"/>
  <c r="N79" i="67"/>
  <c r="P79" i="67" s="1"/>
  <c r="O79" i="67"/>
  <c r="Q79" i="67"/>
  <c r="L80" i="67"/>
  <c r="M80" i="67"/>
  <c r="N80" i="67"/>
  <c r="P80" i="67" s="1"/>
  <c r="O80" i="67"/>
  <c r="Q80" i="67"/>
  <c r="L81" i="67"/>
  <c r="M81" i="67"/>
  <c r="N81" i="67"/>
  <c r="P81" i="67" s="1"/>
  <c r="O81" i="67"/>
  <c r="Q81" i="67"/>
  <c r="L82" i="67"/>
  <c r="M82" i="67"/>
  <c r="N82" i="67"/>
  <c r="P82" i="67" s="1"/>
  <c r="O82" i="67"/>
  <c r="Q82" i="67"/>
  <c r="L83" i="67"/>
  <c r="M83" i="67"/>
  <c r="N83" i="67"/>
  <c r="P83" i="67" s="1"/>
  <c r="O83" i="67"/>
  <c r="Q83" i="67"/>
  <c r="L84" i="67"/>
  <c r="M84" i="67"/>
  <c r="N84" i="67"/>
  <c r="P84" i="67" s="1"/>
  <c r="O84" i="67"/>
  <c r="Q84" i="67"/>
  <c r="L85" i="67"/>
  <c r="M85" i="67"/>
  <c r="N85" i="67"/>
  <c r="P85" i="67" s="1"/>
  <c r="O85" i="67"/>
  <c r="Q85" i="67"/>
  <c r="L86" i="67"/>
  <c r="M86" i="67"/>
  <c r="N86" i="67"/>
  <c r="P86" i="67" s="1"/>
  <c r="O86" i="67"/>
  <c r="Q86" i="67"/>
  <c r="L87" i="67"/>
  <c r="M87" i="67"/>
  <c r="N87" i="67"/>
  <c r="P87" i="67" s="1"/>
  <c r="O87" i="67"/>
  <c r="Q87" i="67"/>
  <c r="L88" i="67"/>
  <c r="M88" i="67"/>
  <c r="N88" i="67"/>
  <c r="P88" i="67" s="1"/>
  <c r="O88" i="67"/>
  <c r="Q88" i="67"/>
  <c r="L89" i="67"/>
  <c r="M89" i="67"/>
  <c r="N89" i="67"/>
  <c r="P89" i="67" s="1"/>
  <c r="O89" i="67"/>
  <c r="Q89" i="67"/>
  <c r="L90" i="67"/>
  <c r="M90" i="67"/>
  <c r="N90" i="67"/>
  <c r="P90" i="67" s="1"/>
  <c r="O90" i="67"/>
  <c r="Q90" i="67"/>
  <c r="L91" i="67"/>
  <c r="M91" i="67"/>
  <c r="N91" i="67"/>
  <c r="P91" i="67" s="1"/>
  <c r="O91" i="67"/>
  <c r="Q91" i="67"/>
  <c r="L92" i="67"/>
  <c r="M92" i="67"/>
  <c r="N92" i="67"/>
  <c r="P92" i="67" s="1"/>
  <c r="O92" i="67"/>
  <c r="Q92" i="67"/>
  <c r="L93" i="67"/>
  <c r="M93" i="67"/>
  <c r="N93" i="67"/>
  <c r="P93" i="67" s="1"/>
  <c r="O93" i="67"/>
  <c r="Q93" i="67"/>
  <c r="L94" i="67"/>
  <c r="M94" i="67"/>
  <c r="N94" i="67"/>
  <c r="P94" i="67" s="1"/>
  <c r="O94" i="67"/>
  <c r="Q94" i="67"/>
  <c r="L95" i="67"/>
  <c r="M95" i="67"/>
  <c r="N95" i="67"/>
  <c r="P95" i="67" s="1"/>
  <c r="O95" i="67"/>
  <c r="Q95" i="67"/>
  <c r="L96" i="67"/>
  <c r="M96" i="67"/>
  <c r="N96" i="67"/>
  <c r="P96" i="67" s="1"/>
  <c r="O96" i="67"/>
  <c r="Q96" i="67"/>
  <c r="L97" i="67"/>
  <c r="M97" i="67"/>
  <c r="N97" i="67"/>
  <c r="P97" i="67" s="1"/>
  <c r="O97" i="67"/>
  <c r="Q97" i="67"/>
  <c r="L98" i="67"/>
  <c r="M98" i="67"/>
  <c r="N98" i="67"/>
  <c r="P98" i="67" s="1"/>
  <c r="O98" i="67"/>
  <c r="Q98" i="67"/>
  <c r="L99" i="67"/>
  <c r="M99" i="67"/>
  <c r="N99" i="67"/>
  <c r="P99" i="67" s="1"/>
  <c r="O99" i="67"/>
  <c r="Q99" i="67"/>
  <c r="L100" i="67"/>
  <c r="M100" i="67"/>
  <c r="N100" i="67"/>
  <c r="P100" i="67" s="1"/>
  <c r="O100" i="67"/>
  <c r="Q100" i="67"/>
  <c r="L101" i="67"/>
  <c r="M101" i="67"/>
  <c r="N101" i="67"/>
  <c r="P101" i="67" s="1"/>
  <c r="O101" i="67"/>
  <c r="Q101" i="67"/>
  <c r="L102" i="67"/>
  <c r="M102" i="67"/>
  <c r="N102" i="67"/>
  <c r="P102" i="67" s="1"/>
  <c r="O102" i="67"/>
  <c r="Q102" i="67"/>
  <c r="L103" i="67"/>
  <c r="M103" i="67"/>
  <c r="N103" i="67"/>
  <c r="P103" i="67" s="1"/>
  <c r="O103" i="67"/>
  <c r="Q103" i="67"/>
  <c r="L104" i="67"/>
  <c r="M104" i="67"/>
  <c r="N104" i="67"/>
  <c r="P104" i="67" s="1"/>
  <c r="O104" i="67"/>
  <c r="Q104" i="67"/>
  <c r="L105" i="67"/>
  <c r="P105" i="67" s="1"/>
  <c r="M105" i="67"/>
  <c r="N105" i="67"/>
  <c r="O105" i="67"/>
  <c r="Q105" i="67"/>
  <c r="L106" i="67"/>
  <c r="P106" i="67" s="1"/>
  <c r="M106" i="67"/>
  <c r="N106" i="67"/>
  <c r="O106" i="67"/>
  <c r="Q106" i="67"/>
  <c r="L107" i="67"/>
  <c r="P107" i="67" s="1"/>
  <c r="M107" i="67"/>
  <c r="N107" i="67"/>
  <c r="O107" i="67"/>
  <c r="Q107" i="67"/>
  <c r="L108" i="67"/>
  <c r="P108" i="67" s="1"/>
  <c r="M108" i="67"/>
  <c r="N108" i="67"/>
  <c r="O108" i="67"/>
  <c r="Q108" i="67"/>
  <c r="L109" i="67"/>
  <c r="P109" i="67" s="1"/>
  <c r="M109" i="67"/>
  <c r="N109" i="67"/>
  <c r="O109" i="67"/>
  <c r="Q109" i="67"/>
  <c r="L110" i="67"/>
  <c r="P110" i="67" s="1"/>
  <c r="M110" i="67"/>
  <c r="N110" i="67"/>
  <c r="O110" i="67"/>
  <c r="Q110" i="67"/>
  <c r="L111" i="67"/>
  <c r="P111" i="67" s="1"/>
  <c r="M111" i="67"/>
  <c r="N111" i="67"/>
  <c r="O111" i="67"/>
  <c r="Q111" i="67"/>
  <c r="L112" i="67"/>
  <c r="P112" i="67" s="1"/>
  <c r="M112" i="67"/>
  <c r="N112" i="67"/>
  <c r="O112" i="67"/>
  <c r="Q112" i="67"/>
  <c r="L113" i="67"/>
  <c r="P113" i="67" s="1"/>
  <c r="M113" i="67"/>
  <c r="N113" i="67"/>
  <c r="O113" i="67"/>
  <c r="Q113" i="67"/>
  <c r="L114" i="67"/>
  <c r="P114" i="67" s="1"/>
  <c r="M114" i="67"/>
  <c r="N114" i="67"/>
  <c r="O114" i="67"/>
  <c r="Q114" i="67"/>
  <c r="L115" i="67"/>
  <c r="P115" i="67" s="1"/>
  <c r="M115" i="67"/>
  <c r="N115" i="67"/>
  <c r="O115" i="67"/>
  <c r="Q115" i="67"/>
  <c r="L116" i="67"/>
  <c r="P116" i="67" s="1"/>
  <c r="M116" i="67"/>
  <c r="N116" i="67"/>
  <c r="O116" i="67"/>
  <c r="Q116" i="67"/>
  <c r="L117" i="67"/>
  <c r="P117" i="67" s="1"/>
  <c r="M117" i="67"/>
  <c r="N117" i="67"/>
  <c r="O117" i="67"/>
  <c r="Q117" i="67"/>
  <c r="L118" i="67"/>
  <c r="P118" i="67" s="1"/>
  <c r="M118" i="67"/>
  <c r="N118" i="67"/>
  <c r="O118" i="67"/>
  <c r="Q118" i="67"/>
  <c r="L119" i="67"/>
  <c r="N119" i="67"/>
  <c r="P119" i="67"/>
  <c r="Q119" i="67"/>
  <c r="L120" i="67"/>
  <c r="M120" i="67"/>
  <c r="N120" i="67"/>
  <c r="O120" i="67"/>
  <c r="P120" i="67"/>
  <c r="Q120" i="67"/>
  <c r="L121" i="67"/>
  <c r="M121" i="67"/>
  <c r="N121" i="67"/>
  <c r="O121" i="67"/>
  <c r="P121" i="67"/>
  <c r="Q121" i="67"/>
  <c r="P47" i="67" l="1"/>
  <c r="P44" i="67"/>
  <c r="P40" i="67"/>
  <c r="P37" i="67"/>
  <c r="P34" i="67"/>
  <c r="P31" i="67"/>
  <c r="P28" i="67"/>
  <c r="P25" i="67"/>
  <c r="P22" i="67"/>
  <c r="P19" i="67"/>
  <c r="P16" i="67"/>
  <c r="P13" i="67"/>
  <c r="P10" i="67"/>
  <c r="F4" i="153"/>
  <c r="G4" i="153" s="1"/>
  <c r="I4" i="153"/>
  <c r="F5" i="153"/>
  <c r="I5" i="153"/>
  <c r="G5" i="153" s="1"/>
  <c r="F6" i="153"/>
  <c r="G6" i="153" s="1"/>
  <c r="I6" i="153"/>
  <c r="F7" i="153"/>
  <c r="I7" i="153"/>
  <c r="G7" i="153" s="1"/>
  <c r="F8" i="153"/>
  <c r="I8" i="153"/>
  <c r="F9" i="153"/>
  <c r="I9" i="153"/>
  <c r="F10" i="153"/>
  <c r="I10" i="153"/>
  <c r="G10" i="153" s="1"/>
  <c r="F11" i="153"/>
  <c r="I11" i="153"/>
  <c r="F12" i="153"/>
  <c r="G12" i="153" s="1"/>
  <c r="I12" i="153"/>
  <c r="F13" i="153"/>
  <c r="I13" i="153"/>
  <c r="G13" i="153" s="1"/>
  <c r="F14" i="153"/>
  <c r="G14" i="153" s="1"/>
  <c r="I14" i="153"/>
  <c r="F15" i="153"/>
  <c r="I15" i="153"/>
  <c r="G15" i="153" s="1"/>
  <c r="F16" i="153"/>
  <c r="I16" i="153"/>
  <c r="F17" i="153"/>
  <c r="I17" i="153"/>
  <c r="F18" i="153"/>
  <c r="I18" i="153"/>
  <c r="F19" i="153"/>
  <c r="I19" i="153"/>
  <c r="G19" i="153" s="1"/>
  <c r="F20" i="153"/>
  <c r="G20" i="153" s="1"/>
  <c r="I20" i="153"/>
  <c r="F21" i="153"/>
  <c r="I21" i="153"/>
  <c r="G21" i="153" s="1"/>
  <c r="F22" i="153"/>
  <c r="G22" i="153"/>
  <c r="I22" i="153"/>
  <c r="F23" i="153"/>
  <c r="I23" i="153"/>
  <c r="F24" i="153"/>
  <c r="G24" i="153" s="1"/>
  <c r="I24" i="153"/>
  <c r="F25" i="153"/>
  <c r="I25" i="153"/>
  <c r="F26" i="153"/>
  <c r="G26" i="153" s="1"/>
  <c r="I26" i="153"/>
  <c r="F27" i="153"/>
  <c r="I27" i="153"/>
  <c r="G27" i="153" s="1"/>
  <c r="F28" i="153"/>
  <c r="G28" i="153" s="1"/>
  <c r="I28" i="153"/>
  <c r="F29" i="153"/>
  <c r="I29" i="153"/>
  <c r="G29" i="153" s="1"/>
  <c r="F30" i="153"/>
  <c r="I30" i="153"/>
  <c r="F31" i="153"/>
  <c r="I31" i="153"/>
  <c r="F32" i="153"/>
  <c r="I32" i="153"/>
  <c r="F33" i="153"/>
  <c r="I33" i="153"/>
  <c r="G33" i="153" s="1"/>
  <c r="F34" i="153"/>
  <c r="G34" i="153" s="1"/>
  <c r="I34" i="153"/>
  <c r="F35" i="153"/>
  <c r="I35" i="153"/>
  <c r="G35" i="153" s="1"/>
  <c r="F36" i="153"/>
  <c r="G36" i="153" s="1"/>
  <c r="I36" i="153"/>
  <c r="F37" i="153"/>
  <c r="I37" i="153"/>
  <c r="G37" i="153" s="1"/>
  <c r="F38" i="153"/>
  <c r="I38" i="153"/>
  <c r="G38" i="153" s="1"/>
  <c r="F39" i="153"/>
  <c r="I39" i="153"/>
  <c r="F40" i="153"/>
  <c r="G40" i="153" s="1"/>
  <c r="I40" i="153"/>
  <c r="F41" i="153"/>
  <c r="I41" i="153"/>
  <c r="G41" i="153" s="1"/>
  <c r="F42" i="153"/>
  <c r="G42" i="153" s="1"/>
  <c r="I42" i="153"/>
  <c r="F43" i="153"/>
  <c r="I43" i="153"/>
  <c r="F44" i="153"/>
  <c r="I44" i="153"/>
  <c r="F45" i="153"/>
  <c r="I45" i="153"/>
  <c r="F46" i="153"/>
  <c r="G46" i="153" s="1"/>
  <c r="I46" i="153"/>
  <c r="F47" i="153"/>
  <c r="I47" i="153"/>
  <c r="F48" i="153"/>
  <c r="I48" i="153"/>
  <c r="F49" i="153"/>
  <c r="I49" i="153"/>
  <c r="G49" i="153" s="1"/>
  <c r="F50" i="153"/>
  <c r="G50" i="153" s="1"/>
  <c r="I50" i="153"/>
  <c r="F51" i="153"/>
  <c r="I51" i="153"/>
  <c r="G51" i="153" s="1"/>
  <c r="F52" i="153"/>
  <c r="I52" i="153"/>
  <c r="F53" i="153"/>
  <c r="I53" i="153"/>
  <c r="F54" i="153"/>
  <c r="I54" i="153"/>
  <c r="F55" i="153"/>
  <c r="I55" i="153"/>
  <c r="G55" i="153" s="1"/>
  <c r="F56" i="153"/>
  <c r="G56" i="153" s="1"/>
  <c r="I56" i="153"/>
  <c r="F57" i="153"/>
  <c r="I57" i="153"/>
  <c r="G57" i="153" s="1"/>
  <c r="F58" i="153"/>
  <c r="G58" i="153"/>
  <c r="I58" i="153"/>
  <c r="F59" i="153"/>
  <c r="I59" i="153"/>
  <c r="G59" i="153" s="1"/>
  <c r="F60" i="153"/>
  <c r="I60" i="153"/>
  <c r="F61" i="153"/>
  <c r="I61" i="153"/>
  <c r="F62" i="153"/>
  <c r="I62" i="153"/>
  <c r="G62" i="153" s="1"/>
  <c r="F63" i="153"/>
  <c r="I63" i="153"/>
  <c r="G63" i="153" s="1"/>
  <c r="F64" i="153"/>
  <c r="G64" i="153" s="1"/>
  <c r="I64" i="153"/>
  <c r="F65" i="153"/>
  <c r="I65" i="153"/>
  <c r="G65" i="153" s="1"/>
  <c r="F66" i="153"/>
  <c r="I66" i="153"/>
  <c r="F67" i="153"/>
  <c r="I67" i="153"/>
  <c r="F68" i="153"/>
  <c r="I68" i="153"/>
  <c r="F69" i="153"/>
  <c r="I69" i="153"/>
  <c r="G69" i="153" s="1"/>
  <c r="F70" i="153"/>
  <c r="G70" i="153" s="1"/>
  <c r="I70" i="153"/>
  <c r="F71" i="153"/>
  <c r="I71" i="153"/>
  <c r="F72" i="153"/>
  <c r="G72" i="153" s="1"/>
  <c r="I72" i="153"/>
  <c r="F73" i="153"/>
  <c r="I73" i="153"/>
  <c r="G73" i="153" s="1"/>
  <c r="F74" i="153"/>
  <c r="I74" i="153"/>
  <c r="G74" i="153" s="1"/>
  <c r="F75" i="153"/>
  <c r="I75" i="153"/>
  <c r="F76" i="153"/>
  <c r="G76" i="153" s="1"/>
  <c r="I76" i="153"/>
  <c r="F77" i="153"/>
  <c r="I77" i="153"/>
  <c r="F78" i="153"/>
  <c r="G78" i="153" s="1"/>
  <c r="I78" i="153"/>
  <c r="F79" i="153"/>
  <c r="I79" i="153"/>
  <c r="G79" i="153" s="1"/>
  <c r="F80" i="153"/>
  <c r="I80" i="153"/>
  <c r="F81" i="153"/>
  <c r="I81" i="153"/>
  <c r="F82" i="153"/>
  <c r="G82" i="153" s="1"/>
  <c r="I82" i="153"/>
  <c r="F83" i="153"/>
  <c r="I83" i="153"/>
  <c r="F84" i="153"/>
  <c r="G84" i="153" s="1"/>
  <c r="I84" i="153"/>
  <c r="F85" i="153"/>
  <c r="I85" i="153"/>
  <c r="G85" i="153" s="1"/>
  <c r="F86" i="153"/>
  <c r="G86" i="153" s="1"/>
  <c r="I86" i="153"/>
  <c r="F87" i="153"/>
  <c r="G87" i="153" s="1"/>
  <c r="I87" i="153"/>
  <c r="F88" i="153"/>
  <c r="I88" i="153"/>
  <c r="F89" i="153"/>
  <c r="I89" i="153"/>
  <c r="F90" i="153"/>
  <c r="G90" i="153" s="1"/>
  <c r="I90" i="153"/>
  <c r="F91" i="153"/>
  <c r="I91" i="153"/>
  <c r="F92" i="153"/>
  <c r="G92" i="153" s="1"/>
  <c r="I92" i="153"/>
  <c r="F93" i="153"/>
  <c r="I93" i="153"/>
  <c r="F94" i="153"/>
  <c r="G94" i="153"/>
  <c r="I94" i="153"/>
  <c r="F95" i="153"/>
  <c r="I95" i="153"/>
  <c r="G95" i="153" s="1"/>
  <c r="F96" i="153"/>
  <c r="I96" i="153"/>
  <c r="F97" i="153"/>
  <c r="I97" i="153"/>
  <c r="F98" i="153"/>
  <c r="G98" i="153"/>
  <c r="I98" i="153"/>
  <c r="F99" i="153"/>
  <c r="I99" i="153"/>
  <c r="G99" i="153" s="1"/>
  <c r="F100" i="153"/>
  <c r="G100" i="153" s="1"/>
  <c r="I100" i="153"/>
  <c r="F101" i="153"/>
  <c r="I101" i="153"/>
  <c r="F102" i="153"/>
  <c r="I102" i="153"/>
  <c r="F103" i="153"/>
  <c r="I103" i="153"/>
  <c r="F104" i="153"/>
  <c r="G104" i="153" s="1"/>
  <c r="I104" i="153"/>
  <c r="F105" i="153"/>
  <c r="I105" i="153"/>
  <c r="G105" i="153" s="1"/>
  <c r="F106" i="153"/>
  <c r="G106" i="153" s="1"/>
  <c r="I106" i="153"/>
  <c r="F107" i="153"/>
  <c r="I107" i="153"/>
  <c r="G107" i="153" s="1"/>
  <c r="F108" i="153"/>
  <c r="G108" i="153" s="1"/>
  <c r="I108" i="153"/>
  <c r="F109" i="153"/>
  <c r="I109" i="153"/>
  <c r="G109" i="153" s="1"/>
  <c r="F110" i="153"/>
  <c r="I110" i="153"/>
  <c r="G110" i="153" s="1"/>
  <c r="F111" i="153"/>
  <c r="I111" i="153"/>
  <c r="F112" i="153"/>
  <c r="G112" i="153" s="1"/>
  <c r="I112" i="153"/>
  <c r="F113" i="153"/>
  <c r="I113" i="153"/>
  <c r="G113" i="153" s="1"/>
  <c r="F114" i="153"/>
  <c r="G114" i="153" s="1"/>
  <c r="I114" i="153"/>
  <c r="F115" i="153"/>
  <c r="I115" i="153"/>
  <c r="F116" i="153"/>
  <c r="I116" i="153"/>
  <c r="F117" i="153"/>
  <c r="I117" i="153"/>
  <c r="F118" i="153"/>
  <c r="G118" i="153" s="1"/>
  <c r="I118" i="153"/>
  <c r="F119" i="153"/>
  <c r="I119" i="153"/>
  <c r="F120" i="153"/>
  <c r="G120" i="153" s="1"/>
  <c r="I120" i="153"/>
  <c r="F121" i="153"/>
  <c r="I121" i="153"/>
  <c r="G121" i="153" s="1"/>
  <c r="F122" i="153"/>
  <c r="G122" i="153" s="1"/>
  <c r="I122" i="153"/>
  <c r="F123" i="153"/>
  <c r="I123" i="153"/>
  <c r="G123" i="153" s="1"/>
  <c r="F124" i="153"/>
  <c r="I124" i="153"/>
  <c r="F125" i="153"/>
  <c r="I125" i="153"/>
  <c r="G125" i="153" s="1"/>
  <c r="F126" i="153"/>
  <c r="G126" i="153" s="1"/>
  <c r="I126" i="153"/>
  <c r="F127" i="153"/>
  <c r="I127" i="153"/>
  <c r="F128" i="153"/>
  <c r="I128" i="153"/>
  <c r="F129" i="153"/>
  <c r="I129" i="153"/>
  <c r="F130" i="153"/>
  <c r="G130" i="153"/>
  <c r="I130" i="153"/>
  <c r="F131" i="153"/>
  <c r="I131" i="153"/>
  <c r="F132" i="153"/>
  <c r="G132" i="153" s="1"/>
  <c r="I132" i="153"/>
  <c r="F133" i="153"/>
  <c r="G133" i="153" s="1"/>
  <c r="I133" i="153"/>
  <c r="F134" i="153"/>
  <c r="G134" i="153" s="1"/>
  <c r="I134" i="153"/>
  <c r="F135" i="153"/>
  <c r="I135" i="153"/>
  <c r="F136" i="153"/>
  <c r="I136" i="153"/>
  <c r="F137" i="153"/>
  <c r="I137" i="153"/>
  <c r="F138" i="153"/>
  <c r="I138" i="153"/>
  <c r="F139" i="153"/>
  <c r="I139" i="153"/>
  <c r="F140" i="153"/>
  <c r="I140" i="153"/>
  <c r="F141" i="153"/>
  <c r="I141" i="153"/>
  <c r="G141" i="153" s="1"/>
  <c r="F142" i="153"/>
  <c r="G142" i="153"/>
  <c r="I142" i="153"/>
  <c r="F143" i="153"/>
  <c r="I143" i="153"/>
  <c r="F144" i="153"/>
  <c r="G144" i="153" s="1"/>
  <c r="I144" i="153"/>
  <c r="F145" i="153"/>
  <c r="I145" i="153"/>
  <c r="F146" i="153"/>
  <c r="G146" i="153" s="1"/>
  <c r="I146" i="153"/>
  <c r="F147" i="153"/>
  <c r="I147" i="153"/>
  <c r="G147" i="153" s="1"/>
  <c r="F148" i="153"/>
  <c r="I148" i="153"/>
  <c r="F149" i="153"/>
  <c r="I149" i="153"/>
  <c r="G149" i="153" s="1"/>
  <c r="F150" i="153"/>
  <c r="I150" i="153"/>
  <c r="F151" i="153"/>
  <c r="I151" i="153"/>
  <c r="G151" i="153" s="1"/>
  <c r="F152" i="153"/>
  <c r="I152" i="153"/>
  <c r="F153" i="153"/>
  <c r="I153" i="153"/>
  <c r="G153" i="153" s="1"/>
  <c r="F154" i="153"/>
  <c r="G154" i="153"/>
  <c r="I154" i="153"/>
  <c r="F155" i="153"/>
  <c r="I155" i="153"/>
  <c r="F156" i="153"/>
  <c r="G156" i="153" s="1"/>
  <c r="I156" i="153"/>
  <c r="F157" i="153"/>
  <c r="I157" i="153"/>
  <c r="F158" i="153"/>
  <c r="G158" i="153" s="1"/>
  <c r="I158" i="153"/>
  <c r="F159" i="153"/>
  <c r="I159" i="153"/>
  <c r="G159" i="153" s="1"/>
  <c r="F160" i="153"/>
  <c r="I160" i="153"/>
  <c r="F161" i="153"/>
  <c r="I161" i="153"/>
  <c r="G161" i="153" s="1"/>
  <c r="F162" i="153"/>
  <c r="I162" i="153"/>
  <c r="F163" i="153"/>
  <c r="I163" i="153"/>
  <c r="G163" i="153" s="1"/>
  <c r="F165" i="153"/>
  <c r="G165" i="153" s="1"/>
  <c r="I165" i="153"/>
  <c r="F166" i="153"/>
  <c r="I166" i="153"/>
  <c r="G166" i="153" s="1"/>
  <c r="F167" i="153"/>
  <c r="G167" i="153"/>
  <c r="I167" i="153"/>
  <c r="F168" i="153"/>
  <c r="I168" i="153"/>
  <c r="G168" i="153" s="1"/>
  <c r="F169" i="153"/>
  <c r="G169" i="153" s="1"/>
  <c r="I169" i="153"/>
  <c r="F170" i="153"/>
  <c r="I170" i="153"/>
  <c r="F171" i="153"/>
  <c r="I171" i="153"/>
  <c r="G171" i="153" s="1"/>
  <c r="F172" i="153"/>
  <c r="I172" i="153"/>
  <c r="G172" i="153" s="1"/>
  <c r="F173" i="153"/>
  <c r="G173" i="153" s="1"/>
  <c r="I173" i="153"/>
  <c r="F174" i="153"/>
  <c r="I174" i="153"/>
  <c r="G174" i="153" s="1"/>
  <c r="F176" i="153"/>
  <c r="I176" i="153"/>
  <c r="F177" i="153"/>
  <c r="I177" i="153"/>
  <c r="F178" i="153"/>
  <c r="I178" i="153"/>
  <c r="F179" i="153"/>
  <c r="I179" i="153"/>
  <c r="G179" i="153" s="1"/>
  <c r="F180" i="153"/>
  <c r="G180" i="153" s="1"/>
  <c r="I180" i="153"/>
  <c r="F181" i="153"/>
  <c r="I181" i="153"/>
  <c r="F182" i="153"/>
  <c r="I182" i="153"/>
  <c r="F183" i="153"/>
  <c r="G183" i="153" s="1"/>
  <c r="I183" i="153"/>
  <c r="F184" i="153"/>
  <c r="G184" i="153" s="1"/>
  <c r="I184" i="153"/>
  <c r="F185" i="153"/>
  <c r="I185" i="153"/>
  <c r="F186" i="153"/>
  <c r="G186" i="153" s="1"/>
  <c r="I186" i="153"/>
  <c r="F187" i="153"/>
  <c r="G187" i="153" s="1"/>
  <c r="I187" i="153"/>
  <c r="F188" i="153"/>
  <c r="I188" i="153"/>
  <c r="F189" i="153"/>
  <c r="G189" i="153" s="1"/>
  <c r="I189" i="153"/>
  <c r="F190" i="153"/>
  <c r="G190" i="153" s="1"/>
  <c r="I190" i="153"/>
  <c r="F193" i="153"/>
  <c r="I193" i="153"/>
  <c r="F194" i="153"/>
  <c r="G194" i="153" s="1"/>
  <c r="I194" i="153"/>
  <c r="F195" i="153"/>
  <c r="G195" i="153" s="1"/>
  <c r="I195" i="153"/>
  <c r="F196" i="153"/>
  <c r="I196" i="153"/>
  <c r="F197" i="153"/>
  <c r="G197" i="153" s="1"/>
  <c r="I197" i="153"/>
  <c r="F198" i="153"/>
  <c r="G198" i="153" s="1"/>
  <c r="I198" i="153"/>
  <c r="F199" i="153"/>
  <c r="I199" i="153"/>
  <c r="F200" i="153"/>
  <c r="G200" i="153" s="1"/>
  <c r="I200" i="153"/>
  <c r="F201" i="153"/>
  <c r="G201" i="153" s="1"/>
  <c r="I201" i="153"/>
  <c r="F202" i="153"/>
  <c r="I202" i="153"/>
  <c r="F203" i="153"/>
  <c r="G203" i="153" s="1"/>
  <c r="I203" i="153"/>
  <c r="F204" i="153"/>
  <c r="G204" i="153" s="1"/>
  <c r="I204" i="153"/>
  <c r="F205" i="153"/>
  <c r="I205" i="153"/>
  <c r="F206" i="153"/>
  <c r="G206" i="153" s="1"/>
  <c r="I206" i="153"/>
  <c r="F207" i="153"/>
  <c r="G207" i="153" s="1"/>
  <c r="I207" i="153"/>
  <c r="F208" i="153"/>
  <c r="I208" i="153"/>
  <c r="F209" i="153"/>
  <c r="G209" i="153" s="1"/>
  <c r="I209" i="153"/>
  <c r="F210" i="153"/>
  <c r="G210" i="153" s="1"/>
  <c r="I210" i="153"/>
  <c r="F211" i="153"/>
  <c r="I211" i="153"/>
  <c r="F212" i="153"/>
  <c r="G212" i="153" s="1"/>
  <c r="I212" i="153"/>
  <c r="F213" i="153"/>
  <c r="G213" i="153" s="1"/>
  <c r="I213" i="153"/>
  <c r="F214" i="153"/>
  <c r="I214" i="153"/>
  <c r="F215" i="153"/>
  <c r="G215" i="153" s="1"/>
  <c r="I215" i="153"/>
  <c r="F216" i="153"/>
  <c r="G216" i="153" s="1"/>
  <c r="I216" i="153"/>
  <c r="F217" i="153"/>
  <c r="I217" i="153"/>
  <c r="F218" i="153"/>
  <c r="G218" i="153" s="1"/>
  <c r="I218" i="153"/>
  <c r="F220" i="153"/>
  <c r="G220" i="153" s="1"/>
  <c r="I220" i="153"/>
  <c r="F221" i="153"/>
  <c r="I221" i="153"/>
  <c r="F222" i="153"/>
  <c r="G222" i="153" s="1"/>
  <c r="I222" i="153"/>
  <c r="F223" i="153"/>
  <c r="G223" i="153" s="1"/>
  <c r="I223" i="153"/>
  <c r="F226" i="153"/>
  <c r="I226" i="153"/>
  <c r="F227" i="153"/>
  <c r="G227" i="153" s="1"/>
  <c r="I227" i="153"/>
  <c r="F228" i="153"/>
  <c r="G228" i="153" s="1"/>
  <c r="I228" i="153"/>
  <c r="F230" i="153"/>
  <c r="I230" i="153"/>
  <c r="F233" i="153"/>
  <c r="G233" i="153" s="1"/>
  <c r="I233" i="153"/>
  <c r="F234" i="153"/>
  <c r="G234" i="153" s="1"/>
  <c r="I234" i="153"/>
  <c r="F235" i="153"/>
  <c r="I235" i="153"/>
  <c r="F238" i="153"/>
  <c r="G238" i="153" s="1"/>
  <c r="I238" i="153"/>
  <c r="F241" i="153"/>
  <c r="G241" i="153" s="1"/>
  <c r="I241" i="153"/>
  <c r="G170" i="153" l="1"/>
  <c r="G155" i="153"/>
  <c r="G150" i="153"/>
  <c r="G139" i="153"/>
  <c r="G136" i="153"/>
  <c r="G128" i="153"/>
  <c r="G119" i="153"/>
  <c r="G97" i="153"/>
  <c r="G83" i="153"/>
  <c r="G61" i="153"/>
  <c r="G47" i="153"/>
  <c r="G25" i="153"/>
  <c r="G11" i="153"/>
  <c r="G230" i="153"/>
  <c r="G221" i="153"/>
  <c r="G217" i="153"/>
  <c r="G214" i="153"/>
  <c r="G211" i="153"/>
  <c r="G208" i="153"/>
  <c r="G205" i="153"/>
  <c r="G202" i="153"/>
  <c r="G199" i="153"/>
  <c r="G196" i="153"/>
  <c r="G193" i="153"/>
  <c r="G188" i="153"/>
  <c r="G185" i="153"/>
  <c r="G182" i="153"/>
  <c r="G176" i="153"/>
  <c r="G160" i="153"/>
  <c r="G157" i="153"/>
  <c r="G152" i="153"/>
  <c r="G143" i="153"/>
  <c r="G138" i="153"/>
  <c r="G135" i="153"/>
  <c r="G127" i="153"/>
  <c r="G124" i="153"/>
  <c r="G116" i="153"/>
  <c r="G102" i="153"/>
  <c r="G91" i="153"/>
  <c r="G88" i="153"/>
  <c r="G80" i="153"/>
  <c r="G71" i="153"/>
  <c r="G66" i="153"/>
  <c r="G52" i="153"/>
  <c r="G44" i="153"/>
  <c r="G30" i="153"/>
  <c r="G16" i="153"/>
  <c r="G8" i="153"/>
  <c r="G235" i="153"/>
  <c r="G226" i="153"/>
  <c r="G115" i="153"/>
  <c r="G101" i="153"/>
  <c r="G96" i="153"/>
  <c r="G93" i="153"/>
  <c r="G60" i="153"/>
  <c r="G43" i="153"/>
  <c r="G181" i="153"/>
  <c r="G178" i="153"/>
  <c r="G162" i="153"/>
  <c r="G148" i="153"/>
  <c r="G145" i="153"/>
  <c r="G140" i="153"/>
  <c r="G68" i="153"/>
  <c r="G54" i="153"/>
  <c r="G32" i="153"/>
  <c r="G23" i="153"/>
  <c r="G18" i="153"/>
  <c r="G177" i="153"/>
  <c r="G131" i="153"/>
  <c r="G117" i="153"/>
  <c r="G111" i="153"/>
  <c r="G103" i="153"/>
  <c r="G81" i="153"/>
  <c r="G75" i="153"/>
  <c r="G67" i="153"/>
  <c r="G53" i="153"/>
  <c r="G48" i="153"/>
  <c r="G45" i="153"/>
  <c r="G39" i="153"/>
  <c r="G31" i="153"/>
  <c r="G17" i="153"/>
  <c r="G9" i="153"/>
  <c r="G137" i="153"/>
  <c r="G89" i="153"/>
  <c r="G77" i="153"/>
  <c r="G129" i="153"/>
  <c r="W70" i="3" l="1"/>
  <c r="W52" i="3" l="1"/>
  <c r="W74" i="3" l="1"/>
  <c r="W76" i="3" l="1"/>
  <c r="I126" i="67" l="1"/>
  <c r="I123" i="67"/>
  <c r="N33" i="6" l="1"/>
  <c r="L33" i="6"/>
  <c r="O32" i="6"/>
  <c r="N32" i="6"/>
  <c r="M32" i="6"/>
  <c r="O31" i="6"/>
  <c r="N31" i="6"/>
  <c r="M31" i="6"/>
  <c r="O30" i="6"/>
  <c r="N30" i="6"/>
  <c r="M30" i="6"/>
  <c r="O29" i="6"/>
  <c r="N29" i="6"/>
  <c r="M29" i="6"/>
  <c r="O28" i="6"/>
  <c r="N28" i="6"/>
  <c r="M28" i="6"/>
  <c r="O27" i="6"/>
  <c r="N27" i="6"/>
  <c r="M27" i="6"/>
  <c r="O26" i="6"/>
  <c r="N26" i="6"/>
  <c r="M26" i="6"/>
  <c r="O25" i="6"/>
  <c r="N25" i="6"/>
  <c r="M25" i="6"/>
  <c r="O24" i="6"/>
  <c r="N24" i="6"/>
  <c r="M24" i="6"/>
  <c r="O23" i="6"/>
  <c r="N23" i="6"/>
  <c r="M23" i="6"/>
  <c r="O22" i="6"/>
  <c r="N22" i="6"/>
  <c r="M22" i="6"/>
  <c r="O21" i="6"/>
  <c r="N21" i="6"/>
  <c r="M21" i="6"/>
  <c r="O20" i="6"/>
  <c r="N20" i="6"/>
  <c r="M20" i="6"/>
  <c r="O19" i="6"/>
  <c r="N19" i="6"/>
  <c r="M19" i="6"/>
  <c r="O18" i="6"/>
  <c r="N18" i="6"/>
  <c r="M18" i="6"/>
  <c r="O17" i="6"/>
  <c r="N17" i="6"/>
  <c r="M17" i="6"/>
  <c r="O16" i="6"/>
  <c r="N16" i="6"/>
  <c r="M16" i="6"/>
  <c r="O15" i="6"/>
  <c r="N15" i="6"/>
  <c r="M15" i="6"/>
  <c r="O14" i="6"/>
  <c r="N14" i="6"/>
  <c r="M14" i="6"/>
  <c r="O13" i="6"/>
  <c r="N13" i="6"/>
  <c r="M13" i="6"/>
  <c r="O12" i="6"/>
  <c r="N12" i="6"/>
  <c r="M12" i="6"/>
  <c r="O11" i="6"/>
  <c r="N11" i="6"/>
  <c r="M11" i="6"/>
  <c r="N10" i="6"/>
  <c r="L10" i="6"/>
  <c r="O9" i="6"/>
  <c r="N9" i="6"/>
  <c r="M9" i="6"/>
  <c r="O8" i="6"/>
  <c r="N8" i="6"/>
  <c r="M8" i="6"/>
  <c r="N7" i="6"/>
  <c r="L7" i="6"/>
  <c r="O7" i="6"/>
  <c r="W83" i="3"/>
  <c r="U83" i="3"/>
  <c r="W82" i="3"/>
  <c r="U82" i="3"/>
  <c r="X82" i="3"/>
  <c r="W81" i="3"/>
  <c r="U81" i="3"/>
  <c r="X80" i="3"/>
  <c r="W80" i="3"/>
  <c r="V80" i="3"/>
  <c r="X79" i="3"/>
  <c r="W79" i="3"/>
  <c r="V79" i="3"/>
  <c r="X78" i="3"/>
  <c r="W78" i="3"/>
  <c r="V78" i="3"/>
  <c r="X77" i="3"/>
  <c r="W77" i="3"/>
  <c r="V77" i="3"/>
  <c r="X75" i="3"/>
  <c r="W75" i="3"/>
  <c r="V75" i="3"/>
  <c r="X73" i="3"/>
  <c r="W73" i="3"/>
  <c r="V73" i="3"/>
  <c r="X72" i="3"/>
  <c r="W72" i="3"/>
  <c r="V72" i="3"/>
  <c r="X71" i="3"/>
  <c r="W71" i="3"/>
  <c r="V71" i="3"/>
  <c r="X69" i="3"/>
  <c r="W69" i="3"/>
  <c r="V69" i="3"/>
  <c r="X68" i="3"/>
  <c r="W68" i="3"/>
  <c r="V68" i="3"/>
  <c r="X67" i="3"/>
  <c r="W67" i="3"/>
  <c r="V67" i="3"/>
  <c r="X66" i="3"/>
  <c r="W66" i="3"/>
  <c r="V66" i="3"/>
  <c r="W65" i="3"/>
  <c r="U65" i="3"/>
  <c r="X65" i="3"/>
  <c r="X64" i="3"/>
  <c r="W64" i="3"/>
  <c r="V64" i="3"/>
  <c r="X63" i="3"/>
  <c r="W63" i="3"/>
  <c r="V63" i="3"/>
  <c r="X62" i="3"/>
  <c r="W62" i="3"/>
  <c r="V62" i="3"/>
  <c r="X61" i="3"/>
  <c r="W61" i="3"/>
  <c r="V61" i="3"/>
  <c r="X60" i="3"/>
  <c r="W60" i="3"/>
  <c r="V60" i="3"/>
  <c r="X59" i="3"/>
  <c r="W59" i="3"/>
  <c r="V59" i="3"/>
  <c r="X58" i="3"/>
  <c r="W58" i="3"/>
  <c r="V58" i="3"/>
  <c r="X57" i="3"/>
  <c r="W57" i="3"/>
  <c r="V57" i="3"/>
  <c r="X56" i="3"/>
  <c r="W56" i="3"/>
  <c r="V56" i="3"/>
  <c r="X55" i="3"/>
  <c r="W55" i="3"/>
  <c r="V55" i="3"/>
  <c r="X54" i="3"/>
  <c r="W54" i="3"/>
  <c r="V54" i="3"/>
  <c r="X53" i="3"/>
  <c r="W53" i="3"/>
  <c r="V53" i="3"/>
  <c r="X51" i="3"/>
  <c r="W51" i="3"/>
  <c r="V51" i="3"/>
  <c r="W50" i="3"/>
  <c r="U50" i="3"/>
  <c r="X50" i="3"/>
  <c r="W49" i="3"/>
  <c r="U49" i="3"/>
  <c r="X48" i="3"/>
  <c r="W48" i="3"/>
  <c r="V48" i="3"/>
  <c r="X47" i="3"/>
  <c r="W47" i="3"/>
  <c r="V47" i="3"/>
  <c r="X46" i="3"/>
  <c r="W46" i="3"/>
  <c r="V46" i="3"/>
  <c r="X45" i="3"/>
  <c r="W45" i="3"/>
  <c r="V45" i="3"/>
  <c r="X44" i="3"/>
  <c r="W44" i="3"/>
  <c r="V44" i="3"/>
  <c r="X43" i="3"/>
  <c r="W43" i="3"/>
  <c r="V43" i="3"/>
  <c r="X42" i="3"/>
  <c r="W42" i="3"/>
  <c r="V42" i="3"/>
  <c r="X41" i="3"/>
  <c r="W41" i="3"/>
  <c r="V41" i="3"/>
  <c r="X40" i="3"/>
  <c r="W40" i="3"/>
  <c r="V40" i="3"/>
  <c r="X39" i="3"/>
  <c r="W39" i="3"/>
  <c r="V39" i="3"/>
  <c r="X38" i="3"/>
  <c r="W38" i="3"/>
  <c r="V38" i="3"/>
  <c r="X37" i="3"/>
  <c r="W37" i="3"/>
  <c r="V37" i="3"/>
  <c r="X36" i="3"/>
  <c r="W36" i="3"/>
  <c r="V36" i="3"/>
  <c r="X35" i="3"/>
  <c r="W35" i="3"/>
  <c r="V35" i="3"/>
  <c r="X34" i="3"/>
  <c r="W34" i="3"/>
  <c r="V34" i="3"/>
  <c r="X33" i="3"/>
  <c r="W33" i="3"/>
  <c r="V33" i="3"/>
  <c r="X32" i="3"/>
  <c r="W32" i="3"/>
  <c r="V32" i="3"/>
  <c r="X31" i="3"/>
  <c r="W31" i="3"/>
  <c r="V31" i="3"/>
  <c r="X30" i="3"/>
  <c r="W30" i="3"/>
  <c r="V30" i="3"/>
  <c r="X29" i="3"/>
  <c r="W29" i="3"/>
  <c r="V29" i="3"/>
  <c r="Q29" i="3"/>
  <c r="X28" i="3"/>
  <c r="W28" i="3"/>
  <c r="V28" i="3"/>
  <c r="Q28" i="3"/>
  <c r="X27" i="3"/>
  <c r="W27" i="3"/>
  <c r="V27" i="3"/>
  <c r="X26" i="3"/>
  <c r="W26" i="3"/>
  <c r="V26" i="3"/>
  <c r="X25" i="3"/>
  <c r="W25" i="3"/>
  <c r="V25" i="3"/>
  <c r="Q25" i="3"/>
  <c r="W24" i="3"/>
  <c r="U24" i="3"/>
  <c r="S24" i="3"/>
  <c r="Q24" i="3"/>
  <c r="W23" i="3"/>
  <c r="U23" i="3"/>
  <c r="S23" i="3"/>
  <c r="Q23" i="3"/>
  <c r="X22" i="3"/>
  <c r="W22" i="3"/>
  <c r="V22" i="3"/>
  <c r="U22" i="3"/>
  <c r="X21" i="3"/>
  <c r="W21" i="3"/>
  <c r="V21" i="3"/>
  <c r="U21" i="3"/>
  <c r="X20" i="3"/>
  <c r="W20" i="3"/>
  <c r="V20" i="3"/>
  <c r="U20" i="3"/>
  <c r="X19" i="3"/>
  <c r="W19" i="3"/>
  <c r="V19" i="3"/>
  <c r="X18" i="3"/>
  <c r="W18" i="3"/>
  <c r="V18" i="3"/>
  <c r="W17" i="3"/>
  <c r="U17" i="3"/>
  <c r="X17" i="3"/>
  <c r="X16" i="3"/>
  <c r="W16" i="3"/>
  <c r="V16" i="3"/>
  <c r="Q16" i="3"/>
  <c r="X15" i="3"/>
  <c r="W15" i="3"/>
  <c r="V15" i="3"/>
  <c r="Q15" i="3"/>
  <c r="X14" i="3"/>
  <c r="W14" i="3"/>
  <c r="V14" i="3"/>
  <c r="Q14" i="3"/>
  <c r="X13" i="3"/>
  <c r="W13" i="3"/>
  <c r="V13" i="3"/>
  <c r="W12" i="3"/>
  <c r="U12" i="3"/>
  <c r="X12" i="3"/>
  <c r="X11" i="3"/>
  <c r="W11" i="3"/>
  <c r="V11" i="3"/>
  <c r="X10" i="3"/>
  <c r="W10" i="3"/>
  <c r="V10" i="3"/>
  <c r="Q10" i="3"/>
  <c r="X9" i="3"/>
  <c r="W9" i="3"/>
  <c r="V9" i="3"/>
  <c r="Q9" i="3"/>
  <c r="W8" i="3"/>
  <c r="U8" i="3"/>
  <c r="Q8" i="3"/>
  <c r="X8" i="3"/>
  <c r="W7" i="3"/>
  <c r="U7" i="3"/>
  <c r="Z8" i="3" l="1"/>
  <c r="AA73" i="3"/>
  <c r="AA22" i="3"/>
  <c r="Z82" i="3"/>
  <c r="R15" i="6"/>
  <c r="R27" i="6"/>
  <c r="AA57" i="3"/>
  <c r="AA60" i="3"/>
  <c r="AA51" i="3"/>
  <c r="AA11" i="3"/>
  <c r="Z23" i="3"/>
  <c r="AA44" i="3"/>
  <c r="AA48" i="3"/>
  <c r="Q10" i="6"/>
  <c r="AA21" i="3"/>
  <c r="AA31" i="3"/>
  <c r="AA43" i="3"/>
  <c r="AA47" i="3"/>
  <c r="R17" i="6"/>
  <c r="R21" i="6"/>
  <c r="R29" i="6"/>
  <c r="AA15" i="3"/>
  <c r="AA38" i="3"/>
  <c r="AA40" i="3"/>
  <c r="AA10" i="3"/>
  <c r="AA20" i="3"/>
  <c r="AA72" i="3"/>
  <c r="Z83" i="3"/>
  <c r="R18" i="6"/>
  <c r="R22" i="6"/>
  <c r="R28" i="6"/>
  <c r="R11" i="6"/>
  <c r="R25" i="6"/>
  <c r="R9" i="6"/>
  <c r="R16" i="6"/>
  <c r="R20" i="6"/>
  <c r="AA13" i="3"/>
  <c r="AA14" i="3"/>
  <c r="Z17" i="3"/>
  <c r="AA27" i="3"/>
  <c r="AA37" i="3"/>
  <c r="AA66" i="3"/>
  <c r="AA19" i="3"/>
  <c r="Z22" i="3"/>
  <c r="AA26" i="3"/>
  <c r="AA32" i="3"/>
  <c r="AA45" i="3"/>
  <c r="AA69" i="3"/>
  <c r="AA59" i="3"/>
  <c r="Z65" i="3"/>
  <c r="AA77" i="3"/>
  <c r="Z81" i="3"/>
  <c r="AA39" i="3"/>
  <c r="AA46" i="3"/>
  <c r="AA54" i="3"/>
  <c r="AA58" i="3"/>
  <c r="AA67" i="3"/>
  <c r="AA80" i="3"/>
  <c r="Z49" i="3"/>
  <c r="AA53" i="3"/>
  <c r="AA79" i="3"/>
  <c r="AA28" i="3"/>
  <c r="AA33" i="3"/>
  <c r="AA35" i="3"/>
  <c r="AA42" i="3"/>
  <c r="AA61" i="3"/>
  <c r="AA63" i="3"/>
  <c r="R8" i="6"/>
  <c r="R19" i="6"/>
  <c r="AA16" i="3"/>
  <c r="Z21" i="3"/>
  <c r="AA30" i="3"/>
  <c r="R12" i="6"/>
  <c r="R14" i="6"/>
  <c r="R30" i="6"/>
  <c r="R32" i="6"/>
  <c r="Z7" i="3"/>
  <c r="AA34" i="3"/>
  <c r="AA36" i="3"/>
  <c r="AA41" i="3"/>
  <c r="Z50" i="3"/>
  <c r="AA64" i="3"/>
  <c r="AA75" i="3"/>
  <c r="AA9" i="3"/>
  <c r="AA18" i="3"/>
  <c r="AA25" i="3"/>
  <c r="AA29" i="3"/>
  <c r="AA55" i="3"/>
  <c r="AA68" i="3"/>
  <c r="AA71" i="3"/>
  <c r="AA78" i="3"/>
  <c r="R13" i="6"/>
  <c r="R23" i="6"/>
  <c r="R31" i="6"/>
  <c r="Q7" i="6"/>
  <c r="R24" i="6"/>
  <c r="R26" i="6"/>
  <c r="Q33" i="6"/>
  <c r="H39" i="7"/>
  <c r="Q27" i="3"/>
  <c r="Q13" i="3"/>
  <c r="Q19" i="3"/>
  <c r="Q11" i="3"/>
  <c r="U14" i="3"/>
  <c r="Z14" i="3" s="1"/>
  <c r="X24" i="3"/>
  <c r="AA56" i="3"/>
  <c r="N8" i="3"/>
  <c r="Z20" i="3"/>
  <c r="Z24" i="3"/>
  <c r="AA62" i="3"/>
  <c r="Z12" i="3"/>
  <c r="O10" i="6"/>
  <c r="U30" i="3" l="1"/>
  <c r="Z30" i="3" s="1"/>
  <c r="L29" i="6"/>
  <c r="Q29" i="6" s="1"/>
  <c r="U15" i="3"/>
  <c r="Z15" i="3" s="1"/>
  <c r="U53" i="3"/>
  <c r="Z53" i="3" s="1"/>
  <c r="U56" i="3"/>
  <c r="Z56" i="3" s="1"/>
  <c r="L28" i="6"/>
  <c r="Q28" i="6" s="1"/>
  <c r="L24" i="6"/>
  <c r="Q24" i="6" s="1"/>
  <c r="L15" i="6"/>
  <c r="Q15" i="6" s="1"/>
  <c r="L32" i="6"/>
  <c r="Q32" i="6" s="1"/>
  <c r="L27" i="6"/>
  <c r="Q27" i="6" s="1"/>
  <c r="L23" i="6"/>
  <c r="Q23" i="6" s="1"/>
  <c r="L13" i="6"/>
  <c r="Q13" i="6" s="1"/>
  <c r="L9" i="6"/>
  <c r="Q9" i="6" s="1"/>
  <c r="L26" i="6"/>
  <c r="Q26" i="6" s="1"/>
  <c r="L22" i="6"/>
  <c r="Q22" i="6" s="1"/>
  <c r="L17" i="6"/>
  <c r="Q17" i="6" s="1"/>
  <c r="L14" i="6"/>
  <c r="Q14" i="6" s="1"/>
  <c r="L30" i="6"/>
  <c r="Q30" i="6" s="1"/>
  <c r="L25" i="6"/>
  <c r="Q25" i="6" s="1"/>
  <c r="L21" i="6"/>
  <c r="Q21" i="6" s="1"/>
  <c r="L16" i="6"/>
  <c r="Q16" i="6" s="1"/>
  <c r="L12" i="6"/>
  <c r="Q12" i="6" s="1"/>
  <c r="U67" i="3"/>
  <c r="Z67" i="3" s="1"/>
  <c r="U37" i="3"/>
  <c r="Z37" i="3" s="1"/>
  <c r="U51" i="3"/>
  <c r="Z51" i="3" s="1"/>
  <c r="U75" i="3"/>
  <c r="Z75" i="3" s="1"/>
  <c r="U77" i="3"/>
  <c r="Z77" i="3" s="1"/>
  <c r="U73" i="3"/>
  <c r="Z73" i="3" s="1"/>
  <c r="U64" i="3"/>
  <c r="Z64" i="3" s="1"/>
  <c r="U58" i="3"/>
  <c r="Z58" i="3" s="1"/>
  <c r="U62" i="3"/>
  <c r="Z62" i="3" s="1"/>
  <c r="U61" i="3"/>
  <c r="Z61" i="3" s="1"/>
  <c r="U57" i="3"/>
  <c r="Z57" i="3" s="1"/>
  <c r="P15" i="3"/>
  <c r="U44" i="3"/>
  <c r="Z44" i="3" s="1"/>
  <c r="U80" i="3"/>
  <c r="Z80" i="3" s="1"/>
  <c r="U72" i="3"/>
  <c r="Z72" i="3" s="1"/>
  <c r="U78" i="3"/>
  <c r="Z78" i="3" s="1"/>
  <c r="U55" i="3"/>
  <c r="Z55" i="3" s="1"/>
  <c r="U79" i="3"/>
  <c r="Z79" i="3" s="1"/>
  <c r="U69" i="3"/>
  <c r="Z69" i="3" s="1"/>
  <c r="U54" i="3"/>
  <c r="Z54" i="3" s="1"/>
  <c r="U59" i="3"/>
  <c r="Z59" i="3" s="1"/>
  <c r="U68" i="3"/>
  <c r="Z68" i="3" s="1"/>
  <c r="U16" i="3"/>
  <c r="Z16" i="3" s="1"/>
  <c r="U63" i="3"/>
  <c r="Z63" i="3" s="1"/>
  <c r="L11" i="6"/>
  <c r="Q11" i="6" s="1"/>
  <c r="U9" i="3"/>
  <c r="Z9" i="3" s="1"/>
  <c r="L19" i="6"/>
  <c r="Q19" i="6" s="1"/>
  <c r="L18" i="6"/>
  <c r="Q18" i="6" s="1"/>
  <c r="O33" i="6"/>
  <c r="U71" i="3"/>
  <c r="Z71" i="3" s="1"/>
  <c r="Q7" i="3"/>
  <c r="N7" i="3"/>
  <c r="N9" i="3" s="1"/>
  <c r="X7" i="3"/>
  <c r="V82" i="3"/>
  <c r="AA82" i="3" s="1"/>
  <c r="U11" i="3"/>
  <c r="Z11" i="3" s="1"/>
  <c r="P10" i="3"/>
  <c r="U10" i="3"/>
  <c r="Z10" i="3" s="1"/>
  <c r="P9" i="3"/>
  <c r="U13" i="3"/>
  <c r="Z13" i="3" s="1"/>
  <c r="X23" i="3"/>
  <c r="L31" i="6" l="1"/>
  <c r="Q31" i="6" s="1"/>
  <c r="L20" i="6"/>
  <c r="Q20" i="6" s="1"/>
  <c r="U27" i="3"/>
  <c r="Z27" i="3" s="1"/>
  <c r="U26" i="3"/>
  <c r="Z26" i="3" s="1"/>
  <c r="U32" i="3"/>
  <c r="Z32" i="3" s="1"/>
  <c r="U38" i="3"/>
  <c r="Z38" i="3" s="1"/>
  <c r="U31" i="3"/>
  <c r="Z31" i="3" s="1"/>
  <c r="U43" i="3"/>
  <c r="Z43" i="3" s="1"/>
  <c r="V12" i="3"/>
  <c r="AA12" i="3" s="1"/>
  <c r="U40" i="3"/>
  <c r="Z40" i="3" s="1"/>
  <c r="U28" i="3"/>
  <c r="Z28" i="3" s="1"/>
  <c r="U34" i="3"/>
  <c r="Z34" i="3" s="1"/>
  <c r="U41" i="3"/>
  <c r="Z41" i="3" s="1"/>
  <c r="U33" i="3"/>
  <c r="Z33" i="3" s="1"/>
  <c r="U25" i="3"/>
  <c r="Z25" i="3" s="1"/>
  <c r="U35" i="3"/>
  <c r="Z35" i="3" s="1"/>
  <c r="U19" i="3"/>
  <c r="Z19" i="3" s="1"/>
  <c r="U46" i="3"/>
  <c r="Z46" i="3" s="1"/>
  <c r="P8" i="3"/>
  <c r="U60" i="3"/>
  <c r="Z60" i="3" s="1"/>
  <c r="U47" i="3"/>
  <c r="Z47" i="3" s="1"/>
  <c r="U39" i="3"/>
  <c r="Z39" i="3" s="1"/>
  <c r="P14" i="3"/>
  <c r="U29" i="3"/>
  <c r="Z29" i="3" s="1"/>
  <c r="P29" i="3"/>
  <c r="U45" i="3"/>
  <c r="Z45" i="3" s="1"/>
  <c r="U42" i="3"/>
  <c r="Z42" i="3" s="1"/>
  <c r="P16" i="3"/>
  <c r="U48" i="3"/>
  <c r="Z48" i="3" s="1"/>
  <c r="P13" i="3"/>
  <c r="U18" i="3"/>
  <c r="Z18" i="3" s="1"/>
  <c r="U66" i="3"/>
  <c r="Z66" i="3" s="1"/>
  <c r="P28" i="3"/>
  <c r="L8" i="6"/>
  <c r="Q8" i="6" s="1"/>
  <c r="X49" i="3"/>
  <c r="V8" i="3" l="1"/>
  <c r="AA8" i="3" s="1"/>
  <c r="M10" i="6"/>
  <c r="R10" i="6" s="1"/>
  <c r="P11" i="3"/>
  <c r="V17" i="3"/>
  <c r="AA17" i="3" s="1"/>
  <c r="P25" i="3"/>
  <c r="F39" i="7"/>
  <c r="V50" i="3"/>
  <c r="AA50" i="3" s="1"/>
  <c r="V65" i="3"/>
  <c r="AA65" i="3" s="1"/>
  <c r="P27" i="3"/>
  <c r="I7" i="6"/>
  <c r="M7" i="6"/>
  <c r="R7" i="6" s="1"/>
  <c r="R23" i="3"/>
  <c r="P23" i="3"/>
  <c r="X81" i="3"/>
  <c r="X83" i="3"/>
  <c r="V7" i="3" l="1"/>
  <c r="AA7" i="3" s="1"/>
  <c r="U36" i="3"/>
  <c r="Z36" i="3" s="1"/>
  <c r="V24" i="3"/>
  <c r="AA24" i="3" s="1"/>
  <c r="P24" i="3"/>
  <c r="R24" i="3"/>
  <c r="M7" i="3"/>
  <c r="O7" i="3" s="1"/>
  <c r="P7" i="3"/>
  <c r="V23" i="3"/>
  <c r="AA23" i="3" s="1"/>
  <c r="M33" i="6" l="1"/>
  <c r="R33" i="6" s="1"/>
  <c r="I33" i="6"/>
  <c r="M8" i="3"/>
  <c r="O8" i="3" s="1"/>
  <c r="P19" i="3"/>
  <c r="V83" i="3" l="1"/>
  <c r="AA83" i="3" s="1"/>
  <c r="M9" i="3"/>
  <c r="O9" i="3" s="1"/>
  <c r="V49" i="3"/>
  <c r="AA49" i="3" s="1"/>
  <c r="V81" i="3" l="1"/>
  <c r="AA81" i="3" s="1"/>
  <c r="G123" i="67" l="1"/>
  <c r="G126" i="67"/>
  <c r="G128" i="67"/>
  <c r="G125" i="67"/>
</calcChain>
</file>

<file path=xl/sharedStrings.xml><?xml version="1.0" encoding="utf-8"?>
<sst xmlns="http://schemas.openxmlformats.org/spreadsheetml/2006/main" count="1026" uniqueCount="505">
  <si>
    <t>법인세비용차감전순이익(손실)</t>
  </si>
  <si>
    <t>손  익  계  산  서</t>
  </si>
  <si>
    <t>　          사채</t>
  </si>
  <si>
    <t>　          선수금</t>
  </si>
  <si>
    <t>　          예수금</t>
  </si>
  <si>
    <t>　          선수수익</t>
  </si>
  <si>
    <t>영 업 비 용 명 세 서</t>
  </si>
  <si>
    <t>9호선 2-3단계 운영</t>
  </si>
  <si>
    <t>유형자산손상차손</t>
  </si>
  <si>
    <t>유형자산폐기손실</t>
  </si>
  <si>
    <t>기타의대손상각비환입</t>
  </si>
  <si>
    <t>기타의대손상각비</t>
  </si>
  <si>
    <t>투자자산처분손실</t>
  </si>
  <si>
    <t>투자자산처분이익</t>
  </si>
  <si>
    <t>유형자산처분이익</t>
  </si>
  <si>
    <t>재고자산폐기손실</t>
  </si>
  <si>
    <t>유형자산처분손실</t>
  </si>
  <si>
    <t>무형자산손상차손</t>
  </si>
  <si>
    <t>부                          채</t>
  </si>
  <si>
    <t>자                          산</t>
  </si>
  <si>
    <t>자                          본</t>
  </si>
  <si>
    <t>수 탁 사 업 원 가 명 세 서</t>
  </si>
  <si>
    <t>운 영 사 업 원 가 명 세 서</t>
  </si>
  <si>
    <t>　          장기미지급비용</t>
  </si>
  <si>
    <t>　          장기선수수익</t>
  </si>
  <si>
    <t>　          국민연금전환금</t>
  </si>
  <si>
    <t>　          예수보증금</t>
  </si>
  <si>
    <t>　          사채발행차금</t>
  </si>
  <si>
    <t>　          예수부가세</t>
  </si>
  <si>
    <t>자본금　　　　　　　　　　　　　　</t>
  </si>
  <si>
    <t>잡비</t>
  </si>
  <si>
    <t>보조금</t>
  </si>
  <si>
    <t>포상비</t>
  </si>
  <si>
    <t>기부금</t>
  </si>
  <si>
    <t>급여</t>
  </si>
  <si>
    <t>잡손실</t>
  </si>
  <si>
    <t>보험료</t>
  </si>
  <si>
    <t>임차료</t>
  </si>
  <si>
    <t>잡이익</t>
  </si>
  <si>
    <t>IV.</t>
  </si>
  <si>
    <t>(4)</t>
  </si>
  <si>
    <t>(2)</t>
  </si>
  <si>
    <t>V.</t>
  </si>
  <si>
    <t>매출액</t>
  </si>
  <si>
    <t>VI.</t>
  </si>
  <si>
    <t>2.</t>
  </si>
  <si>
    <t>Ⅱ.</t>
  </si>
  <si>
    <t>X.</t>
  </si>
  <si>
    <t>선급금</t>
  </si>
  <si>
    <t>결손금</t>
  </si>
  <si>
    <t>자본금</t>
  </si>
  <si>
    <t>IX.</t>
  </si>
  <si>
    <t>1.</t>
  </si>
  <si>
    <t>공채</t>
  </si>
  <si>
    <t>Ⅰ.</t>
  </si>
  <si>
    <t>(3)</t>
  </si>
  <si>
    <t>예수금</t>
  </si>
  <si>
    <t>(1)</t>
  </si>
  <si>
    <t xml:space="preserve"> </t>
  </si>
  <si>
    <t>사채</t>
  </si>
  <si>
    <t>선수금</t>
  </si>
  <si>
    <t>보증금</t>
  </si>
  <si>
    <t>건물</t>
  </si>
  <si>
    <t>미착품</t>
  </si>
  <si>
    <t>토지</t>
  </si>
  <si>
    <t>저장품</t>
  </si>
  <si>
    <t>인건비</t>
  </si>
  <si>
    <t>미수금</t>
  </si>
  <si>
    <t>경비</t>
  </si>
  <si>
    <t>대변</t>
  </si>
  <si>
    <t>총계</t>
  </si>
  <si>
    <t>4.</t>
  </si>
  <si>
    <t>차지권</t>
  </si>
  <si>
    <t>차변</t>
  </si>
  <si>
    <t>-</t>
  </si>
  <si>
    <t>총비용</t>
  </si>
  <si>
    <t>총수익</t>
  </si>
  <si>
    <t>순이익</t>
  </si>
  <si>
    <t>(지자체보조금)</t>
  </si>
  <si>
    <t>7호선 연장구간</t>
  </si>
  <si>
    <t>잠실광역환승센터</t>
  </si>
  <si>
    <t>매도가능증권평가차손익</t>
  </si>
  <si>
    <t>수탁원가</t>
  </si>
  <si>
    <t>영업비용</t>
  </si>
  <si>
    <t>(단위 : 원)</t>
  </si>
  <si>
    <t>영업이익(손실)</t>
  </si>
  <si>
    <t>과        목</t>
  </si>
  <si>
    <t>매출총이익(손실)</t>
  </si>
  <si>
    <t>당기순이익(손실)</t>
  </si>
  <si>
    <t>대손상각비(환입)</t>
  </si>
  <si>
    <t>기타포괄손익누계액</t>
  </si>
  <si>
    <t>(사채할인발행차금)</t>
  </si>
  <si>
    <t>퇴직급여충당부채</t>
  </si>
  <si>
    <t>(국민연금전환금)</t>
  </si>
  <si>
    <t>(현재가치할인차금)</t>
  </si>
  <si>
    <t>기타의비유동부채</t>
  </si>
  <si>
    <t>유형자산수탁자산</t>
  </si>
  <si>
    <t>(수탁자산보조금)</t>
  </si>
  <si>
    <t>기타의비유동자산</t>
  </si>
  <si>
    <t>(감가상각누계액)</t>
  </si>
  <si>
    <t>무형자산수탁자산</t>
  </si>
  <si>
    <t>지분법적용투자주식</t>
  </si>
  <si>
    <t>(수탁자산취득보조금)</t>
  </si>
  <si>
    <t>현금및현금성자산</t>
  </si>
  <si>
    <t>과      목</t>
  </si>
  <si>
    <t>업무추진비</t>
  </si>
  <si>
    <t>부대사업수익</t>
  </si>
  <si>
    <t>수도광열비</t>
  </si>
  <si>
    <t>운수사업수익</t>
  </si>
  <si>
    <t>복리후생비</t>
  </si>
  <si>
    <t>도서인쇄비</t>
  </si>
  <si>
    <t>무형자산상각비</t>
  </si>
  <si>
    <t>기타사업수익</t>
  </si>
  <si>
    <t>대행사업수익</t>
  </si>
  <si>
    <t>퇴직급여</t>
  </si>
  <si>
    <t>공공요금및제세</t>
  </si>
  <si>
    <t>수선유지비</t>
  </si>
  <si>
    <t>감가상각비</t>
  </si>
  <si>
    <t>소모품비</t>
  </si>
  <si>
    <t>여비교통비</t>
  </si>
  <si>
    <t>지급수수료</t>
  </si>
  <si>
    <t>피해보상비</t>
  </si>
  <si>
    <t>지분법평가이익</t>
  </si>
  <si>
    <t>광고선전비</t>
  </si>
  <si>
    <t>등기소송비</t>
  </si>
  <si>
    <t>자산수증이익</t>
  </si>
  <si>
    <t>이자비용</t>
  </si>
  <si>
    <t>법인세비용</t>
  </si>
  <si>
    <t>영업수익</t>
  </si>
  <si>
    <t>영업외수익</t>
  </si>
  <si>
    <t>재평가이익</t>
  </si>
  <si>
    <t>지분법평가손실</t>
  </si>
  <si>
    <t>대손상각비</t>
  </si>
  <si>
    <t>위탁수수료</t>
  </si>
  <si>
    <t>재평가손실</t>
  </si>
  <si>
    <t>수입위약배상금</t>
  </si>
  <si>
    <t>교육훈련비</t>
  </si>
  <si>
    <t>차량유지비</t>
  </si>
  <si>
    <t>이자수익</t>
  </si>
  <si>
    <t>외환차익</t>
  </si>
  <si>
    <t>재료비기타</t>
  </si>
  <si>
    <t>채무면제이익</t>
  </si>
  <si>
    <t>일반관리비</t>
  </si>
  <si>
    <t>경상연구개발비</t>
  </si>
  <si>
    <t>VII.</t>
  </si>
  <si>
    <t>III.</t>
  </si>
  <si>
    <t>지분법손실</t>
  </si>
  <si>
    <t>수탁사업수익</t>
  </si>
  <si>
    <t>운영사업원가</t>
  </si>
  <si>
    <t>수탁사업원가</t>
  </si>
  <si>
    <t>판매비와관리비</t>
  </si>
  <si>
    <t>VIII.</t>
  </si>
  <si>
    <t>매출원가</t>
  </si>
  <si>
    <t>공기구비품</t>
  </si>
  <si>
    <t>영업외비용</t>
  </si>
  <si>
    <t>서울교통공사</t>
  </si>
  <si>
    <t>운영사업수익</t>
  </si>
  <si>
    <t>자산총계</t>
  </si>
  <si>
    <t>부채및자본총계</t>
  </si>
  <si>
    <t>예수보증금</t>
  </si>
  <si>
    <t>이연법인세부채</t>
  </si>
  <si>
    <t>예수부가세</t>
  </si>
  <si>
    <t>유동부채</t>
  </si>
  <si>
    <t>장기선수수익</t>
  </si>
  <si>
    <t>부채총계</t>
  </si>
  <si>
    <t>선수수익</t>
  </si>
  <si>
    <t>(대손충당금)</t>
  </si>
  <si>
    <t>장기미수금</t>
  </si>
  <si>
    <t>기타비유동자산</t>
  </si>
  <si>
    <t>소프트웨어</t>
  </si>
  <si>
    <t>산업재산권</t>
  </si>
  <si>
    <t>미처리결손금</t>
  </si>
  <si>
    <t>출자준비금</t>
  </si>
  <si>
    <t>비유동부채</t>
  </si>
  <si>
    <t>유동성장기부채</t>
  </si>
  <si>
    <t>단기차입금</t>
  </si>
  <si>
    <t>장기차입금</t>
  </si>
  <si>
    <t>장기미지급비용</t>
  </si>
  <si>
    <t>재평가잉여금</t>
  </si>
  <si>
    <t>자본총계</t>
  </si>
  <si>
    <t>기타의유동부채</t>
  </si>
  <si>
    <t>장기미지급금</t>
  </si>
  <si>
    <t>소송충당부채</t>
  </si>
  <si>
    <t>미지급비용</t>
  </si>
  <si>
    <t>미지급금</t>
  </si>
  <si>
    <t>단기금융상품</t>
  </si>
  <si>
    <t>무형자산</t>
  </si>
  <si>
    <t>투자자산</t>
  </si>
  <si>
    <t>선로설비</t>
  </si>
  <si>
    <t>선급비용</t>
  </si>
  <si>
    <t>(정부보조금)</t>
  </si>
  <si>
    <t>기계장치</t>
  </si>
  <si>
    <t>비유동자산</t>
  </si>
  <si>
    <t>당기법인세자산</t>
  </si>
  <si>
    <t>매출채권</t>
  </si>
  <si>
    <t>유동자산</t>
  </si>
  <si>
    <t>미수수익</t>
  </si>
  <si>
    <t>기타의유형자산</t>
  </si>
  <si>
    <t>건설중인자산</t>
  </si>
  <si>
    <t>선급부가세</t>
  </si>
  <si>
    <t>전로설비</t>
  </si>
  <si>
    <t>매도가능증권</t>
  </si>
  <si>
    <t>재고자산</t>
  </si>
  <si>
    <t>당좌자산</t>
  </si>
  <si>
    <t>단기대여금</t>
  </si>
  <si>
    <t>차량운반구</t>
  </si>
  <si>
    <t>유형자산</t>
  </si>
  <si>
    <t>장기대여금</t>
  </si>
  <si>
    <t>기타의당좌자산</t>
  </si>
  <si>
    <t>전동차량</t>
  </si>
  <si>
    <t>과     목</t>
  </si>
  <si>
    <t>장기금융상품</t>
  </si>
  <si>
    <t>　          선급지방세</t>
    <phoneticPr fontId="128" type="noConversion"/>
  </si>
  <si>
    <t>　          장기미수금</t>
    <phoneticPr fontId="128" type="noConversion"/>
  </si>
  <si>
    <t>　          기타의비유동자산</t>
  </si>
  <si>
    <t>　          미지급금</t>
  </si>
  <si>
    <t>　          미지급비용</t>
  </si>
  <si>
    <t>　          유동성장기부채</t>
  </si>
  <si>
    <t>　          공채</t>
  </si>
  <si>
    <t>　          장기미지급금</t>
  </si>
  <si>
    <t>　          현재가치할인차금</t>
  </si>
  <si>
    <t>　          퇴직급여충당부채</t>
  </si>
  <si>
    <t>　          기타의비유동부채</t>
  </si>
  <si>
    <t>　          자본금</t>
  </si>
  <si>
    <t>　          출자준비금</t>
  </si>
  <si>
    <t>　          매도가능증권평가차손익</t>
    <phoneticPr fontId="128" type="noConversion"/>
  </si>
  <si>
    <t>　          운수사업수익</t>
  </si>
  <si>
    <t>　          부대사업수익</t>
  </si>
  <si>
    <t>　          기타사업수익</t>
  </si>
  <si>
    <t>　          급여</t>
  </si>
  <si>
    <t>　          퇴직급여</t>
  </si>
  <si>
    <t>　          복리후생비</t>
  </si>
  <si>
    <t>　          여비교통비</t>
  </si>
  <si>
    <t>　          수도광열비</t>
  </si>
  <si>
    <t>　          공공요금 및 제세</t>
  </si>
  <si>
    <t>　          소모품비</t>
  </si>
  <si>
    <t>　          도서인쇄비</t>
  </si>
  <si>
    <t>　          임차료</t>
  </si>
  <si>
    <t>　          감가상각비</t>
  </si>
  <si>
    <t>　          무형자산상각비</t>
  </si>
  <si>
    <t>　          수선유지비</t>
  </si>
  <si>
    <t>　          차량유지비</t>
  </si>
  <si>
    <t>　          보험료</t>
  </si>
  <si>
    <t>　          지급수수료</t>
  </si>
  <si>
    <t>　          업무추진비</t>
  </si>
  <si>
    <t>　          교육훈련비</t>
  </si>
  <si>
    <t>　          피해보상비</t>
  </si>
  <si>
    <t>　          경상연구개발비</t>
  </si>
  <si>
    <t>　          재료비기타</t>
  </si>
  <si>
    <t>　          잡비</t>
  </si>
  <si>
    <t>　          자본투자비</t>
  </si>
  <si>
    <t>　          지급수수료</t>
    <phoneticPr fontId="128" type="noConversion"/>
  </si>
  <si>
    <t>　          포상비</t>
  </si>
  <si>
    <t>　          광고선전비</t>
  </si>
  <si>
    <t>　          등기소송비</t>
  </si>
  <si>
    <t>(지자체보조금)</t>
    <phoneticPr fontId="124" type="noConversion"/>
  </si>
  <si>
    <t>지분법자본변동</t>
    <phoneticPr fontId="124" type="noConversion"/>
  </si>
  <si>
    <t>　          지분법자본변동</t>
    <phoneticPr fontId="128" type="noConversion"/>
  </si>
  <si>
    <t xml:space="preserve"> 재   무   상   태   표</t>
    <phoneticPr fontId="124" type="noConversion"/>
  </si>
  <si>
    <t>-</t>
    <phoneticPr fontId="124" type="noConversion"/>
  </si>
  <si>
    <t>무형자산폐기손실</t>
    <phoneticPr fontId="124" type="noConversion"/>
  </si>
  <si>
    <t>무형자산처분손실</t>
    <phoneticPr fontId="124" type="noConversion"/>
  </si>
  <si>
    <t>제 7 기</t>
    <phoneticPr fontId="124" type="noConversion"/>
  </si>
  <si>
    <t>배당금수익</t>
    <phoneticPr fontId="124" type="noConversion"/>
  </si>
  <si>
    <t>기타의대손상각비</t>
    <phoneticPr fontId="128" type="noConversion"/>
  </si>
  <si>
    <t>건물의 취득</t>
  </si>
  <si>
    <t>Ⅵ. 기말의현금</t>
  </si>
  <si>
    <t>Ⅴ. 기초의현금</t>
  </si>
  <si>
    <t>기타비유동부채의 감소</t>
  </si>
  <si>
    <t>유동성장기부채의 상환</t>
  </si>
  <si>
    <t>단기차입금의 상환</t>
  </si>
  <si>
    <t>정부보조금의 수령</t>
  </si>
  <si>
    <t>자본금의 증가</t>
  </si>
  <si>
    <t>2. 재무활동으로인한현금유출액</t>
  </si>
  <si>
    <t>단기차입금의 차입</t>
  </si>
  <si>
    <t>1. 재무활동으로인한현금유입액</t>
  </si>
  <si>
    <t>Ⅲ. 재무활동으로인한현금흐름</t>
  </si>
  <si>
    <t>유형수탁자산의 취득</t>
  </si>
  <si>
    <t>기타의유형자산의 취득</t>
  </si>
  <si>
    <t>전로설비의 취득</t>
  </si>
  <si>
    <t>2. 투자활동으로인한현금유출액</t>
  </si>
  <si>
    <t>수탁자산취득보조금의 수령</t>
  </si>
  <si>
    <t>지자체보조금의 수령</t>
  </si>
  <si>
    <t>기타의비유동자산의 감소</t>
  </si>
  <si>
    <t>토지의 처분</t>
  </si>
  <si>
    <t>1. 투자활동으로인한현금유입액</t>
  </si>
  <si>
    <t>Ⅱ. 투자활동으로인한현금흐름</t>
  </si>
  <si>
    <t>배당금의 수령</t>
  </si>
  <si>
    <t>퇴직금의 지급</t>
  </si>
  <si>
    <t>기타유동부채의 증가(감소)</t>
  </si>
  <si>
    <t>예수보증금의 증가(감소)</t>
  </si>
  <si>
    <t>미지급비용의 증가(감소)</t>
  </si>
  <si>
    <t>4. 영업활동으로인한자산부채의변동</t>
  </si>
  <si>
    <t>3. 현금의유입이없는수익등의차감</t>
  </si>
  <si>
    <t>2. 현금의유출이없는비용등의가산</t>
  </si>
  <si>
    <t>1. 당기순손실</t>
  </si>
  <si>
    <t>Ⅰ. 영업활동으로인한현금흐름</t>
  </si>
  <si>
    <t>과                        목</t>
  </si>
  <si>
    <t>서울교통공사</t>
    <phoneticPr fontId="128" type="noConversion"/>
  </si>
  <si>
    <t>제 7 기
(2023.12.31.)</t>
    <phoneticPr fontId="124" type="noConversion"/>
  </si>
  <si>
    <t>단기대여금의 상환</t>
  </si>
  <si>
    <t>Ⅳ. 현금의증가(Ⅰ+Ⅱ+Ⅲ)</t>
  </si>
  <si>
    <t>선로설비의 취득</t>
  </si>
  <si>
    <t>지분법적용투자주식 취득</t>
  </si>
  <si>
    <t>제 8 기</t>
    <phoneticPr fontId="124" type="noConversion"/>
  </si>
  <si>
    <t>기타비유동자산처분이익</t>
    <phoneticPr fontId="124" type="noConversion"/>
  </si>
  <si>
    <t>기타비유동자산처분이익</t>
  </si>
  <si>
    <t xml:space="preserve"> </t>
    <phoneticPr fontId="124" type="noConversion"/>
  </si>
  <si>
    <t>기 타 비 유 동 자 산 처 분 손 실</t>
    <phoneticPr fontId="124" type="noConversion"/>
  </si>
  <si>
    <t>Ⅲ.</t>
    <phoneticPr fontId="124" type="noConversion"/>
  </si>
  <si>
    <t>제 8 기
(2024.12.31.)</t>
    <phoneticPr fontId="124" type="noConversion"/>
  </si>
  <si>
    <t>  6. 당기순이익(손실)</t>
  </si>
  <si>
    <t>  5. 지분법자본변동</t>
  </si>
  <si>
    <t>  4. 매도가능증권평가이익</t>
  </si>
  <si>
    <t>  3. 토지재평가이익</t>
  </si>
  <si>
    <t>  2. 공채이관</t>
    <phoneticPr fontId="124" type="noConversion"/>
  </si>
  <si>
    <t>  1. 현금출자</t>
    <phoneticPr fontId="124" type="noConversion"/>
  </si>
  <si>
    <t>총   계</t>
  </si>
  <si>
    <t>이익잉여금</t>
    <phoneticPr fontId="124" type="noConversion"/>
  </si>
  <si>
    <t>자 본 금</t>
  </si>
  <si>
    <t>과     목</t>
  </si>
  <si>
    <t>제 7 기 : 2023년 1월 1일 부터 2023년 12월 31일까지</t>
    <phoneticPr fontId="128" type="noConversion"/>
  </si>
  <si>
    <t>자 본 변 동 표</t>
    <phoneticPr fontId="128" type="noConversion"/>
  </si>
  <si>
    <t>제 7 기 : 2023년 1월 1일 부터 2023년  12월 31일까지</t>
    <phoneticPr fontId="128" type="noConversion"/>
  </si>
  <si>
    <t>현 금 흐 름 표</t>
    <phoneticPr fontId="128" type="noConversion"/>
  </si>
  <si>
    <t>합계</t>
    <phoneticPr fontId="128" type="noConversion"/>
  </si>
  <si>
    <t>비용</t>
    <phoneticPr fontId="128" type="noConversion"/>
  </si>
  <si>
    <t>　          잡손실</t>
    <phoneticPr fontId="128" type="noConversion"/>
  </si>
  <si>
    <t xml:space="preserve">            기타의대손상각비</t>
    <phoneticPr fontId="128" type="noConversion"/>
  </si>
  <si>
    <t>　          무형자산폐기손실</t>
    <phoneticPr fontId="128" type="noConversion"/>
  </si>
  <si>
    <t>　          유형자산폐기손실</t>
    <phoneticPr fontId="128" type="noConversion"/>
  </si>
  <si>
    <t>　          기타비유동자산처분손실</t>
    <phoneticPr fontId="128" type="noConversion"/>
  </si>
  <si>
    <t>　          기부금</t>
    <phoneticPr fontId="128" type="noConversion"/>
  </si>
  <si>
    <t>　          재고자산폐기손실</t>
    <phoneticPr fontId="128" type="noConversion"/>
  </si>
  <si>
    <t>　          이자비용</t>
    <phoneticPr fontId="128" type="noConversion"/>
  </si>
  <si>
    <t>수익</t>
    <phoneticPr fontId="128" type="noConversion"/>
  </si>
  <si>
    <t>　          잡이익</t>
    <phoneticPr fontId="128" type="noConversion"/>
  </si>
  <si>
    <t>　          지분법이익</t>
    <phoneticPr fontId="128" type="noConversion"/>
  </si>
  <si>
    <t>　          수입보조금</t>
    <phoneticPr fontId="128" type="noConversion"/>
  </si>
  <si>
    <t>　          자산수증이익</t>
    <phoneticPr fontId="128" type="noConversion"/>
  </si>
  <si>
    <t>　          공채상환이익</t>
    <phoneticPr fontId="128" type="noConversion"/>
  </si>
  <si>
    <t>　          유형자산처분이익</t>
    <phoneticPr fontId="128" type="noConversion"/>
  </si>
  <si>
    <t>　          대손충당금환입</t>
    <phoneticPr fontId="128" type="noConversion"/>
  </si>
  <si>
    <t>　          수입위약배상금</t>
    <phoneticPr fontId="128" type="noConversion"/>
  </si>
  <si>
    <t xml:space="preserve">             기타비유동자산처분이익</t>
    <phoneticPr fontId="128" type="noConversion"/>
  </si>
  <si>
    <t xml:space="preserve">             배당금수익</t>
    <phoneticPr fontId="128" type="noConversion"/>
  </si>
  <si>
    <t>　          이자수익</t>
    <phoneticPr fontId="128" type="noConversion"/>
  </si>
  <si>
    <t>　          관서업무비</t>
    <phoneticPr fontId="128" type="noConversion"/>
  </si>
  <si>
    <t>　          대손상각비</t>
    <phoneticPr fontId="128" type="noConversion"/>
  </si>
  <si>
    <t xml:space="preserve">             경상연구개발비</t>
    <phoneticPr fontId="128" type="noConversion"/>
  </si>
  <si>
    <t>　          성과급</t>
    <phoneticPr fontId="128" type="noConversion"/>
  </si>
  <si>
    <t>판매관리비</t>
    <phoneticPr fontId="128" type="noConversion"/>
  </si>
  <si>
    <t>　　       자본투자비</t>
    <phoneticPr fontId="128" type="noConversion"/>
  </si>
  <si>
    <t xml:space="preserve">             피해보상비</t>
    <phoneticPr fontId="128" type="noConversion"/>
  </si>
  <si>
    <t xml:space="preserve">            등기소송비</t>
    <phoneticPr fontId="128" type="noConversion"/>
  </si>
  <si>
    <t>　          포상비</t>
    <phoneticPr fontId="128" type="noConversion"/>
  </si>
  <si>
    <t>　          차량유지비</t>
    <phoneticPr fontId="128" type="noConversion"/>
  </si>
  <si>
    <t>　          수선유지비</t>
    <phoneticPr fontId="128" type="noConversion"/>
  </si>
  <si>
    <t xml:space="preserve">             성과급</t>
    <phoneticPr fontId="128" type="noConversion"/>
  </si>
  <si>
    <t>수탁사업원가</t>
    <phoneticPr fontId="128" type="noConversion"/>
  </si>
  <si>
    <t>　          재고자산평가손실</t>
    <phoneticPr fontId="128" type="noConversion"/>
  </si>
  <si>
    <t xml:space="preserve">              광고선전비</t>
    <phoneticPr fontId="128" type="noConversion"/>
  </si>
  <si>
    <t>　          업무추진비</t>
    <phoneticPr fontId="128" type="noConversion"/>
  </si>
  <si>
    <t>　          급여</t>
    <phoneticPr fontId="128" type="noConversion"/>
  </si>
  <si>
    <t>매출원가</t>
    <phoneticPr fontId="128" type="noConversion"/>
  </si>
  <si>
    <t>　          수탁/대행사업수익</t>
    <phoneticPr fontId="128" type="noConversion"/>
  </si>
  <si>
    <t>재무상태표(대변)</t>
    <phoneticPr fontId="128" type="noConversion"/>
  </si>
  <si>
    <t>　          당기순이익(순손실)</t>
    <phoneticPr fontId="128" type="noConversion"/>
  </si>
  <si>
    <t>　          전기오류수정손실</t>
    <phoneticPr fontId="128" type="noConversion"/>
  </si>
  <si>
    <t>　          지분법이익잉여금변동</t>
    <phoneticPr fontId="128" type="noConversion"/>
  </si>
  <si>
    <t>　          전기이월이익잉여금(미처리결손금)</t>
    <phoneticPr fontId="128" type="noConversion"/>
  </si>
  <si>
    <t>　          재평가잉여금</t>
  </si>
  <si>
    <t>　          이연법인세부채</t>
    <phoneticPr fontId="128" type="noConversion"/>
  </si>
  <si>
    <t>　          장기차입금</t>
    <phoneticPr fontId="128" type="noConversion"/>
  </si>
  <si>
    <t>　          소송충당부채</t>
    <phoneticPr fontId="128" type="noConversion"/>
  </si>
  <si>
    <t>　          기타의 유동부채</t>
    <phoneticPr fontId="128" type="noConversion"/>
  </si>
  <si>
    <t>　          단기차입금</t>
    <phoneticPr fontId="128" type="noConversion"/>
  </si>
  <si>
    <t>재무상태표(차변)</t>
    <phoneticPr fontId="128" type="noConversion"/>
  </si>
  <si>
    <t>　        대손충당금</t>
    <phoneticPr fontId="128" type="noConversion"/>
  </si>
  <si>
    <t>　          보증금</t>
    <phoneticPr fontId="128" type="noConversion"/>
  </si>
  <si>
    <t>　          수탁자산소프트웨어감가상각누계액</t>
    <phoneticPr fontId="128" type="noConversion"/>
  </si>
  <si>
    <t>　          수탁자산소프트웨어취득보조금</t>
    <phoneticPr fontId="128" type="noConversion"/>
  </si>
  <si>
    <t>　          수탁자산소프트웨어</t>
    <phoneticPr fontId="128" type="noConversion"/>
  </si>
  <si>
    <t>　          국고/감가상각누계액</t>
    <phoneticPr fontId="128" type="noConversion"/>
  </si>
  <si>
    <t>　          국고보조금</t>
    <phoneticPr fontId="128" type="noConversion"/>
  </si>
  <si>
    <t>　          소프트웨어</t>
    <phoneticPr fontId="128" type="noConversion"/>
  </si>
  <si>
    <t>　          차지권</t>
    <phoneticPr fontId="128" type="noConversion"/>
  </si>
  <si>
    <t>　          상표권</t>
    <phoneticPr fontId="128" type="noConversion"/>
  </si>
  <si>
    <t>　          의장권</t>
    <phoneticPr fontId="128" type="noConversion"/>
  </si>
  <si>
    <t>　          실용신안권</t>
    <phoneticPr fontId="128" type="noConversion"/>
  </si>
  <si>
    <t>　          특허권</t>
    <phoneticPr fontId="128" type="noConversion"/>
  </si>
  <si>
    <t>　          건설중수탁자산취득보조금</t>
    <phoneticPr fontId="128" type="noConversion"/>
  </si>
  <si>
    <t>　          건설중수탁자산</t>
    <phoneticPr fontId="128" type="noConversion"/>
  </si>
  <si>
    <t>　          공기구비품수탁자산/국고보조금</t>
    <phoneticPr fontId="128" type="noConversion"/>
  </si>
  <si>
    <t>　          공기구비품수탁자산감가상각누계액</t>
    <phoneticPr fontId="128" type="noConversion"/>
  </si>
  <si>
    <t>　          공기구비품수탁자산취득보조금</t>
    <phoneticPr fontId="128" type="noConversion"/>
  </si>
  <si>
    <t>　          공기구비품수탁자산</t>
    <phoneticPr fontId="128" type="noConversion"/>
  </si>
  <si>
    <t>　          차량운반구수탁자산감가상각누계액</t>
    <phoneticPr fontId="128" type="noConversion"/>
  </si>
  <si>
    <t>　          차량운반구수탁자산취득보조금</t>
    <phoneticPr fontId="128" type="noConversion"/>
  </si>
  <si>
    <t>　          차량운반구수탁자산</t>
    <phoneticPr fontId="128" type="noConversion"/>
  </si>
  <si>
    <t>　          전동차량수탁자산국고보조금</t>
    <phoneticPr fontId="128" type="noConversion"/>
  </si>
  <si>
    <t>　          전동차량수탁자산감가상각누계액</t>
    <phoneticPr fontId="128" type="noConversion"/>
  </si>
  <si>
    <t>　          전동차량수탁자산취득보조금</t>
    <phoneticPr fontId="128" type="noConversion"/>
  </si>
  <si>
    <t>　          전동차량수탁자산</t>
    <phoneticPr fontId="128" type="noConversion"/>
  </si>
  <si>
    <t>　          전로설비수탁자산국고보조금</t>
    <phoneticPr fontId="128" type="noConversion"/>
  </si>
  <si>
    <t>　          전로설비수탁자산감가상각누계액</t>
    <phoneticPr fontId="128" type="noConversion"/>
  </si>
  <si>
    <t>　          전로설비수탁자산취득보조금</t>
    <phoneticPr fontId="128" type="noConversion"/>
  </si>
  <si>
    <t>　          전로설비수탁자산</t>
    <phoneticPr fontId="128" type="noConversion"/>
  </si>
  <si>
    <t>　          선로설비수탁자산국고보조금</t>
    <phoneticPr fontId="128" type="noConversion"/>
  </si>
  <si>
    <t>　          선로설비수탁자산감가상각누계액</t>
    <phoneticPr fontId="128" type="noConversion"/>
  </si>
  <si>
    <t>　          선로설비수탁자산취득보조금</t>
    <phoneticPr fontId="128" type="noConversion"/>
  </si>
  <si>
    <t>　          선로설비수탁자산</t>
    <phoneticPr fontId="128" type="noConversion"/>
  </si>
  <si>
    <t>　          기계장치수탁자산감가상각누계액</t>
    <phoneticPr fontId="128" type="noConversion"/>
  </si>
  <si>
    <t>　          기계장치수탁자산취득보조금</t>
    <phoneticPr fontId="128" type="noConversion"/>
  </si>
  <si>
    <t>　          기계장치수탁자산</t>
    <phoneticPr fontId="128" type="noConversion"/>
  </si>
  <si>
    <t>　          감가상각누계액</t>
    <phoneticPr fontId="128" type="noConversion"/>
  </si>
  <si>
    <t>　          기타의유형자산</t>
    <phoneticPr fontId="128" type="noConversion"/>
  </si>
  <si>
    <t>　          지방자치단체보조금</t>
    <phoneticPr fontId="128" type="noConversion"/>
  </si>
  <si>
    <t>　          건설중인자산</t>
    <phoneticPr fontId="128" type="noConversion"/>
  </si>
  <si>
    <t>　          지방자치단체보조금/감가상각누계액</t>
    <phoneticPr fontId="128" type="noConversion"/>
  </si>
  <si>
    <t>　          공기구비품</t>
    <phoneticPr fontId="128" type="noConversion"/>
  </si>
  <si>
    <t>　          차량운반구/지방자치단체보조금/감가상각누계액</t>
    <phoneticPr fontId="128" type="noConversion"/>
  </si>
  <si>
    <t>　          차량운반구</t>
    <phoneticPr fontId="128" type="noConversion"/>
  </si>
  <si>
    <t>　          전동차량</t>
    <phoneticPr fontId="128" type="noConversion"/>
  </si>
  <si>
    <t>　          전로설비</t>
    <phoneticPr fontId="128" type="noConversion"/>
  </si>
  <si>
    <t>　          선로설비</t>
    <phoneticPr fontId="128" type="noConversion"/>
  </si>
  <si>
    <t>　          기계장치</t>
    <phoneticPr fontId="128" type="noConversion"/>
  </si>
  <si>
    <t>　          건물</t>
    <phoneticPr fontId="128" type="noConversion"/>
  </si>
  <si>
    <t>　          토지</t>
    <phoneticPr fontId="128" type="noConversion"/>
  </si>
  <si>
    <t>　          지분법적용투자주식</t>
    <phoneticPr fontId="128" type="noConversion"/>
  </si>
  <si>
    <t>　          장기대여금</t>
    <phoneticPr fontId="128" type="noConversion"/>
  </si>
  <si>
    <t>　          매도가능증권</t>
    <phoneticPr fontId="128" type="noConversion"/>
  </si>
  <si>
    <t>　          미착품</t>
    <phoneticPr fontId="128" type="noConversion"/>
  </si>
  <si>
    <t>　          저장품</t>
    <phoneticPr fontId="128" type="noConversion"/>
  </si>
  <si>
    <t>　          기타의당좌자산</t>
    <phoneticPr fontId="128" type="noConversion"/>
  </si>
  <si>
    <t>　          국고부가세/철스크랩</t>
    <phoneticPr fontId="128" type="noConversion"/>
  </si>
  <si>
    <t>　          선급부가세</t>
    <phoneticPr fontId="128" type="noConversion"/>
  </si>
  <si>
    <t>　          선급법인세</t>
    <phoneticPr fontId="128" type="noConversion"/>
  </si>
  <si>
    <t>　          선급비용</t>
    <phoneticPr fontId="128" type="noConversion"/>
  </si>
  <si>
    <t>　          선급금</t>
    <phoneticPr fontId="128" type="noConversion"/>
  </si>
  <si>
    <t>　          미수수익</t>
    <phoneticPr fontId="128" type="noConversion"/>
  </si>
  <si>
    <t>　          미수금</t>
    <phoneticPr fontId="128" type="noConversion"/>
  </si>
  <si>
    <t>　          외상매출금</t>
    <phoneticPr fontId="128" type="noConversion"/>
  </si>
  <si>
    <t>　          단기대여금</t>
    <phoneticPr fontId="128" type="noConversion"/>
  </si>
  <si>
    <t>　          수탁자산취득보조금</t>
    <phoneticPr fontId="128" type="noConversion"/>
  </si>
  <si>
    <t>　          현금성자산</t>
    <phoneticPr fontId="128" type="noConversion"/>
  </si>
  <si>
    <t>　          보통예금</t>
    <phoneticPr fontId="128" type="noConversion"/>
  </si>
  <si>
    <t>　          당좌예금</t>
    <phoneticPr fontId="128" type="noConversion"/>
  </si>
  <si>
    <t>　          현금</t>
    <phoneticPr fontId="128" type="noConversion"/>
  </si>
  <si>
    <t>잔액</t>
    <phoneticPr fontId="128" type="noConversion"/>
  </si>
  <si>
    <t>비고</t>
    <phoneticPr fontId="128" type="noConversion"/>
  </si>
  <si>
    <t>검증</t>
    <phoneticPr fontId="128" type="noConversion"/>
  </si>
  <si>
    <t>차이</t>
    <phoneticPr fontId="128" type="noConversion"/>
  </si>
  <si>
    <t>계정과목</t>
    <phoneticPr fontId="128" type="noConversion"/>
  </si>
  <si>
    <t>(단위:원)</t>
    <phoneticPr fontId="128" type="noConversion"/>
  </si>
  <si>
    <t>합 계 잔 액 시 산 표</t>
    <phoneticPr fontId="128" type="noConversion"/>
  </si>
  <si>
    <t>2023.01.01(전기초)</t>
  </si>
  <si>
    <t>2023.12.31(전기말)</t>
  </si>
  <si>
    <t>2024.01.01(당기초)</t>
  </si>
  <si>
    <t>  2. 토지재평가이익</t>
  </si>
  <si>
    <t>  3. 매도가능증권평가이익</t>
  </si>
  <si>
    <t>  4. 지분법자본변동</t>
  </si>
  <si>
    <t>  5. 당기순이익(손실)</t>
  </si>
  <si>
    <t>2024.12.31(당기말)</t>
  </si>
  <si>
    <t>제 8 기 : 2024년 1월 1일 부터 2024년 12월 31일까지</t>
    <phoneticPr fontId="128" type="noConversion"/>
  </si>
  <si>
    <t>기타비유동자산처분손실</t>
  </si>
  <si>
    <t>-</t>
    <phoneticPr fontId="128" type="noConversion"/>
  </si>
  <si>
    <t>무형자산폐기손실</t>
  </si>
  <si>
    <t>매출채권의 증가(감소)</t>
  </si>
  <si>
    <t>미수금의 증가(감소)</t>
  </si>
  <si>
    <t>미수수익의 증가(감소)</t>
  </si>
  <si>
    <t>선급금의 증가(감소)</t>
  </si>
  <si>
    <t>선급비용의 증가(감소)</t>
  </si>
  <si>
    <t>당기법인세자산의 증가(감소)</t>
  </si>
  <si>
    <t>기타의당좌자산의 증가(감소)</t>
  </si>
  <si>
    <t>재고자산의 증가(감소)</t>
  </si>
  <si>
    <t>미지급금의 증가(감소)</t>
  </si>
  <si>
    <t>선수금의 증가(감소)</t>
  </si>
  <si>
    <t>예수금의 증가(감소)</t>
  </si>
  <si>
    <t>부가세예수금의 증가(감소)</t>
  </si>
  <si>
    <t>선수수익의 증가(감소)</t>
  </si>
  <si>
    <t>소송충당부채의 증가(감소)</t>
  </si>
  <si>
    <t>장기미지급금의 증가(감소)</t>
  </si>
  <si>
    <t>국민연금전환금의 증가(감소)</t>
  </si>
  <si>
    <t>장기선수수익의 증가(감소)</t>
  </si>
  <si>
    <t>장기대여금의 상환</t>
  </si>
  <si>
    <t>건물의 처분</t>
  </si>
  <si>
    <t>장기대여금의 대여</t>
  </si>
  <si>
    <t>토지의 취득</t>
  </si>
  <si>
    <t>기타의비유동자산의 취득</t>
  </si>
  <si>
    <t>건설중인자산의 증가</t>
  </si>
  <si>
    <t>수탁자산취득보조금의 반납</t>
  </si>
  <si>
    <t>정부보조금의 반납</t>
  </si>
  <si>
    <t>사채의 발행</t>
  </si>
  <si>
    <t>재정안정통합기금 증가</t>
  </si>
  <si>
    <t>기타비유동부채의 증가</t>
  </si>
  <si>
    <t>기타비유동자산의 증가</t>
  </si>
  <si>
    <t>정부보조금의 반납(국비이자)</t>
  </si>
  <si>
    <t>제 8 기 : 2024년 1월 1일 부터 2024년  12월 31일까지</t>
    <phoneticPr fontId="128" type="noConversion"/>
  </si>
  <si>
    <t>제 8 기</t>
    <phoneticPr fontId="128" type="noConversion"/>
  </si>
  <si>
    <t xml:space="preserve">제 7 기 </t>
    <phoneticPr fontId="124" type="noConversion"/>
  </si>
  <si>
    <t>제 8 기  2024년 12월 31일 현재</t>
  </si>
  <si>
    <t>제 7 기  2023년 12월 31일 현재</t>
  </si>
  <si>
    <t>제 8 기  2024년 1월 1일부터 2024년 12월 31일까지</t>
  </si>
  <si>
    <t>제 7 기  2023년 1월 1일부터 2023년 12월 31일까지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</si>
</sst>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#,##0_);[Red]\(#,##0\)"/>
    <numFmt numFmtId="177" formatCode="#,##0_);\(#,##0\)"/>
    <numFmt numFmtId="178" formatCode="###,###\ ;\(###,###\)\ ;\-\ "/>
    <numFmt numFmtId="179" formatCode="#,##0\ ;\(#,##0\)"/>
    <numFmt numFmtId="180" formatCode="#,###,,"/>
    <numFmt numFmtId="181" formatCode="#,##0,,"/>
    <numFmt numFmtId="182" formatCode="0_);[Red]\(0\)"/>
    <numFmt numFmtId="183" formatCode="#,##0;[Red]\(#,##0\);\-"/>
    <numFmt numFmtId="184" formatCode="_-* #,##0_-;[Red]\(#,##0_-\);_-* &quot;-&quot;_-;_-@_-"/>
  </numFmts>
  <fonts count="158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8"/>
      <color rgb="FF44546A"/>
      <name val="맑은 고딕"/>
      <family val="3"/>
      <charset val="129"/>
    </font>
    <font>
      <b/>
      <sz val="15"/>
      <color rgb="FF44546A"/>
      <name val="맑은 고딕"/>
      <family val="3"/>
      <charset val="129"/>
    </font>
    <font>
      <b/>
      <sz val="13"/>
      <color rgb="FF44546A"/>
      <name val="맑은 고딕"/>
      <family val="3"/>
      <charset val="129"/>
    </font>
    <font>
      <b/>
      <sz val="11"/>
      <color rgb="FF44546A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0"/>
      <color rgb="FF000000"/>
      <name val="Arial"/>
      <family val="2"/>
    </font>
    <font>
      <sz val="12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5"/>
      <color rgb="FFFF0000"/>
      <name val="맑은 고딕"/>
      <family val="3"/>
      <charset val="129"/>
    </font>
    <font>
      <sz val="22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0"/>
      <color rgb="FFFF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5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theme="0" tint="-0.34998626667073579"/>
      <name val="맑은 고딕"/>
      <family val="3"/>
      <charset val="129"/>
    </font>
    <font>
      <sz val="10"/>
      <name val="Arial"/>
      <family val="2"/>
    </font>
    <font>
      <sz val="9"/>
      <color indexed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26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BED7EE"/>
      </patternFill>
    </fill>
    <fill>
      <patternFill patternType="solid">
        <fgColor rgb="FF9CC3E6"/>
      </patternFill>
    </fill>
    <fill>
      <patternFill patternType="solid">
        <fgColor rgb="FFED7D31"/>
      </patternFill>
    </fill>
    <fill>
      <patternFill patternType="solid">
        <fgColor rgb="FFFBE5D7"/>
      </patternFill>
    </fill>
    <fill>
      <patternFill patternType="solid">
        <fgColor rgb="FFF8CBAC"/>
      </patternFill>
    </fill>
    <fill>
      <patternFill patternType="solid">
        <fgColor rgb="FFF4B184"/>
      </patternFill>
    </fill>
    <fill>
      <patternFill patternType="solid">
        <fgColor rgb="FFEDEDED"/>
      </patternFill>
    </fill>
    <fill>
      <patternFill patternType="solid">
        <fgColor rgb="FFDBDBDB"/>
      </patternFill>
    </fill>
    <fill>
      <patternFill patternType="solid">
        <fgColor rgb="FFC9C9C9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FFD966"/>
      </patternFill>
    </fill>
    <fill>
      <patternFill patternType="solid">
        <fgColor rgb="FF4472C4"/>
      </patternFill>
    </fill>
    <fill>
      <patternFill patternType="solid">
        <fgColor rgb="FFDAE3F3"/>
      </patternFill>
    </fill>
    <fill>
      <patternFill patternType="solid">
        <fgColor rgb="FFB4C6E7"/>
      </patternFill>
    </fill>
    <fill>
      <patternFill patternType="solid">
        <fgColor rgb="FF8FABDB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C6E0B3"/>
      </patternFill>
    </fill>
    <fill>
      <patternFill patternType="solid">
        <fgColor rgb="FFA8D08F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56">
    <border>
      <left/>
      <right/>
      <top/>
      <bottom/>
      <diagonal/>
    </border>
    <border diagonalUp="1" diagonalDown="1">
      <left/>
      <right/>
      <top/>
      <bottom style="thick">
        <color rgb="FF5B9BD5"/>
      </bottom>
      <diagonal/>
    </border>
    <border diagonalUp="1" diagonalDown="1">
      <left/>
      <right/>
      <top/>
      <bottom style="thick">
        <color rgb="FFADCDEA"/>
      </bottom>
      <diagonal/>
    </border>
    <border diagonalUp="1" diagonalDown="1">
      <left/>
      <right/>
      <top/>
      <bottom style="medium">
        <color rgb="FF9CC3E6"/>
      </bottom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/>
      <right/>
      <top style="thin">
        <color rgb="FF5B9BD5"/>
      </top>
      <bottom style="double">
        <color rgb="FF5B9BD5"/>
      </bottom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 style="medium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medium">
        <color indexed="64"/>
      </right>
      <top/>
      <bottom/>
      <diagonal/>
    </border>
    <border diagonalUp="1" diagonalDown="1"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 diagonalUp="1" diagonalDown="1"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285">
    <xf numFmtId="0" fontId="0" fillId="0" borderId="0">
      <alignment vertical="center"/>
    </xf>
    <xf numFmtId="41" fontId="123" fillId="0" borderId="0">
      <alignment vertical="center"/>
    </xf>
    <xf numFmtId="0" fontId="93" fillId="0" borderId="0"/>
    <xf numFmtId="41" fontId="93" fillId="0" borderId="0"/>
    <xf numFmtId="0" fontId="94" fillId="0" borderId="0">
      <alignment vertical="center"/>
    </xf>
    <xf numFmtId="0" fontId="95" fillId="0" borderId="1">
      <alignment vertical="center"/>
    </xf>
    <xf numFmtId="0" fontId="96" fillId="0" borderId="2">
      <alignment vertical="center"/>
    </xf>
    <xf numFmtId="0" fontId="97" fillId="0" borderId="3">
      <alignment vertical="center"/>
    </xf>
    <xf numFmtId="0" fontId="97" fillId="0" borderId="0">
      <alignment vertical="center"/>
    </xf>
    <xf numFmtId="0" fontId="98" fillId="2" borderId="0">
      <alignment vertical="center"/>
    </xf>
    <xf numFmtId="0" fontId="99" fillId="3" borderId="0">
      <alignment vertical="center"/>
    </xf>
    <xf numFmtId="0" fontId="100" fillId="4" borderId="0">
      <alignment vertical="center"/>
    </xf>
    <xf numFmtId="0" fontId="101" fillId="5" borderId="4">
      <alignment vertical="center"/>
    </xf>
    <xf numFmtId="0" fontId="102" fillId="6" borderId="5">
      <alignment vertical="center"/>
    </xf>
    <xf numFmtId="0" fontId="103" fillId="6" borderId="4">
      <alignment vertical="center"/>
    </xf>
    <xf numFmtId="0" fontId="104" fillId="0" borderId="6">
      <alignment vertical="center"/>
    </xf>
    <xf numFmtId="0" fontId="105" fillId="7" borderId="7">
      <alignment vertical="center"/>
    </xf>
    <xf numFmtId="0" fontId="106" fillId="0" borderId="0">
      <alignment vertical="center"/>
    </xf>
    <xf numFmtId="0" fontId="123" fillId="8" borderId="8">
      <alignment vertical="center"/>
    </xf>
    <xf numFmtId="0" fontId="107" fillId="0" borderId="0">
      <alignment vertical="center"/>
    </xf>
    <xf numFmtId="0" fontId="108" fillId="0" borderId="9">
      <alignment vertical="center"/>
    </xf>
    <xf numFmtId="0" fontId="109" fillId="9" borderId="0">
      <alignment vertical="center"/>
    </xf>
    <xf numFmtId="0" fontId="123" fillId="10" borderId="0">
      <alignment vertical="center"/>
    </xf>
    <xf numFmtId="0" fontId="123" fillId="11" borderId="0">
      <alignment vertical="center"/>
    </xf>
    <xf numFmtId="0" fontId="109" fillId="12" borderId="0">
      <alignment vertical="center"/>
    </xf>
    <xf numFmtId="0" fontId="109" fillId="13" borderId="0">
      <alignment vertical="center"/>
    </xf>
    <xf numFmtId="0" fontId="123" fillId="14" borderId="0">
      <alignment vertical="center"/>
    </xf>
    <xf numFmtId="0" fontId="123" fillId="15" borderId="0">
      <alignment vertical="center"/>
    </xf>
    <xf numFmtId="0" fontId="109" fillId="16" borderId="0">
      <alignment vertical="center"/>
    </xf>
    <xf numFmtId="0" fontId="109" fillId="7" borderId="0">
      <alignment vertical="center"/>
    </xf>
    <xf numFmtId="0" fontId="123" fillId="17" borderId="0">
      <alignment vertical="center"/>
    </xf>
    <xf numFmtId="0" fontId="123" fillId="18" borderId="0">
      <alignment vertical="center"/>
    </xf>
    <xf numFmtId="0" fontId="109" fillId="19" borderId="0">
      <alignment vertical="center"/>
    </xf>
    <xf numFmtId="0" fontId="109" fillId="20" borderId="0">
      <alignment vertical="center"/>
    </xf>
    <xf numFmtId="0" fontId="123" fillId="21" borderId="0">
      <alignment vertical="center"/>
    </xf>
    <xf numFmtId="0" fontId="123" fillId="22" borderId="0">
      <alignment vertical="center"/>
    </xf>
    <xf numFmtId="0" fontId="109" fillId="23" borderId="0">
      <alignment vertical="center"/>
    </xf>
    <xf numFmtId="0" fontId="109" fillId="24" borderId="0">
      <alignment vertical="center"/>
    </xf>
    <xf numFmtId="0" fontId="123" fillId="25" borderId="0">
      <alignment vertical="center"/>
    </xf>
    <xf numFmtId="0" fontId="123" fillId="26" borderId="0">
      <alignment vertical="center"/>
    </xf>
    <xf numFmtId="0" fontId="109" fillId="27" borderId="0">
      <alignment vertical="center"/>
    </xf>
    <xf numFmtId="0" fontId="109" fillId="28" borderId="0">
      <alignment vertical="center"/>
    </xf>
    <xf numFmtId="0" fontId="123" fillId="29" borderId="0">
      <alignment vertical="center"/>
    </xf>
    <xf numFmtId="0" fontId="123" fillId="30" borderId="0">
      <alignment vertical="center"/>
    </xf>
    <xf numFmtId="0" fontId="109" fillId="31" borderId="0">
      <alignment vertical="center"/>
    </xf>
    <xf numFmtId="0" fontId="110" fillId="0" borderId="0"/>
    <xf numFmtId="0" fontId="110" fillId="0" borderId="0"/>
    <xf numFmtId="0" fontId="91" fillId="0" borderId="0">
      <alignment vertical="center"/>
    </xf>
    <xf numFmtId="41" fontId="91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0" fontId="125" fillId="0" borderId="0"/>
    <xf numFmtId="41" fontId="125" fillId="0" borderId="0" applyFont="0" applyFill="0" applyBorder="0" applyAlignment="0" applyProtection="0"/>
    <xf numFmtId="0" fontId="90" fillId="0" borderId="0">
      <alignment vertical="center"/>
    </xf>
    <xf numFmtId="0" fontId="89" fillId="0" borderId="0">
      <alignment vertical="center"/>
    </xf>
    <xf numFmtId="41" fontId="89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41" fontId="78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92" fillId="0" borderId="0">
      <alignment vertical="center"/>
    </xf>
    <xf numFmtId="41" fontId="92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41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41" fontId="72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92" fillId="0" borderId="0">
      <alignment vertical="center"/>
    </xf>
    <xf numFmtId="41" fontId="92" fillId="0" borderId="0">
      <alignment vertical="center"/>
    </xf>
    <xf numFmtId="41" fontId="70" fillId="0" borderId="0" applyFont="0" applyFill="0" applyBorder="0" applyAlignment="0" applyProtection="0">
      <alignment vertical="center"/>
    </xf>
    <xf numFmtId="41" fontId="93" fillId="0" borderId="0"/>
    <xf numFmtId="0" fontId="69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92" fillId="0" borderId="0">
      <alignment vertical="center"/>
    </xf>
    <xf numFmtId="41" fontId="92" fillId="0" borderId="0">
      <alignment vertical="center"/>
    </xf>
    <xf numFmtId="9" fontId="92" fillId="0" borderId="0">
      <alignment vertical="center"/>
    </xf>
    <xf numFmtId="41" fontId="93" fillId="0" borderId="0"/>
    <xf numFmtId="0" fontId="94" fillId="0" borderId="0">
      <alignment vertical="center"/>
    </xf>
    <xf numFmtId="0" fontId="95" fillId="0" borderId="1">
      <alignment vertical="center"/>
    </xf>
    <xf numFmtId="0" fontId="96" fillId="0" borderId="2">
      <alignment vertical="center"/>
    </xf>
    <xf numFmtId="0" fontId="97" fillId="0" borderId="3">
      <alignment vertical="center"/>
    </xf>
    <xf numFmtId="0" fontId="97" fillId="0" borderId="0">
      <alignment vertical="center"/>
    </xf>
    <xf numFmtId="0" fontId="98" fillId="2" borderId="0">
      <alignment vertical="center"/>
    </xf>
    <xf numFmtId="0" fontId="99" fillId="3" borderId="0">
      <alignment vertical="center"/>
    </xf>
    <xf numFmtId="0" fontId="100" fillId="4" borderId="0">
      <alignment vertical="center"/>
    </xf>
    <xf numFmtId="0" fontId="101" fillId="5" borderId="4">
      <alignment vertical="center"/>
    </xf>
    <xf numFmtId="0" fontId="102" fillId="6" borderId="5">
      <alignment vertical="center"/>
    </xf>
    <xf numFmtId="0" fontId="103" fillId="6" borderId="4">
      <alignment vertical="center"/>
    </xf>
    <xf numFmtId="0" fontId="104" fillId="0" borderId="6">
      <alignment vertical="center"/>
    </xf>
    <xf numFmtId="0" fontId="105" fillId="7" borderId="7">
      <alignment vertical="center"/>
    </xf>
    <xf numFmtId="0" fontId="106" fillId="0" borderId="0">
      <alignment vertical="center"/>
    </xf>
    <xf numFmtId="0" fontId="92" fillId="8" borderId="8">
      <alignment vertical="center"/>
    </xf>
    <xf numFmtId="0" fontId="107" fillId="0" borderId="0">
      <alignment vertical="center"/>
    </xf>
    <xf numFmtId="0" fontId="108" fillId="0" borderId="9">
      <alignment vertical="center"/>
    </xf>
    <xf numFmtId="0" fontId="109" fillId="9" borderId="0">
      <alignment vertical="center"/>
    </xf>
    <xf numFmtId="0" fontId="92" fillId="10" borderId="0">
      <alignment vertical="center"/>
    </xf>
    <xf numFmtId="0" fontId="92" fillId="11" borderId="0">
      <alignment vertical="center"/>
    </xf>
    <xf numFmtId="0" fontId="109" fillId="12" borderId="0">
      <alignment vertical="center"/>
    </xf>
    <xf numFmtId="0" fontId="109" fillId="13" borderId="0">
      <alignment vertical="center"/>
    </xf>
    <xf numFmtId="0" fontId="92" fillId="14" borderId="0">
      <alignment vertical="center"/>
    </xf>
    <xf numFmtId="0" fontId="92" fillId="15" borderId="0">
      <alignment vertical="center"/>
    </xf>
    <xf numFmtId="0" fontId="109" fillId="16" borderId="0">
      <alignment vertical="center"/>
    </xf>
    <xf numFmtId="0" fontId="109" fillId="7" borderId="0">
      <alignment vertical="center"/>
    </xf>
    <xf numFmtId="0" fontId="92" fillId="17" borderId="0">
      <alignment vertical="center"/>
    </xf>
    <xf numFmtId="0" fontId="92" fillId="18" borderId="0">
      <alignment vertical="center"/>
    </xf>
    <xf numFmtId="0" fontId="109" fillId="19" borderId="0">
      <alignment vertical="center"/>
    </xf>
    <xf numFmtId="0" fontId="109" fillId="20" borderId="0">
      <alignment vertical="center"/>
    </xf>
    <xf numFmtId="0" fontId="92" fillId="21" borderId="0">
      <alignment vertical="center"/>
    </xf>
    <xf numFmtId="0" fontId="92" fillId="22" borderId="0">
      <alignment vertical="center"/>
    </xf>
    <xf numFmtId="0" fontId="109" fillId="23" borderId="0">
      <alignment vertical="center"/>
    </xf>
    <xf numFmtId="0" fontId="109" fillId="24" borderId="0">
      <alignment vertical="center"/>
    </xf>
    <xf numFmtId="0" fontId="92" fillId="25" borderId="0">
      <alignment vertical="center"/>
    </xf>
    <xf numFmtId="0" fontId="92" fillId="26" borderId="0">
      <alignment vertical="center"/>
    </xf>
    <xf numFmtId="0" fontId="109" fillId="27" borderId="0">
      <alignment vertical="center"/>
    </xf>
    <xf numFmtId="0" fontId="109" fillId="28" borderId="0">
      <alignment vertical="center"/>
    </xf>
    <xf numFmtId="0" fontId="92" fillId="29" borderId="0">
      <alignment vertical="center"/>
    </xf>
    <xf numFmtId="0" fontId="92" fillId="30" borderId="0">
      <alignment vertical="center"/>
    </xf>
    <xf numFmtId="0" fontId="109" fillId="31" borderId="0">
      <alignment vertical="center"/>
    </xf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41" fontId="92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1" fontId="92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41" fontId="93" fillId="0" borderId="0"/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41" fontId="61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41" fontId="57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41" fontId="54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137" fillId="0" borderId="0">
      <alignment vertical="center"/>
    </xf>
    <xf numFmtId="0" fontId="41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125" fillId="0" borderId="0">
      <alignment vertical="center"/>
    </xf>
    <xf numFmtId="0" fontId="138" fillId="0" borderId="0"/>
    <xf numFmtId="0" fontId="139" fillId="0" borderId="0">
      <alignment vertical="center"/>
    </xf>
    <xf numFmtId="0" fontId="140" fillId="0" borderId="0">
      <alignment vertical="center"/>
    </xf>
    <xf numFmtId="41" fontId="125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0" fontId="111" fillId="0" borderId="0" xfId="2" applyFont="1" applyAlignment="1">
      <alignment vertical="center" shrinkToFit="1"/>
    </xf>
    <xf numFmtId="38" fontId="111" fillId="0" borderId="0" xfId="2" applyNumberFormat="1" applyFont="1" applyAlignment="1">
      <alignment vertical="center" shrinkToFit="1"/>
    </xf>
    <xf numFmtId="41" fontId="111" fillId="0" borderId="0" xfId="3" applyFont="1" applyAlignment="1">
      <alignment horizontal="right" vertical="center" shrinkToFit="1"/>
    </xf>
    <xf numFmtId="1" fontId="112" fillId="33" borderId="11" xfId="2" applyNumberFormat="1" applyFont="1" applyFill="1" applyBorder="1" applyAlignment="1">
      <alignment horizontal="center" vertical="center" shrinkToFit="1"/>
    </xf>
    <xf numFmtId="0" fontId="113" fillId="34" borderId="13" xfId="2" applyFont="1" applyFill="1" applyBorder="1" applyAlignment="1">
      <alignment horizontal="center" vertical="center" shrinkToFit="1"/>
    </xf>
    <xf numFmtId="0" fontId="113" fillId="34" borderId="0" xfId="2" applyFont="1" applyFill="1" applyAlignment="1">
      <alignment vertical="center" shrinkToFit="1"/>
    </xf>
    <xf numFmtId="41" fontId="113" fillId="34" borderId="14" xfId="1" applyFont="1" applyFill="1" applyBorder="1" applyAlignment="1">
      <alignment horizontal="right" vertical="center"/>
    </xf>
    <xf numFmtId="41" fontId="113" fillId="34" borderId="15" xfId="1" applyFont="1" applyFill="1" applyBorder="1" applyAlignment="1">
      <alignment horizontal="right" vertical="center"/>
    </xf>
    <xf numFmtId="49" fontId="112" fillId="34" borderId="13" xfId="2" applyNumberFormat="1" applyFont="1" applyFill="1" applyBorder="1" applyAlignment="1">
      <alignment horizontal="center" vertical="center" shrinkToFit="1"/>
    </xf>
    <xf numFmtId="1" fontId="112" fillId="34" borderId="0" xfId="2" applyNumberFormat="1" applyFont="1" applyFill="1" applyAlignment="1">
      <alignment vertical="center" shrinkToFit="1"/>
    </xf>
    <xf numFmtId="41" fontId="112" fillId="34" borderId="14" xfId="1" applyFont="1" applyFill="1" applyBorder="1" applyAlignment="1">
      <alignment horizontal="right" vertical="center"/>
    </xf>
    <xf numFmtId="41" fontId="112" fillId="34" borderId="15" xfId="1" applyFont="1" applyFill="1" applyBorder="1" applyAlignment="1">
      <alignment horizontal="right" vertical="center"/>
    </xf>
    <xf numFmtId="0" fontId="112" fillId="34" borderId="13" xfId="2" applyFont="1" applyFill="1" applyBorder="1" applyAlignment="1">
      <alignment horizontal="center" vertical="center" shrinkToFit="1"/>
    </xf>
    <xf numFmtId="41" fontId="112" fillId="34" borderId="16" xfId="1" applyFont="1" applyFill="1" applyBorder="1" applyAlignment="1">
      <alignment horizontal="right" vertical="center" shrinkToFit="1"/>
    </xf>
    <xf numFmtId="41" fontId="112" fillId="34" borderId="16" xfId="1" applyFont="1" applyFill="1" applyBorder="1" applyAlignment="1">
      <alignment horizontal="right" vertical="center"/>
    </xf>
    <xf numFmtId="176" fontId="113" fillId="34" borderId="15" xfId="1" applyNumberFormat="1" applyFont="1" applyFill="1" applyBorder="1" applyAlignment="1">
      <alignment horizontal="right" vertical="center"/>
    </xf>
    <xf numFmtId="0" fontId="113" fillId="34" borderId="17" xfId="2" applyFont="1" applyFill="1" applyBorder="1" applyAlignment="1">
      <alignment horizontal="center" vertical="center" shrinkToFit="1"/>
    </xf>
    <xf numFmtId="0" fontId="113" fillId="34" borderId="18" xfId="2" applyFont="1" applyFill="1" applyBorder="1" applyAlignment="1">
      <alignment vertical="center" shrinkToFit="1"/>
    </xf>
    <xf numFmtId="41" fontId="113" fillId="34" borderId="19" xfId="1" applyFont="1" applyFill="1" applyBorder="1" applyAlignment="1">
      <alignment horizontal="right" vertical="center"/>
    </xf>
    <xf numFmtId="176" fontId="113" fillId="34" borderId="20" xfId="1" applyNumberFormat="1" applyFont="1" applyFill="1" applyBorder="1" applyAlignment="1">
      <alignment horizontal="right" vertical="center"/>
    </xf>
    <xf numFmtId="41" fontId="0" fillId="0" borderId="0" xfId="0" applyNumberFormat="1">
      <alignment vertical="center"/>
    </xf>
    <xf numFmtId="0" fontId="93" fillId="0" borderId="0" xfId="2"/>
    <xf numFmtId="0" fontId="115" fillId="0" borderId="0" xfId="2" applyFont="1"/>
    <xf numFmtId="0" fontId="115" fillId="0" borderId="0" xfId="2" applyFont="1" applyAlignment="1">
      <alignment horizontal="center"/>
    </xf>
    <xf numFmtId="0" fontId="115" fillId="0" borderId="0" xfId="2" applyFont="1" applyAlignment="1">
      <alignment vertical="center" shrinkToFit="1"/>
    </xf>
    <xf numFmtId="178" fontId="115" fillId="0" borderId="0" xfId="2" applyNumberFormat="1" applyFont="1" applyAlignment="1">
      <alignment vertical="center" shrinkToFit="1"/>
    </xf>
    <xf numFmtId="0" fontId="116" fillId="0" borderId="0" xfId="2" applyFont="1" applyAlignment="1">
      <alignment vertical="center" shrinkToFit="1"/>
    </xf>
    <xf numFmtId="38" fontId="116" fillId="0" borderId="0" xfId="2" applyNumberFormat="1" applyFont="1" applyAlignment="1">
      <alignment vertical="center" shrinkToFit="1"/>
    </xf>
    <xf numFmtId="3" fontId="115" fillId="0" borderId="0" xfId="2" applyNumberFormat="1" applyFont="1" applyAlignment="1">
      <alignment vertical="center" shrinkToFit="1"/>
    </xf>
    <xf numFmtId="0" fontId="115" fillId="0" borderId="0" xfId="2" applyFont="1" applyAlignment="1">
      <alignment horizontal="center" vertical="center" shrinkToFit="1"/>
    </xf>
    <xf numFmtId="0" fontId="115" fillId="0" borderId="0" xfId="2" applyFont="1" applyAlignment="1">
      <alignment horizontal="right" vertical="center" shrinkToFit="1"/>
    </xf>
    <xf numFmtId="177" fontId="0" fillId="0" borderId="0" xfId="0" applyNumberFormat="1">
      <alignment vertical="center"/>
    </xf>
    <xf numFmtId="177" fontId="113" fillId="34" borderId="23" xfId="3" applyNumberFormat="1" applyFont="1" applyFill="1" applyBorder="1" applyAlignment="1">
      <alignment horizontal="right" vertical="center"/>
    </xf>
    <xf numFmtId="1" fontId="113" fillId="34" borderId="18" xfId="2" applyNumberFormat="1" applyFont="1" applyFill="1" applyBorder="1" applyAlignment="1">
      <alignment horizontal="center" vertical="center" shrinkToFit="1"/>
    </xf>
    <xf numFmtId="1" fontId="113" fillId="34" borderId="17" xfId="2" applyNumberFormat="1" applyFont="1" applyFill="1" applyBorder="1" applyAlignment="1">
      <alignment horizontal="right" vertical="center" shrinkToFit="1"/>
    </xf>
    <xf numFmtId="177" fontId="113" fillId="34" borderId="24" xfId="3" applyNumberFormat="1" applyFont="1" applyFill="1" applyBorder="1" applyAlignment="1">
      <alignment horizontal="right" vertical="center"/>
    </xf>
    <xf numFmtId="1" fontId="113" fillId="34" borderId="13" xfId="2" applyNumberFormat="1" applyFont="1" applyFill="1" applyBorder="1" applyAlignment="1">
      <alignment horizontal="right" vertical="center" shrinkToFit="1"/>
    </xf>
    <xf numFmtId="177" fontId="117" fillId="34" borderId="15" xfId="3" applyNumberFormat="1" applyFont="1" applyFill="1" applyBorder="1" applyAlignment="1">
      <alignment horizontal="right" vertical="center"/>
    </xf>
    <xf numFmtId="177" fontId="117" fillId="34" borderId="14" xfId="3" applyNumberFormat="1" applyFont="1" applyFill="1" applyBorder="1" applyAlignment="1">
      <alignment horizontal="right" vertical="center"/>
    </xf>
    <xf numFmtId="49" fontId="112" fillId="34" borderId="13" xfId="2" applyNumberFormat="1" applyFont="1" applyFill="1" applyBorder="1" applyAlignment="1">
      <alignment vertical="center" shrinkToFit="1"/>
    </xf>
    <xf numFmtId="177" fontId="117" fillId="34" borderId="15" xfId="3" applyNumberFormat="1" applyFont="1" applyFill="1" applyBorder="1" applyAlignment="1">
      <alignment horizontal="right" vertical="center" shrinkToFit="1"/>
    </xf>
    <xf numFmtId="177" fontId="117" fillId="34" borderId="14" xfId="2" applyNumberFormat="1" applyFont="1" applyFill="1" applyBorder="1" applyAlignment="1">
      <alignment horizontal="right" vertical="center"/>
    </xf>
    <xf numFmtId="0" fontId="112" fillId="34" borderId="13" xfId="2" applyFont="1" applyFill="1" applyBorder="1" applyAlignment="1">
      <alignment horizontal="right" vertical="center" shrinkToFit="1"/>
    </xf>
    <xf numFmtId="177" fontId="112" fillId="34" borderId="15" xfId="3" applyNumberFormat="1" applyFont="1" applyFill="1" applyBorder="1" applyAlignment="1">
      <alignment horizontal="right" vertical="center"/>
    </xf>
    <xf numFmtId="177" fontId="112" fillId="34" borderId="14" xfId="2" applyNumberFormat="1" applyFont="1" applyFill="1" applyBorder="1" applyAlignment="1">
      <alignment horizontal="right" vertical="center"/>
    </xf>
    <xf numFmtId="177" fontId="112" fillId="34" borderId="16" xfId="2" applyNumberFormat="1" applyFont="1" applyFill="1" applyBorder="1" applyAlignment="1">
      <alignment horizontal="right" vertical="center" shrinkToFit="1"/>
    </xf>
    <xf numFmtId="177" fontId="112" fillId="34" borderId="16" xfId="2" applyNumberFormat="1" applyFont="1" applyFill="1" applyBorder="1" applyAlignment="1">
      <alignment horizontal="right" vertical="center"/>
    </xf>
    <xf numFmtId="177" fontId="117" fillId="34" borderId="15" xfId="2" applyNumberFormat="1" applyFont="1" applyFill="1" applyBorder="1" applyAlignment="1">
      <alignment horizontal="right" vertical="center"/>
    </xf>
    <xf numFmtId="177" fontId="112" fillId="34" borderId="14" xfId="3" applyNumberFormat="1" applyFont="1" applyFill="1" applyBorder="1" applyAlignment="1">
      <alignment horizontal="right" vertical="center"/>
    </xf>
    <xf numFmtId="177" fontId="112" fillId="34" borderId="15" xfId="2" applyNumberFormat="1" applyFont="1" applyFill="1" applyBorder="1" applyAlignment="1">
      <alignment horizontal="right" vertical="center"/>
    </xf>
    <xf numFmtId="177" fontId="112" fillId="34" borderId="16" xfId="3" applyNumberFormat="1" applyFont="1" applyFill="1" applyBorder="1" applyAlignment="1">
      <alignment horizontal="right" vertical="center"/>
    </xf>
    <xf numFmtId="177" fontId="117" fillId="34" borderId="16" xfId="2" applyNumberFormat="1" applyFont="1" applyFill="1" applyBorder="1" applyAlignment="1">
      <alignment horizontal="right" vertical="center" shrinkToFit="1"/>
    </xf>
    <xf numFmtId="1" fontId="112" fillId="33" borderId="11" xfId="2" applyNumberFormat="1" applyFont="1" applyFill="1" applyBorder="1" applyAlignment="1">
      <alignment horizontal="right" vertical="center" shrinkToFit="1"/>
    </xf>
    <xf numFmtId="38" fontId="111" fillId="0" borderId="18" xfId="2" applyNumberFormat="1" applyFont="1" applyBorder="1" applyAlignment="1">
      <alignment vertical="center" shrinkToFit="1"/>
    </xf>
    <xf numFmtId="0" fontId="111" fillId="0" borderId="18" xfId="2" applyFont="1" applyBorder="1" applyAlignment="1">
      <alignment vertical="center" shrinkToFit="1"/>
    </xf>
    <xf numFmtId="41" fontId="0" fillId="0" borderId="0" xfId="1" applyFont="1">
      <alignment vertical="center"/>
    </xf>
    <xf numFmtId="177" fontId="113" fillId="0" borderId="20" xfId="0" applyNumberFormat="1" applyFont="1" applyBorder="1">
      <alignment vertical="center"/>
    </xf>
    <xf numFmtId="1" fontId="112" fillId="34" borderId="18" xfId="2" applyNumberFormat="1" applyFont="1" applyFill="1" applyBorder="1" applyAlignment="1">
      <alignment vertical="center" shrinkToFit="1"/>
    </xf>
    <xf numFmtId="49" fontId="112" fillId="34" borderId="17" xfId="2" applyNumberFormat="1" applyFont="1" applyFill="1" applyBorder="1" applyAlignment="1">
      <alignment horizontal="center" vertical="center" shrinkToFit="1"/>
    </xf>
    <xf numFmtId="41" fontId="112" fillId="34" borderId="20" xfId="1" applyFont="1" applyFill="1" applyBorder="1" applyAlignment="1">
      <alignment horizontal="right" vertical="center"/>
    </xf>
    <xf numFmtId="41" fontId="112" fillId="34" borderId="17" xfId="1" applyFont="1" applyFill="1" applyBorder="1" applyAlignment="1">
      <alignment horizontal="right" vertical="center"/>
    </xf>
    <xf numFmtId="41" fontId="112" fillId="34" borderId="13" xfId="1" applyFont="1" applyFill="1" applyBorder="1" applyAlignment="1">
      <alignment horizontal="right" vertical="center"/>
    </xf>
    <xf numFmtId="41" fontId="113" fillId="34" borderId="13" xfId="1" applyFont="1" applyFill="1" applyBorder="1" applyAlignment="1">
      <alignment horizontal="right" vertical="center"/>
    </xf>
    <xf numFmtId="41" fontId="113" fillId="34" borderId="25" xfId="1" applyFont="1" applyFill="1" applyBorder="1" applyAlignment="1">
      <alignment horizontal="right" vertical="center"/>
    </xf>
    <xf numFmtId="41" fontId="113" fillId="34" borderId="26" xfId="1" applyFont="1" applyFill="1" applyBorder="1" applyAlignment="1">
      <alignment horizontal="right" vertical="center"/>
    </xf>
    <xf numFmtId="0" fontId="113" fillId="34" borderId="27" xfId="2" applyFont="1" applyFill="1" applyBorder="1" applyAlignment="1">
      <alignment vertical="center" shrinkToFit="1"/>
    </xf>
    <xf numFmtId="0" fontId="113" fillId="34" borderId="26" xfId="2" applyFont="1" applyFill="1" applyBorder="1" applyAlignment="1">
      <alignment horizontal="center" vertical="center" shrinkToFit="1"/>
    </xf>
    <xf numFmtId="1" fontId="112" fillId="33" borderId="26" xfId="2" applyNumberFormat="1" applyFont="1" applyFill="1" applyBorder="1" applyAlignment="1">
      <alignment horizontal="center" vertical="center" shrinkToFit="1"/>
    </xf>
    <xf numFmtId="1" fontId="114" fillId="0" borderId="0" xfId="2" applyNumberFormat="1" applyFont="1" applyAlignment="1">
      <alignment vertical="center" shrinkToFit="1"/>
    </xf>
    <xf numFmtId="49" fontId="112" fillId="34" borderId="28" xfId="2" applyNumberFormat="1" applyFont="1" applyFill="1" applyBorder="1" applyAlignment="1">
      <alignment horizontal="center" vertical="center" shrinkToFit="1"/>
    </xf>
    <xf numFmtId="1" fontId="112" fillId="34" borderId="29" xfId="2" applyNumberFormat="1" applyFont="1" applyFill="1" applyBorder="1" applyAlignment="1">
      <alignment vertical="center" shrinkToFit="1"/>
    </xf>
    <xf numFmtId="177" fontId="112" fillId="34" borderId="28" xfId="2" applyNumberFormat="1" applyFont="1" applyFill="1" applyBorder="1" applyAlignment="1">
      <alignment horizontal="right" vertical="center"/>
    </xf>
    <xf numFmtId="41" fontId="113" fillId="0" borderId="30" xfId="1" applyFont="1" applyBorder="1">
      <alignment vertical="center"/>
    </xf>
    <xf numFmtId="177" fontId="112" fillId="34" borderId="21" xfId="2" applyNumberFormat="1" applyFont="1" applyFill="1" applyBorder="1" applyAlignment="1">
      <alignment horizontal="right" vertical="center"/>
    </xf>
    <xf numFmtId="49" fontId="112" fillId="34" borderId="0" xfId="2" applyNumberFormat="1" applyFont="1" applyFill="1" applyAlignment="1">
      <alignment horizontal="distributed" vertical="center" wrapText="1" shrinkToFit="1"/>
    </xf>
    <xf numFmtId="0" fontId="0" fillId="32" borderId="0" xfId="0" applyFill="1" applyAlignment="1">
      <alignment horizontal="center" vertical="center"/>
    </xf>
    <xf numFmtId="41" fontId="114" fillId="34" borderId="14" xfId="1" applyFont="1" applyFill="1" applyBorder="1" applyAlignment="1">
      <alignment horizontal="right" vertical="center"/>
    </xf>
    <xf numFmtId="41" fontId="114" fillId="34" borderId="15" xfId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1" fontId="120" fillId="0" borderId="0" xfId="0" applyNumberFormat="1" applyFont="1">
      <alignment vertical="center"/>
    </xf>
    <xf numFmtId="181" fontId="121" fillId="0" borderId="0" xfId="0" applyNumberFormat="1" applyFont="1">
      <alignment vertical="center"/>
    </xf>
    <xf numFmtId="181" fontId="106" fillId="0" borderId="0" xfId="0" applyNumberFormat="1" applyFont="1">
      <alignment vertical="center"/>
    </xf>
    <xf numFmtId="49" fontId="112" fillId="34" borderId="0" xfId="2" applyNumberFormat="1" applyFont="1" applyFill="1" applyAlignment="1">
      <alignment vertical="center" wrapText="1" shrinkToFit="1"/>
    </xf>
    <xf numFmtId="182" fontId="112" fillId="34" borderId="0" xfId="2" applyNumberFormat="1" applyFont="1" applyFill="1" applyAlignment="1">
      <alignment vertical="center" wrapText="1" shrinkToFit="1"/>
    </xf>
    <xf numFmtId="176" fontId="0" fillId="0" borderId="0" xfId="0" applyNumberFormat="1">
      <alignment vertical="center"/>
    </xf>
    <xf numFmtId="49" fontId="112" fillId="35" borderId="13" xfId="2" applyNumberFormat="1" applyFont="1" applyFill="1" applyBorder="1" applyAlignment="1">
      <alignment vertical="center" shrinkToFit="1"/>
    </xf>
    <xf numFmtId="1" fontId="112" fillId="35" borderId="0" xfId="2" applyNumberFormat="1" applyFont="1" applyFill="1" applyAlignment="1">
      <alignment vertical="center" shrinkToFit="1"/>
    </xf>
    <xf numFmtId="177" fontId="112" fillId="35" borderId="16" xfId="2" applyNumberFormat="1" applyFont="1" applyFill="1" applyBorder="1" applyAlignment="1">
      <alignment horizontal="right" vertical="center" shrinkToFit="1"/>
    </xf>
    <xf numFmtId="1" fontId="113" fillId="35" borderId="13" xfId="2" applyNumberFormat="1" applyFont="1" applyFill="1" applyBorder="1" applyAlignment="1">
      <alignment horizontal="right" vertical="center" shrinkToFit="1"/>
    </xf>
    <xf numFmtId="177" fontId="113" fillId="35" borderId="24" xfId="3" applyNumberFormat="1" applyFont="1" applyFill="1" applyBorder="1" applyAlignment="1">
      <alignment horizontal="right" vertical="center"/>
    </xf>
    <xf numFmtId="177" fontId="112" fillId="35" borderId="14" xfId="2" applyNumberFormat="1" applyFont="1" applyFill="1" applyBorder="1" applyAlignment="1">
      <alignment horizontal="right" vertical="center"/>
    </xf>
    <xf numFmtId="177" fontId="112" fillId="35" borderId="15" xfId="3" applyNumberFormat="1" applyFont="1" applyFill="1" applyBorder="1" applyAlignment="1">
      <alignment horizontal="right" vertical="center"/>
    </xf>
    <xf numFmtId="0" fontId="112" fillId="35" borderId="13" xfId="2" applyFont="1" applyFill="1" applyBorder="1" applyAlignment="1">
      <alignment horizontal="right" vertical="center" shrinkToFit="1"/>
    </xf>
    <xf numFmtId="177" fontId="112" fillId="35" borderId="14" xfId="3" applyNumberFormat="1" applyFont="1" applyFill="1" applyBorder="1" applyAlignment="1">
      <alignment horizontal="right" vertical="center"/>
    </xf>
    <xf numFmtId="177" fontId="112" fillId="35" borderId="13" xfId="3" applyNumberFormat="1" applyFont="1" applyFill="1" applyBorder="1" applyAlignment="1">
      <alignment horizontal="right" vertical="center"/>
    </xf>
    <xf numFmtId="177" fontId="112" fillId="35" borderId="13" xfId="2" applyNumberFormat="1" applyFont="1" applyFill="1" applyBorder="1" applyAlignment="1">
      <alignment horizontal="right" vertical="center"/>
    </xf>
    <xf numFmtId="177" fontId="112" fillId="35" borderId="15" xfId="3" applyNumberFormat="1" applyFont="1" applyFill="1" applyBorder="1" applyAlignment="1">
      <alignment horizontal="right" vertical="center" shrinkToFit="1"/>
    </xf>
    <xf numFmtId="41" fontId="112" fillId="35" borderId="14" xfId="2" applyNumberFormat="1" applyFont="1" applyFill="1" applyBorder="1" applyAlignment="1">
      <alignment horizontal="right" vertical="center"/>
    </xf>
    <xf numFmtId="177" fontId="117" fillId="35" borderId="14" xfId="3" applyNumberFormat="1" applyFont="1" applyFill="1" applyBorder="1" applyAlignment="1">
      <alignment horizontal="right" vertical="center"/>
    </xf>
    <xf numFmtId="177" fontId="117" fillId="35" borderId="15" xfId="3" applyNumberFormat="1" applyFont="1" applyFill="1" applyBorder="1" applyAlignment="1">
      <alignment horizontal="right" vertical="center"/>
    </xf>
    <xf numFmtId="177" fontId="112" fillId="35" borderId="15" xfId="2" applyNumberFormat="1" applyFont="1" applyFill="1" applyBorder="1" applyAlignment="1">
      <alignment horizontal="right" vertical="center"/>
    </xf>
    <xf numFmtId="177" fontId="117" fillId="35" borderId="15" xfId="2" applyNumberFormat="1" applyFont="1" applyFill="1" applyBorder="1" applyAlignment="1">
      <alignment horizontal="right" vertical="center"/>
    </xf>
    <xf numFmtId="177" fontId="112" fillId="35" borderId="16" xfId="2" applyNumberFormat="1" applyFont="1" applyFill="1" applyBorder="1" applyAlignment="1">
      <alignment horizontal="right" vertical="center"/>
    </xf>
    <xf numFmtId="177" fontId="117" fillId="35" borderId="16" xfId="2" applyNumberFormat="1" applyFont="1" applyFill="1" applyBorder="1" applyAlignment="1">
      <alignment horizontal="right" vertical="center"/>
    </xf>
    <xf numFmtId="177" fontId="130" fillId="35" borderId="15" xfId="3" applyNumberFormat="1" applyFont="1" applyFill="1" applyBorder="1" applyAlignment="1">
      <alignment horizontal="right" vertical="center" shrinkToFit="1"/>
    </xf>
    <xf numFmtId="181" fontId="108" fillId="0" borderId="0" xfId="0" applyNumberFormat="1" applyFont="1">
      <alignment vertical="center"/>
    </xf>
    <xf numFmtId="181" fontId="122" fillId="0" borderId="0" xfId="0" applyNumberFormat="1" applyFont="1">
      <alignment vertical="center"/>
    </xf>
    <xf numFmtId="41" fontId="126" fillId="35" borderId="32" xfId="1" applyFont="1" applyFill="1" applyBorder="1" applyAlignment="1">
      <alignment horizontal="right" vertical="center"/>
    </xf>
    <xf numFmtId="179" fontId="117" fillId="34" borderId="33" xfId="3" applyNumberFormat="1" applyFont="1" applyFill="1" applyBorder="1" applyAlignment="1">
      <alignment horizontal="right" vertical="center"/>
    </xf>
    <xf numFmtId="177" fontId="112" fillId="0" borderId="15" xfId="3" applyNumberFormat="1" applyFont="1" applyBorder="1" applyAlignment="1">
      <alignment horizontal="right" vertical="center"/>
    </xf>
    <xf numFmtId="177" fontId="112" fillId="0" borderId="15" xfId="3" applyNumberFormat="1" applyFont="1" applyBorder="1" applyAlignment="1">
      <alignment horizontal="right" vertical="center" shrinkToFit="1"/>
    </xf>
    <xf numFmtId="41" fontId="134" fillId="0" borderId="0" xfId="3" applyFont="1" applyAlignment="1">
      <alignment vertical="center" shrinkToFit="1"/>
    </xf>
    <xf numFmtId="177" fontId="135" fillId="0" borderId="0" xfId="2" applyNumberFormat="1" applyFont="1"/>
    <xf numFmtId="0" fontId="135" fillId="0" borderId="0" xfId="2" applyFont="1"/>
    <xf numFmtId="41" fontId="112" fillId="34" borderId="14" xfId="73" applyFont="1" applyFill="1" applyBorder="1" applyAlignment="1">
      <alignment horizontal="right" vertical="center"/>
    </xf>
    <xf numFmtId="0" fontId="92" fillId="0" borderId="0" xfId="72">
      <alignment vertical="center"/>
    </xf>
    <xf numFmtId="41" fontId="92" fillId="0" borderId="0" xfId="73">
      <alignment vertical="center"/>
    </xf>
    <xf numFmtId="41" fontId="92" fillId="0" borderId="0" xfId="72" applyNumberFormat="1">
      <alignment vertical="center"/>
    </xf>
    <xf numFmtId="0" fontId="108" fillId="0" borderId="0" xfId="72" applyFont="1">
      <alignment vertical="center"/>
    </xf>
    <xf numFmtId="0" fontId="114" fillId="0" borderId="0" xfId="72" applyFont="1">
      <alignment vertical="center"/>
    </xf>
    <xf numFmtId="0" fontId="114" fillId="0" borderId="0" xfId="72" applyFont="1" applyAlignment="1">
      <alignment horizontal="center" vertical="center"/>
    </xf>
    <xf numFmtId="0" fontId="127" fillId="0" borderId="0" xfId="72" applyFont="1">
      <alignment vertical="center"/>
    </xf>
    <xf numFmtId="0" fontId="131" fillId="35" borderId="0" xfId="72" applyFont="1" applyFill="1" applyAlignment="1">
      <alignment horizontal="center" vertical="center"/>
    </xf>
    <xf numFmtId="181" fontId="121" fillId="0" borderId="0" xfId="72" applyNumberFormat="1" applyFont="1">
      <alignment vertical="center"/>
    </xf>
    <xf numFmtId="181" fontId="92" fillId="0" borderId="0" xfId="72" applyNumberFormat="1">
      <alignment vertical="center"/>
    </xf>
    <xf numFmtId="0" fontId="133" fillId="0" borderId="0" xfId="72" applyFont="1">
      <alignment vertical="center"/>
    </xf>
    <xf numFmtId="181" fontId="132" fillId="0" borderId="0" xfId="72" applyNumberFormat="1" applyFont="1">
      <alignment vertical="center"/>
    </xf>
    <xf numFmtId="0" fontId="131" fillId="0" borderId="0" xfId="72" applyFont="1" applyAlignment="1">
      <alignment horizontal="center" vertical="center"/>
    </xf>
    <xf numFmtId="41" fontId="130" fillId="35" borderId="14" xfId="73" applyFont="1" applyFill="1" applyBorder="1" applyAlignment="1">
      <alignment horizontal="right" vertical="center"/>
    </xf>
    <xf numFmtId="0" fontId="92" fillId="35" borderId="0" xfId="72" applyFill="1">
      <alignment vertical="center"/>
    </xf>
    <xf numFmtId="41" fontId="112" fillId="35" borderId="14" xfId="73" applyFont="1" applyFill="1" applyBorder="1" applyAlignment="1">
      <alignment horizontal="right" vertical="center"/>
    </xf>
    <xf numFmtId="181" fontId="120" fillId="0" borderId="0" xfId="72" applyNumberFormat="1" applyFont="1">
      <alignment vertical="center"/>
    </xf>
    <xf numFmtId="177" fontId="112" fillId="35" borderId="14" xfId="73" applyNumberFormat="1" applyFont="1" applyFill="1" applyBorder="1" applyAlignment="1">
      <alignment horizontal="right" vertical="center"/>
    </xf>
    <xf numFmtId="177" fontId="112" fillId="34" borderId="14" xfId="73" applyNumberFormat="1" applyFont="1" applyFill="1" applyBorder="1" applyAlignment="1">
      <alignment horizontal="right" vertical="center"/>
    </xf>
    <xf numFmtId="181" fontId="108" fillId="0" borderId="0" xfId="72" applyNumberFormat="1" applyFont="1">
      <alignment vertical="center"/>
    </xf>
    <xf numFmtId="177" fontId="117" fillId="34" borderId="14" xfId="73" applyNumberFormat="1" applyFont="1" applyFill="1" applyBorder="1" applyAlignment="1">
      <alignment horizontal="right" vertical="center"/>
    </xf>
    <xf numFmtId="177" fontId="112" fillId="34" borderId="15" xfId="73" applyNumberFormat="1" applyFont="1" applyFill="1" applyBorder="1" applyAlignment="1">
      <alignment horizontal="right" vertical="center"/>
    </xf>
    <xf numFmtId="177" fontId="112" fillId="0" borderId="14" xfId="73" applyNumberFormat="1" applyFont="1" applyBorder="1" applyAlignment="1">
      <alignment horizontal="right" vertical="center"/>
    </xf>
    <xf numFmtId="177" fontId="112" fillId="34" borderId="32" xfId="73" applyNumberFormat="1" applyFont="1" applyFill="1" applyBorder="1" applyAlignment="1">
      <alignment horizontal="right" vertical="center"/>
    </xf>
    <xf numFmtId="176" fontId="111" fillId="0" borderId="0" xfId="72" applyNumberFormat="1" applyFont="1" applyAlignment="1">
      <alignment horizontal="right" vertical="center"/>
    </xf>
    <xf numFmtId="0" fontId="118" fillId="0" borderId="0" xfId="72" applyFont="1">
      <alignment vertical="center"/>
    </xf>
    <xf numFmtId="41" fontId="112" fillId="34" borderId="15" xfId="73" applyFont="1" applyFill="1" applyBorder="1" applyAlignment="1">
      <alignment horizontal="right" vertical="center"/>
    </xf>
    <xf numFmtId="41" fontId="112" fillId="34" borderId="20" xfId="73" applyFont="1" applyFill="1" applyBorder="1" applyAlignment="1">
      <alignment horizontal="right" vertical="center"/>
    </xf>
    <xf numFmtId="0" fontId="136" fillId="0" borderId="0" xfId="0" applyFont="1">
      <alignment vertical="center"/>
    </xf>
    <xf numFmtId="0" fontId="70" fillId="0" borderId="0" xfId="82">
      <alignment vertical="center"/>
    </xf>
    <xf numFmtId="0" fontId="92" fillId="0" borderId="0" xfId="83">
      <alignment vertical="center"/>
    </xf>
    <xf numFmtId="0" fontId="133" fillId="0" borderId="0" xfId="0" applyFont="1">
      <alignment vertical="center"/>
    </xf>
    <xf numFmtId="41" fontId="112" fillId="34" borderId="13" xfId="92" applyFont="1" applyFill="1" applyBorder="1" applyAlignment="1">
      <alignment horizontal="right" vertical="center"/>
    </xf>
    <xf numFmtId="41" fontId="113" fillId="34" borderId="14" xfId="92" applyFont="1" applyFill="1" applyBorder="1" applyAlignment="1">
      <alignment horizontal="right" vertical="center"/>
    </xf>
    <xf numFmtId="41" fontId="113" fillId="34" borderId="19" xfId="92" applyFont="1" applyFill="1" applyBorder="1" applyAlignment="1">
      <alignment horizontal="right" vertical="center"/>
    </xf>
    <xf numFmtId="41" fontId="117" fillId="35" borderId="14" xfId="3" applyFont="1" applyFill="1" applyBorder="1" applyAlignment="1">
      <alignment horizontal="right" vertical="center"/>
    </xf>
    <xf numFmtId="41" fontId="113" fillId="0" borderId="14" xfId="1" applyFont="1" applyBorder="1" applyAlignment="1">
      <alignment horizontal="right" vertical="center"/>
    </xf>
    <xf numFmtId="177" fontId="113" fillId="0" borderId="14" xfId="2" applyNumberFormat="1" applyFont="1" applyBorder="1" applyAlignment="1">
      <alignment horizontal="right" vertical="center"/>
    </xf>
    <xf numFmtId="41" fontId="113" fillId="35" borderId="14" xfId="92" applyFont="1" applyFill="1" applyBorder="1" applyAlignment="1">
      <alignment horizontal="right" vertical="center"/>
    </xf>
    <xf numFmtId="41" fontId="112" fillId="0" borderId="14" xfId="1" applyFont="1" applyBorder="1" applyAlignment="1">
      <alignment horizontal="right" vertical="center"/>
    </xf>
    <xf numFmtId="0" fontId="92" fillId="37" borderId="0" xfId="72" applyFill="1">
      <alignment vertical="center"/>
    </xf>
    <xf numFmtId="181" fontId="92" fillId="37" borderId="0" xfId="72" applyNumberFormat="1" applyFill="1">
      <alignment vertical="center"/>
    </xf>
    <xf numFmtId="177" fontId="117" fillId="0" borderId="14" xfId="3" applyNumberFormat="1" applyFont="1" applyFill="1" applyBorder="1" applyAlignment="1">
      <alignment horizontal="right" vertical="center"/>
    </xf>
    <xf numFmtId="177" fontId="112" fillId="0" borderId="16" xfId="2" applyNumberFormat="1" applyFont="1" applyFill="1" applyBorder="1" applyAlignment="1">
      <alignment horizontal="right" vertical="center" shrinkToFit="1"/>
    </xf>
    <xf numFmtId="41" fontId="113" fillId="35" borderId="26" xfId="73" applyFont="1" applyFill="1" applyBorder="1" applyAlignment="1">
      <alignment horizontal="right" vertical="center"/>
    </xf>
    <xf numFmtId="41" fontId="113" fillId="35" borderId="13" xfId="92" applyFont="1" applyFill="1" applyBorder="1" applyAlignment="1">
      <alignment horizontal="right" vertical="center"/>
    </xf>
    <xf numFmtId="41" fontId="112" fillId="35" borderId="14" xfId="92" applyFont="1" applyFill="1" applyBorder="1" applyAlignment="1">
      <alignment horizontal="right" vertical="center"/>
    </xf>
    <xf numFmtId="41" fontId="114" fillId="35" borderId="14" xfId="92" applyFont="1" applyFill="1" applyBorder="1" applyAlignment="1">
      <alignment horizontal="right" vertical="center"/>
    </xf>
    <xf numFmtId="41" fontId="113" fillId="35" borderId="13" xfId="73" applyFont="1" applyFill="1" applyBorder="1" applyAlignment="1">
      <alignment horizontal="right" vertical="center"/>
    </xf>
    <xf numFmtId="41" fontId="113" fillId="35" borderId="26" xfId="1" applyFont="1" applyFill="1" applyBorder="1" applyAlignment="1">
      <alignment horizontal="right" vertical="center"/>
    </xf>
    <xf numFmtId="41" fontId="113" fillId="35" borderId="13" xfId="1" applyFont="1" applyFill="1" applyBorder="1" applyAlignment="1">
      <alignment horizontal="right" vertical="center"/>
    </xf>
    <xf numFmtId="41" fontId="126" fillId="35" borderId="32" xfId="92" applyFont="1" applyFill="1" applyBorder="1" applyAlignment="1">
      <alignment horizontal="right" vertical="center"/>
    </xf>
    <xf numFmtId="1" fontId="112" fillId="34" borderId="0" xfId="2" applyNumberFormat="1" applyFont="1" applyFill="1" applyBorder="1" applyAlignment="1">
      <alignment horizontal="center" vertical="center" shrinkToFit="1"/>
    </xf>
    <xf numFmtId="0" fontId="112" fillId="34" borderId="0" xfId="2" applyFont="1" applyFill="1" applyBorder="1" applyAlignment="1">
      <alignment vertical="center" shrinkToFit="1"/>
    </xf>
    <xf numFmtId="1" fontId="112" fillId="34" borderId="0" xfId="2" applyNumberFormat="1" applyFont="1" applyFill="1" applyBorder="1" applyAlignment="1">
      <alignment vertical="center" shrinkToFit="1"/>
    </xf>
    <xf numFmtId="0" fontId="112" fillId="34" borderId="0" xfId="72" applyFont="1" applyFill="1" applyBorder="1">
      <alignment vertical="center"/>
    </xf>
    <xf numFmtId="49" fontId="112" fillId="34" borderId="0" xfId="2" applyNumberFormat="1" applyFont="1" applyFill="1" applyBorder="1" applyAlignment="1">
      <alignment horizontal="center" vertical="center" shrinkToFit="1"/>
    </xf>
    <xf numFmtId="0" fontId="112" fillId="35" borderId="0" xfId="72" applyFont="1" applyFill="1" applyBorder="1">
      <alignment vertical="center"/>
    </xf>
    <xf numFmtId="49" fontId="112" fillId="35" borderId="0" xfId="2" applyNumberFormat="1" applyFont="1" applyFill="1" applyBorder="1" applyAlignment="1">
      <alignment horizontal="center" vertical="center" shrinkToFit="1"/>
    </xf>
    <xf numFmtId="1" fontId="112" fillId="35" borderId="0" xfId="2" applyNumberFormat="1" applyFont="1" applyFill="1" applyBorder="1" applyAlignment="1">
      <alignment vertical="center" shrinkToFit="1"/>
    </xf>
    <xf numFmtId="0" fontId="112" fillId="34" borderId="0" xfId="72" applyFont="1" applyFill="1" applyBorder="1" applyAlignment="1">
      <alignment horizontal="center" vertical="center"/>
    </xf>
    <xf numFmtId="179" fontId="117" fillId="35" borderId="0" xfId="3" applyNumberFormat="1" applyFont="1" applyFill="1" applyBorder="1" applyAlignment="1">
      <alignment horizontal="right" vertical="center"/>
    </xf>
    <xf numFmtId="179" fontId="117" fillId="34" borderId="0" xfId="3" applyNumberFormat="1" applyFont="1" applyFill="1" applyBorder="1" applyAlignment="1">
      <alignment horizontal="right" vertical="center"/>
    </xf>
    <xf numFmtId="179" fontId="112" fillId="34" borderId="0" xfId="3" applyNumberFormat="1" applyFont="1" applyFill="1" applyBorder="1" applyAlignment="1">
      <alignment horizontal="right" vertical="center"/>
    </xf>
    <xf numFmtId="178" fontId="112" fillId="34" borderId="0" xfId="2" applyNumberFormat="1" applyFont="1" applyFill="1" applyBorder="1" applyAlignment="1">
      <alignment horizontal="right" vertical="center"/>
    </xf>
    <xf numFmtId="49" fontId="112" fillId="34" borderId="0" xfId="2" applyNumberFormat="1" applyFont="1" applyFill="1" applyBorder="1" applyAlignment="1">
      <alignment horizontal="distributed" vertical="distributed" shrinkToFit="1"/>
    </xf>
    <xf numFmtId="1" fontId="113" fillId="34" borderId="0" xfId="2" applyNumberFormat="1" applyFont="1" applyFill="1" applyBorder="1" applyAlignment="1">
      <alignment horizontal="center" vertical="center" shrinkToFit="1"/>
    </xf>
    <xf numFmtId="49" fontId="112" fillId="34" borderId="0" xfId="2" applyNumberFormat="1" applyFont="1" applyFill="1" applyBorder="1" applyAlignment="1">
      <alignment vertical="center" shrinkToFit="1"/>
    </xf>
    <xf numFmtId="49" fontId="0" fillId="34" borderId="0" xfId="2" applyNumberFormat="1" applyFont="1" applyFill="1" applyBorder="1" applyAlignment="1">
      <alignment horizontal="distributed" vertical="center" wrapText="1" shrinkToFit="1"/>
    </xf>
    <xf numFmtId="49" fontId="112" fillId="35" borderId="0" xfId="2" applyNumberFormat="1" applyFont="1" applyFill="1" applyBorder="1" applyAlignment="1">
      <alignment horizontal="distributed" vertical="distributed" shrinkToFit="1"/>
    </xf>
    <xf numFmtId="1" fontId="113" fillId="35" borderId="0" xfId="2" applyNumberFormat="1" applyFont="1" applyFill="1" applyBorder="1" applyAlignment="1">
      <alignment horizontal="center" vertical="center" shrinkToFit="1"/>
    </xf>
    <xf numFmtId="1" fontId="112" fillId="35" borderId="0" xfId="2" applyNumberFormat="1" applyFont="1" applyFill="1" applyBorder="1" applyAlignment="1">
      <alignment horizontal="center" vertical="center" shrinkToFit="1"/>
    </xf>
    <xf numFmtId="0" fontId="112" fillId="35" borderId="0" xfId="2" applyFont="1" applyFill="1" applyBorder="1" applyAlignment="1">
      <alignment vertical="center" shrinkToFit="1"/>
    </xf>
    <xf numFmtId="49" fontId="130" fillId="0" borderId="0" xfId="2" applyNumberFormat="1" applyFont="1" applyBorder="1" applyAlignment="1">
      <alignment horizontal="center" vertical="center" shrinkToFit="1"/>
    </xf>
    <xf numFmtId="0" fontId="130" fillId="0" borderId="0" xfId="2" applyFont="1" applyBorder="1" applyAlignment="1">
      <alignment vertical="center" shrinkToFit="1"/>
    </xf>
    <xf numFmtId="177" fontId="113" fillId="0" borderId="19" xfId="2" applyNumberFormat="1" applyFont="1" applyBorder="1" applyAlignment="1">
      <alignment horizontal="right" vertical="center"/>
    </xf>
    <xf numFmtId="0" fontId="113" fillId="34" borderId="0" xfId="2" applyFont="1" applyFill="1" applyBorder="1" applyAlignment="1">
      <alignment vertical="center" shrinkToFit="1"/>
    </xf>
    <xf numFmtId="0" fontId="112" fillId="34" borderId="0" xfId="0" applyFont="1" applyFill="1" applyBorder="1" applyAlignment="1">
      <alignment horizontal="center" vertical="center"/>
    </xf>
    <xf numFmtId="49" fontId="114" fillId="34" borderId="0" xfId="2" applyNumberFormat="1" applyFont="1" applyFill="1" applyBorder="1" applyAlignment="1">
      <alignment horizontal="center" vertical="center" shrinkToFit="1"/>
    </xf>
    <xf numFmtId="49" fontId="114" fillId="34" borderId="0" xfId="2" applyNumberFormat="1" applyFont="1" applyFill="1" applyBorder="1" applyAlignment="1">
      <alignment horizontal="distributed" vertical="center" wrapText="1" shrinkToFit="1"/>
    </xf>
    <xf numFmtId="1" fontId="114" fillId="34" borderId="0" xfId="2" applyNumberFormat="1" applyFont="1" applyFill="1" applyBorder="1" applyAlignment="1">
      <alignment vertical="center" shrinkToFit="1"/>
    </xf>
    <xf numFmtId="41" fontId="112" fillId="34" borderId="14" xfId="92" applyFont="1" applyFill="1" applyBorder="1" applyAlignment="1">
      <alignment horizontal="right" vertical="center"/>
    </xf>
    <xf numFmtId="41" fontId="112" fillId="0" borderId="14" xfId="92" applyFont="1" applyBorder="1" applyAlignment="1">
      <alignment horizontal="right" vertical="center"/>
    </xf>
    <xf numFmtId="41" fontId="112" fillId="34" borderId="15" xfId="92" applyFont="1" applyFill="1" applyBorder="1" applyAlignment="1">
      <alignment horizontal="right" vertical="center"/>
    </xf>
    <xf numFmtId="41" fontId="112" fillId="34" borderId="16" xfId="92" applyFont="1" applyFill="1" applyBorder="1" applyAlignment="1">
      <alignment horizontal="right" vertical="center" shrinkToFit="1"/>
    </xf>
    <xf numFmtId="41" fontId="112" fillId="34" borderId="16" xfId="92" applyFont="1" applyFill="1" applyBorder="1" applyAlignment="1">
      <alignment horizontal="right" vertical="center"/>
    </xf>
    <xf numFmtId="41" fontId="113" fillId="34" borderId="15" xfId="92" applyFont="1" applyFill="1" applyBorder="1" applyAlignment="1">
      <alignment horizontal="right" vertical="center"/>
    </xf>
    <xf numFmtId="176" fontId="113" fillId="34" borderId="15" xfId="92" applyNumberFormat="1" applyFont="1" applyFill="1" applyBorder="1" applyAlignment="1">
      <alignment horizontal="right" vertical="center"/>
    </xf>
    <xf numFmtId="176" fontId="113" fillId="34" borderId="20" xfId="92" applyNumberFormat="1" applyFont="1" applyFill="1" applyBorder="1" applyAlignment="1">
      <alignment horizontal="right" vertical="center"/>
    </xf>
    <xf numFmtId="41" fontId="112" fillId="34" borderId="32" xfId="92" applyFont="1" applyFill="1" applyBorder="1" applyAlignment="1">
      <alignment horizontal="right" vertical="center"/>
    </xf>
    <xf numFmtId="0" fontId="1" fillId="0" borderId="0" xfId="282">
      <alignment vertical="center"/>
    </xf>
    <xf numFmtId="176" fontId="1" fillId="0" borderId="0" xfId="282" applyNumberFormat="1">
      <alignment vertical="center"/>
    </xf>
    <xf numFmtId="176" fontId="142" fillId="0" borderId="44" xfId="282" applyNumberFormat="1" applyFont="1" applyBorder="1" applyAlignment="1">
      <alignment horizontal="right" vertical="center" wrapText="1"/>
    </xf>
    <xf numFmtId="0" fontId="142" fillId="0" borderId="48" xfId="282" applyFont="1" applyBorder="1" applyAlignment="1">
      <alignment horizontal="left" vertical="center" wrapText="1"/>
    </xf>
    <xf numFmtId="0" fontId="1" fillId="0" borderId="0" xfId="282" applyFill="1">
      <alignment vertical="center"/>
    </xf>
    <xf numFmtId="0" fontId="141" fillId="36" borderId="49" xfId="282" applyFont="1" applyFill="1" applyBorder="1" applyAlignment="1">
      <alignment horizontal="center" vertical="center" wrapText="1"/>
    </xf>
    <xf numFmtId="0" fontId="141" fillId="36" borderId="50" xfId="282" applyFont="1" applyFill="1" applyBorder="1" applyAlignment="1">
      <alignment horizontal="center" vertical="center" wrapText="1"/>
    </xf>
    <xf numFmtId="0" fontId="141" fillId="36" borderId="51" xfId="282" applyFont="1" applyFill="1" applyBorder="1" applyAlignment="1">
      <alignment horizontal="center" vertical="center" wrapText="1"/>
    </xf>
    <xf numFmtId="0" fontId="143" fillId="0" borderId="0" xfId="282" applyFont="1" applyAlignment="1">
      <alignment horizontal="right" wrapText="1"/>
    </xf>
    <xf numFmtId="0" fontId="144" fillId="0" borderId="0" xfId="282" applyFont="1">
      <alignment vertical="center"/>
    </xf>
    <xf numFmtId="0" fontId="143" fillId="0" borderId="0" xfId="282" applyFont="1" applyAlignment="1">
      <alignment horizontal="left" wrapText="1"/>
    </xf>
    <xf numFmtId="0" fontId="1" fillId="0" borderId="0" xfId="283">
      <alignment vertical="center"/>
    </xf>
    <xf numFmtId="41" fontId="0" fillId="0" borderId="0" xfId="284" applyFont="1">
      <alignment vertical="center"/>
    </xf>
    <xf numFmtId="0" fontId="146" fillId="0" borderId="0" xfId="283" applyFont="1">
      <alignment vertical="center"/>
    </xf>
    <xf numFmtId="41" fontId="146" fillId="0" borderId="0" xfId="284" applyFont="1">
      <alignment vertical="center"/>
    </xf>
    <xf numFmtId="183" fontId="141" fillId="0" borderId="44" xfId="283" applyNumberFormat="1" applyFont="1" applyBorder="1" applyAlignment="1">
      <alignment horizontal="right" vertical="top" wrapText="1"/>
    </xf>
    <xf numFmtId="0" fontId="147" fillId="0" borderId="0" xfId="283" applyFont="1">
      <alignment vertical="center"/>
    </xf>
    <xf numFmtId="41" fontId="147" fillId="0" borderId="0" xfId="284" applyFont="1">
      <alignment vertical="center"/>
    </xf>
    <xf numFmtId="0" fontId="141" fillId="36" borderId="47" xfId="283" applyFont="1" applyFill="1" applyBorder="1" applyAlignment="1">
      <alignment horizontal="center" vertical="center" wrapText="1"/>
    </xf>
    <xf numFmtId="0" fontId="143" fillId="0" borderId="0" xfId="283" applyFont="1" applyAlignment="1">
      <alignment horizontal="right" wrapText="1"/>
    </xf>
    <xf numFmtId="0" fontId="144" fillId="0" borderId="0" xfId="283" applyFont="1">
      <alignment vertical="center"/>
    </xf>
    <xf numFmtId="0" fontId="143" fillId="0" borderId="0" xfId="283" applyFont="1" applyAlignment="1">
      <alignment horizontal="left" wrapText="1"/>
    </xf>
    <xf numFmtId="41" fontId="139" fillId="0" borderId="0" xfId="284" applyFont="1">
      <alignment vertical="center"/>
    </xf>
    <xf numFmtId="0" fontId="139" fillId="0" borderId="0" xfId="282" applyFont="1">
      <alignment vertical="center"/>
    </xf>
    <xf numFmtId="41" fontId="129" fillId="36" borderId="39" xfId="284" applyFont="1" applyFill="1" applyBorder="1">
      <alignment vertical="center"/>
    </xf>
    <xf numFmtId="41" fontId="139" fillId="0" borderId="0" xfId="284" applyFont="1" applyBorder="1">
      <alignment vertical="center"/>
    </xf>
    <xf numFmtId="41" fontId="149" fillId="0" borderId="52" xfId="284" applyFont="1" applyFill="1" applyBorder="1">
      <alignment vertical="center"/>
    </xf>
    <xf numFmtId="0" fontId="150" fillId="0" borderId="0" xfId="282" applyFont="1">
      <alignment vertical="center"/>
    </xf>
    <xf numFmtId="41" fontId="139" fillId="0" borderId="0" xfId="282" applyNumberFormat="1" applyFont="1">
      <alignment vertical="center"/>
    </xf>
    <xf numFmtId="41" fontId="139" fillId="0" borderId="42" xfId="284" applyFont="1" applyFill="1" applyBorder="1">
      <alignment vertical="center"/>
    </xf>
    <xf numFmtId="41" fontId="139" fillId="0" borderId="0" xfId="284" applyFont="1" applyFill="1" applyBorder="1">
      <alignment vertical="center"/>
    </xf>
    <xf numFmtId="0" fontId="151" fillId="0" borderId="0" xfId="282" applyFont="1">
      <alignment vertical="center"/>
    </xf>
    <xf numFmtId="41" fontId="149" fillId="0" borderId="52" xfId="284" applyFont="1" applyFill="1" applyBorder="1" applyAlignment="1">
      <alignment horizontal="left" vertical="center"/>
    </xf>
    <xf numFmtId="0" fontId="152" fillId="0" borderId="0" xfId="282" applyFont="1">
      <alignment vertical="center"/>
    </xf>
    <xf numFmtId="41" fontId="149" fillId="38" borderId="52" xfId="284" applyFont="1" applyFill="1" applyBorder="1">
      <alignment vertical="center"/>
    </xf>
    <xf numFmtId="0" fontId="153" fillId="0" borderId="0" xfId="282" applyFont="1">
      <alignment vertical="center"/>
    </xf>
    <xf numFmtId="0" fontId="154" fillId="0" borderId="0" xfId="282" applyFont="1">
      <alignment vertical="center"/>
    </xf>
    <xf numFmtId="0" fontId="1" fillId="37" borderId="0" xfId="282" applyFill="1">
      <alignment vertical="center"/>
    </xf>
    <xf numFmtId="0" fontId="150" fillId="37" borderId="0" xfId="282" applyFont="1" applyFill="1">
      <alignment vertical="center"/>
    </xf>
    <xf numFmtId="41" fontId="150" fillId="0" borderId="40" xfId="284" applyFont="1" applyBorder="1">
      <alignment vertical="center"/>
    </xf>
    <xf numFmtId="41" fontId="149" fillId="0" borderId="36" xfId="284" applyFont="1" applyFill="1" applyBorder="1">
      <alignment vertical="center"/>
    </xf>
    <xf numFmtId="41" fontId="155" fillId="39" borderId="37" xfId="284" applyFont="1" applyFill="1" applyBorder="1" applyAlignment="1">
      <alignment horizontal="center" vertical="center"/>
    </xf>
    <xf numFmtId="41" fontId="155" fillId="39" borderId="39" xfId="284" applyFont="1" applyFill="1" applyBorder="1" applyAlignment="1">
      <alignment horizontal="center" vertical="center"/>
    </xf>
    <xf numFmtId="41" fontId="155" fillId="39" borderId="53" xfId="284" applyFont="1" applyFill="1" applyBorder="1" applyAlignment="1">
      <alignment horizontal="center" vertical="center"/>
    </xf>
    <xf numFmtId="41" fontId="155" fillId="36" borderId="54" xfId="284" applyFont="1" applyFill="1" applyBorder="1" applyAlignment="1">
      <alignment horizontal="center" vertical="center"/>
    </xf>
    <xf numFmtId="41" fontId="155" fillId="36" borderId="38" xfId="284" applyFont="1" applyFill="1" applyBorder="1" applyAlignment="1">
      <alignment horizontal="center" vertical="center"/>
    </xf>
    <xf numFmtId="41" fontId="155" fillId="36" borderId="39" xfId="284" applyFont="1" applyFill="1" applyBorder="1" applyAlignment="1">
      <alignment horizontal="center" vertical="center"/>
    </xf>
    <xf numFmtId="0" fontId="156" fillId="0" borderId="0" xfId="282" applyFont="1" applyAlignment="1">
      <alignment horizontal="right" vertical="center"/>
    </xf>
    <xf numFmtId="0" fontId="156" fillId="0" borderId="0" xfId="282" applyFont="1">
      <alignment vertical="center"/>
    </xf>
    <xf numFmtId="41" fontId="157" fillId="0" borderId="0" xfId="284" applyFont="1" applyFill="1" applyBorder="1" applyAlignment="1">
      <alignment horizontal="center" vertical="center"/>
    </xf>
    <xf numFmtId="177" fontId="142" fillId="0" borderId="44" xfId="282" applyNumberFormat="1" applyFont="1" applyBorder="1" applyAlignment="1">
      <alignment horizontal="right" vertical="center" wrapText="1"/>
    </xf>
    <xf numFmtId="0" fontId="141" fillId="36" borderId="48" xfId="282" applyFont="1" applyFill="1" applyBorder="1" applyAlignment="1">
      <alignment horizontal="left" vertical="center" wrapText="1"/>
    </xf>
    <xf numFmtId="184" fontId="141" fillId="36" borderId="44" xfId="282" applyNumberFormat="1" applyFont="1" applyFill="1" applyBorder="1" applyAlignment="1">
      <alignment horizontal="right" vertical="center" wrapText="1"/>
    </xf>
    <xf numFmtId="177" fontId="141" fillId="36" borderId="44" xfId="282" applyNumberFormat="1" applyFont="1" applyFill="1" applyBorder="1" applyAlignment="1">
      <alignment horizontal="right" vertical="center" wrapText="1"/>
    </xf>
    <xf numFmtId="183" fontId="141" fillId="0" borderId="41" xfId="283" applyNumberFormat="1" applyFont="1" applyBorder="1" applyAlignment="1">
      <alignment horizontal="left" vertical="top" wrapText="1"/>
    </xf>
    <xf numFmtId="183" fontId="141" fillId="0" borderId="41" xfId="283" applyNumberFormat="1" applyFont="1" applyBorder="1" applyAlignment="1">
      <alignment horizontal="left" vertical="top" wrapText="1" indent="1"/>
    </xf>
    <xf numFmtId="1" fontId="113" fillId="33" borderId="12" xfId="2" applyNumberFormat="1" applyFont="1" applyFill="1" applyBorder="1" applyAlignment="1">
      <alignment horizontal="center" vertical="center" shrinkToFit="1"/>
    </xf>
    <xf numFmtId="49" fontId="112" fillId="34" borderId="0" xfId="2" applyNumberFormat="1" applyFont="1" applyFill="1" applyBorder="1" applyAlignment="1">
      <alignment horizontal="distributed" vertical="center" wrapText="1" shrinkToFit="1"/>
    </xf>
    <xf numFmtId="49" fontId="112" fillId="34" borderId="13" xfId="2" applyNumberFormat="1" applyFont="1" applyFill="1" applyBorder="1" applyAlignment="1">
      <alignment horizontal="right" vertical="center" shrinkToFit="1"/>
    </xf>
    <xf numFmtId="49" fontId="112" fillId="34" borderId="0" xfId="2" applyNumberFormat="1" applyFont="1" applyFill="1" applyBorder="1" applyAlignment="1">
      <alignment horizontal="right" vertical="center" shrinkToFit="1"/>
    </xf>
    <xf numFmtId="49" fontId="112" fillId="35" borderId="0" xfId="2" applyNumberFormat="1" applyFont="1" applyFill="1" applyBorder="1" applyAlignment="1">
      <alignment horizontal="distributed" vertical="center" wrapText="1" shrinkToFit="1"/>
    </xf>
    <xf numFmtId="49" fontId="112" fillId="0" borderId="0" xfId="2" applyNumberFormat="1" applyFont="1" applyBorder="1" applyAlignment="1">
      <alignment horizontal="distributed" vertical="center" wrapText="1" shrinkToFit="1"/>
    </xf>
    <xf numFmtId="1" fontId="116" fillId="0" borderId="0" xfId="2" applyNumberFormat="1" applyFont="1" applyAlignment="1">
      <alignment horizontal="center" vertical="center" shrinkToFit="1"/>
    </xf>
    <xf numFmtId="1" fontId="113" fillId="33" borderId="27" xfId="2" applyNumberFormat="1" applyFont="1" applyFill="1" applyBorder="1" applyAlignment="1">
      <alignment horizontal="center" vertical="center" shrinkToFit="1"/>
    </xf>
    <xf numFmtId="1" fontId="119" fillId="0" borderId="0" xfId="2" applyNumberFormat="1" applyFont="1" applyAlignment="1">
      <alignment horizontal="center" vertical="center" shrinkToFit="1"/>
    </xf>
    <xf numFmtId="1" fontId="114" fillId="0" borderId="0" xfId="2" applyNumberFormat="1" applyFont="1" applyAlignment="1">
      <alignment horizontal="center" vertical="center" shrinkToFit="1"/>
    </xf>
    <xf numFmtId="41" fontId="113" fillId="33" borderId="11" xfId="3" applyFont="1" applyFill="1" applyBorder="1" applyAlignment="1">
      <alignment horizontal="center" vertical="center" wrapText="1" shrinkToFit="1"/>
    </xf>
    <xf numFmtId="41" fontId="113" fillId="33" borderId="22" xfId="3" applyFont="1" applyFill="1" applyBorder="1" applyAlignment="1">
      <alignment horizontal="center" vertical="center" shrinkToFit="1"/>
    </xf>
    <xf numFmtId="1" fontId="113" fillId="33" borderId="12" xfId="2" applyNumberFormat="1" applyFont="1" applyFill="1" applyBorder="1" applyAlignment="1">
      <alignment horizontal="center" vertical="center" shrinkToFit="1"/>
    </xf>
    <xf numFmtId="41" fontId="114" fillId="0" borderId="18" xfId="3" applyFont="1" applyBorder="1" applyAlignment="1">
      <alignment horizontal="left" vertical="center" shrinkToFit="1"/>
    </xf>
    <xf numFmtId="49" fontId="112" fillId="34" borderId="0" xfId="2" applyNumberFormat="1" applyFont="1" applyFill="1" applyBorder="1" applyAlignment="1">
      <alignment horizontal="distributed" vertical="center" wrapText="1" shrinkToFit="1"/>
    </xf>
    <xf numFmtId="49" fontId="113" fillId="34" borderId="0" xfId="2" applyNumberFormat="1" applyFont="1" applyFill="1" applyBorder="1" applyAlignment="1">
      <alignment horizontal="distributed" vertical="center" wrapText="1" shrinkToFit="1"/>
    </xf>
    <xf numFmtId="49" fontId="113" fillId="35" borderId="13" xfId="2" applyNumberFormat="1" applyFont="1" applyFill="1" applyBorder="1" applyAlignment="1">
      <alignment horizontal="center" vertical="center" shrinkToFit="1"/>
    </xf>
    <xf numFmtId="49" fontId="113" fillId="35" borderId="0" xfId="2" applyNumberFormat="1" applyFont="1" applyFill="1" applyBorder="1" applyAlignment="1">
      <alignment horizontal="center" vertical="center" shrinkToFit="1"/>
    </xf>
    <xf numFmtId="49" fontId="112" fillId="34" borderId="13" xfId="2" applyNumberFormat="1" applyFont="1" applyFill="1" applyBorder="1" applyAlignment="1">
      <alignment horizontal="right" vertical="center" shrinkToFit="1"/>
    </xf>
    <xf numFmtId="49" fontId="112" fillId="34" borderId="0" xfId="2" applyNumberFormat="1" applyFont="1" applyFill="1" applyBorder="1" applyAlignment="1">
      <alignment horizontal="right" vertical="center" shrinkToFit="1"/>
    </xf>
    <xf numFmtId="1" fontId="112" fillId="34" borderId="0" xfId="2" applyNumberFormat="1" applyFont="1" applyFill="1" applyBorder="1" applyAlignment="1">
      <alignment horizontal="distributed" vertical="center" wrapText="1" shrinkToFit="1"/>
    </xf>
    <xf numFmtId="49" fontId="113" fillId="35" borderId="0" xfId="2" applyNumberFormat="1" applyFont="1" applyFill="1" applyBorder="1" applyAlignment="1">
      <alignment horizontal="distributed" vertical="center" wrapText="1" shrinkToFit="1"/>
    </xf>
    <xf numFmtId="1" fontId="113" fillId="34" borderId="31" xfId="2" applyNumberFormat="1" applyFont="1" applyFill="1" applyBorder="1" applyAlignment="1">
      <alignment horizontal="center" vertical="center" shrinkToFit="1"/>
    </xf>
    <xf numFmtId="1" fontId="113" fillId="34" borderId="10" xfId="2" applyNumberFormat="1" applyFont="1" applyFill="1" applyBorder="1" applyAlignment="1">
      <alignment horizontal="center" vertical="center" shrinkToFit="1"/>
    </xf>
    <xf numFmtId="49" fontId="113" fillId="34" borderId="18" xfId="2" applyNumberFormat="1" applyFont="1" applyFill="1" applyBorder="1" applyAlignment="1">
      <alignment horizontal="distributed" vertical="center" wrapText="1" shrinkToFit="1"/>
    </xf>
    <xf numFmtId="49" fontId="112" fillId="35" borderId="0" xfId="2" applyNumberFormat="1" applyFont="1" applyFill="1" applyBorder="1" applyAlignment="1">
      <alignment horizontal="distributed" vertical="center" wrapText="1" shrinkToFit="1"/>
    </xf>
    <xf numFmtId="49" fontId="112" fillId="0" borderId="0" xfId="2" applyNumberFormat="1" applyFont="1" applyBorder="1" applyAlignment="1">
      <alignment horizontal="distributed" vertical="center" wrapText="1" shrinkToFit="1"/>
    </xf>
    <xf numFmtId="1" fontId="116" fillId="0" borderId="0" xfId="2" applyNumberFormat="1" applyFont="1" applyAlignment="1">
      <alignment horizontal="center" vertical="center" shrinkToFit="1"/>
    </xf>
    <xf numFmtId="41" fontId="114" fillId="0" borderId="0" xfId="3" applyFont="1" applyAlignment="1">
      <alignment horizontal="left" vertical="center" shrinkToFit="1"/>
    </xf>
    <xf numFmtId="41" fontId="113" fillId="33" borderId="11" xfId="3" applyFont="1" applyFill="1" applyBorder="1" applyAlignment="1">
      <alignment horizontal="center" vertical="center" shrinkToFit="1"/>
    </xf>
    <xf numFmtId="41" fontId="113" fillId="33" borderId="34" xfId="3" applyFont="1" applyFill="1" applyBorder="1" applyAlignment="1">
      <alignment horizontal="center" vertical="center" shrinkToFit="1"/>
    </xf>
    <xf numFmtId="41" fontId="113" fillId="33" borderId="35" xfId="3" applyFont="1" applyFill="1" applyBorder="1" applyAlignment="1">
      <alignment horizontal="center" vertical="center" shrinkToFit="1"/>
    </xf>
    <xf numFmtId="1" fontId="113" fillId="34" borderId="0" xfId="2" applyNumberFormat="1" applyFont="1" applyFill="1" applyBorder="1" applyAlignment="1">
      <alignment horizontal="distributed" vertical="center" wrapText="1" shrinkToFit="1"/>
    </xf>
    <xf numFmtId="49" fontId="112" fillId="34" borderId="0" xfId="2" applyNumberFormat="1" applyFont="1" applyFill="1" applyBorder="1" applyAlignment="1">
      <alignment horizontal="center" vertical="center" wrapText="1" shrinkToFit="1"/>
    </xf>
    <xf numFmtId="1" fontId="113" fillId="34" borderId="18" xfId="2" applyNumberFormat="1" applyFont="1" applyFill="1" applyBorder="1" applyAlignment="1">
      <alignment horizontal="distributed" vertical="center" wrapText="1" shrinkToFit="1"/>
    </xf>
    <xf numFmtId="49" fontId="112" fillId="34" borderId="0" xfId="2" applyNumberFormat="1" applyFont="1" applyFill="1" applyAlignment="1">
      <alignment horizontal="distributed" vertical="center" wrapText="1" shrinkToFit="1"/>
    </xf>
    <xf numFmtId="49" fontId="112" fillId="35" borderId="0" xfId="2" applyNumberFormat="1" applyFont="1" applyFill="1" applyAlignment="1">
      <alignment horizontal="distributed" vertical="center" wrapText="1" shrinkToFit="1"/>
    </xf>
    <xf numFmtId="49" fontId="112" fillId="0" borderId="0" xfId="2" applyNumberFormat="1" applyFont="1" applyAlignment="1">
      <alignment horizontal="distributed" vertical="center" wrapText="1" shrinkToFit="1"/>
    </xf>
    <xf numFmtId="49" fontId="112" fillId="34" borderId="18" xfId="2" applyNumberFormat="1" applyFont="1" applyFill="1" applyBorder="1" applyAlignment="1">
      <alignment horizontal="distributed" vertical="center" wrapText="1" shrinkToFit="1"/>
    </xf>
    <xf numFmtId="1" fontId="113" fillId="34" borderId="27" xfId="2" applyNumberFormat="1" applyFont="1" applyFill="1" applyBorder="1" applyAlignment="1">
      <alignment horizontal="distributed" vertical="center" wrapText="1" shrinkToFit="1"/>
    </xf>
    <xf numFmtId="1" fontId="113" fillId="34" borderId="0" xfId="2" applyNumberFormat="1" applyFont="1" applyFill="1" applyAlignment="1">
      <alignment horizontal="distributed" vertical="center" wrapText="1" shrinkToFit="1"/>
    </xf>
    <xf numFmtId="1" fontId="113" fillId="33" borderId="27" xfId="2" applyNumberFormat="1" applyFont="1" applyFill="1" applyBorder="1" applyAlignment="1">
      <alignment horizontal="center" vertical="center" shrinkToFit="1"/>
    </xf>
    <xf numFmtId="49" fontId="113" fillId="34" borderId="29" xfId="2" applyNumberFormat="1" applyFont="1" applyFill="1" applyBorder="1" applyAlignment="1">
      <alignment horizontal="distributed" vertical="center" wrapText="1" shrinkToFit="1"/>
    </xf>
    <xf numFmtId="49" fontId="112" fillId="0" borderId="18" xfId="2" applyNumberFormat="1" applyFont="1" applyBorder="1" applyAlignment="1">
      <alignment horizontal="distributed" vertical="center" wrapText="1" shrinkToFit="1"/>
    </xf>
    <xf numFmtId="49" fontId="112" fillId="0" borderId="0" xfId="2" applyNumberFormat="1" applyFont="1" applyFill="1" applyAlignment="1">
      <alignment horizontal="distributed" vertical="center" wrapText="1" shrinkToFit="1"/>
    </xf>
    <xf numFmtId="49" fontId="112" fillId="34" borderId="13" xfId="2" applyNumberFormat="1" applyFont="1" applyFill="1" applyBorder="1" applyAlignment="1">
      <alignment horizontal="distributed" vertical="center" wrapText="1" shrinkToFit="1"/>
    </xf>
    <xf numFmtId="0" fontId="145" fillId="0" borderId="0" xfId="282" applyFont="1" applyAlignment="1">
      <alignment horizontal="center" vertical="center"/>
    </xf>
    <xf numFmtId="0" fontId="143" fillId="0" borderId="0" xfId="282" applyFont="1" applyAlignment="1">
      <alignment horizontal="center" vertical="center" wrapText="1"/>
    </xf>
    <xf numFmtId="0" fontId="148" fillId="0" borderId="0" xfId="283" applyFont="1" applyAlignment="1">
      <alignment horizontal="center" vertical="center"/>
    </xf>
    <xf numFmtId="0" fontId="143" fillId="0" borderId="0" xfId="283" applyFont="1" applyAlignment="1">
      <alignment horizontal="center" vertical="center" wrapText="1"/>
    </xf>
    <xf numFmtId="0" fontId="141" fillId="36" borderId="45" xfId="283" applyFont="1" applyFill="1" applyBorder="1" applyAlignment="1">
      <alignment horizontal="center" vertical="center" wrapText="1"/>
    </xf>
    <xf numFmtId="0" fontId="141" fillId="36" borderId="46" xfId="283" applyFont="1" applyFill="1" applyBorder="1" applyAlignment="1">
      <alignment horizontal="center" vertical="center" wrapText="1"/>
    </xf>
    <xf numFmtId="41" fontId="157" fillId="0" borderId="55" xfId="284" applyFont="1" applyFill="1" applyBorder="1" applyAlignment="1">
      <alignment horizontal="center" vertical="center"/>
    </xf>
    <xf numFmtId="41" fontId="157" fillId="0" borderId="36" xfId="284" applyFont="1" applyFill="1" applyBorder="1" applyAlignment="1">
      <alignment horizontal="center" vertical="center"/>
    </xf>
    <xf numFmtId="41" fontId="157" fillId="0" borderId="43" xfId="284" applyFont="1" applyFill="1" applyBorder="1" applyAlignment="1">
      <alignment horizontal="center" vertical="center"/>
    </xf>
  </cellXfs>
  <cellStyles count="285">
    <cellStyle name="20% - 강조색1" xfId="22"/>
    <cellStyle name="20% - 강조색1 2" xfId="113"/>
    <cellStyle name="20% - 강조색2" xfId="26"/>
    <cellStyle name="20% - 강조색2 2" xfId="117"/>
    <cellStyle name="20% - 강조색3" xfId="30"/>
    <cellStyle name="20% - 강조색3 2" xfId="121"/>
    <cellStyle name="20% - 강조색4" xfId="34"/>
    <cellStyle name="20% - 강조색4 2" xfId="125"/>
    <cellStyle name="20% - 강조색5" xfId="38"/>
    <cellStyle name="20% - 강조색5 2" xfId="129"/>
    <cellStyle name="20% - 강조색6" xfId="42"/>
    <cellStyle name="20% - 강조색6 2" xfId="133"/>
    <cellStyle name="40% - 강조색1" xfId="23"/>
    <cellStyle name="40% - 강조색1 2" xfId="114"/>
    <cellStyle name="40% - 강조색2" xfId="27"/>
    <cellStyle name="40% - 강조색2 2" xfId="118"/>
    <cellStyle name="40% - 강조색3" xfId="31"/>
    <cellStyle name="40% - 강조색3 2" xfId="122"/>
    <cellStyle name="40% - 강조색4" xfId="35"/>
    <cellStyle name="40% - 강조색4 2" xfId="126"/>
    <cellStyle name="40% - 강조색5" xfId="39"/>
    <cellStyle name="40% - 강조색5 2" xfId="130"/>
    <cellStyle name="40% - 강조색6" xfId="43"/>
    <cellStyle name="40% - 강조색6 2" xfId="134"/>
    <cellStyle name="60% - 강조색1" xfId="24"/>
    <cellStyle name="60% - 강조색1 2" xfId="115"/>
    <cellStyle name="60% - 강조색2" xfId="28"/>
    <cellStyle name="60% - 강조색2 2" xfId="119"/>
    <cellStyle name="60% - 강조색3" xfId="32"/>
    <cellStyle name="60% - 강조색3 2" xfId="123"/>
    <cellStyle name="60% - 강조색4" xfId="36"/>
    <cellStyle name="60% - 강조색4 2" xfId="127"/>
    <cellStyle name="60% - 강조색5" xfId="40"/>
    <cellStyle name="60% - 강조색5 2" xfId="131"/>
    <cellStyle name="60% - 강조색6" xfId="44"/>
    <cellStyle name="60% - 강조색6 2" xfId="135"/>
    <cellStyle name="강조색1" xfId="21"/>
    <cellStyle name="강조색1 2" xfId="112"/>
    <cellStyle name="강조색2" xfId="25"/>
    <cellStyle name="강조색2 2" xfId="116"/>
    <cellStyle name="강조색3" xfId="29"/>
    <cellStyle name="강조색3 2" xfId="120"/>
    <cellStyle name="강조색4" xfId="33"/>
    <cellStyle name="강조색4 2" xfId="124"/>
    <cellStyle name="강조색5" xfId="37"/>
    <cellStyle name="강조색5 2" xfId="128"/>
    <cellStyle name="강조색6" xfId="41"/>
    <cellStyle name="강조색6 2" xfId="132"/>
    <cellStyle name="경고문" xfId="17"/>
    <cellStyle name="경고문 2" xfId="108"/>
    <cellStyle name="계산" xfId="14"/>
    <cellStyle name="계산 2" xfId="105"/>
    <cellStyle name="나쁨" xfId="10"/>
    <cellStyle name="나쁨 2" xfId="101"/>
    <cellStyle name="메모" xfId="18"/>
    <cellStyle name="메모 2" xfId="109"/>
    <cellStyle name="백분율 2" xfId="49"/>
    <cellStyle name="백분율 2 2" xfId="138"/>
    <cellStyle name="백분율 3" xfId="93"/>
    <cellStyle name="보통" xfId="11"/>
    <cellStyle name="보통 2" xfId="102"/>
    <cellStyle name="설명 텍스트" xfId="19"/>
    <cellStyle name="설명 텍스트 2" xfId="110"/>
    <cellStyle name="셀 확인" xfId="16"/>
    <cellStyle name="셀 확인 2" xfId="107"/>
    <cellStyle name="쉼표 [0]" xfId="1" builtinId="6"/>
    <cellStyle name="쉼표 [0] 10" xfId="80"/>
    <cellStyle name="쉼표 [0] 10 2" xfId="167"/>
    <cellStyle name="쉼표 [0] 10 3" xfId="219"/>
    <cellStyle name="쉼표 [0] 10 3 2" xfId="221"/>
    <cellStyle name="쉼표 [0] 10 3 2 2" xfId="224"/>
    <cellStyle name="쉼표 [0] 10 3 2 3" xfId="227"/>
    <cellStyle name="쉼표 [0] 10 3 2 4" xfId="231"/>
    <cellStyle name="쉼표 [0] 10 3 2 5" xfId="250"/>
    <cellStyle name="쉼표 [0] 11" xfId="88"/>
    <cellStyle name="쉼표 [0] 11 2" xfId="174"/>
    <cellStyle name="쉼표 [0] 12" xfId="90"/>
    <cellStyle name="쉼표 [0] 13" xfId="92"/>
    <cellStyle name="쉼표 [0] 13 2" xfId="218"/>
    <cellStyle name="쉼표 [0] 14" xfId="180"/>
    <cellStyle name="쉼표 [0] 15" xfId="184"/>
    <cellStyle name="쉼표 [0] 16" xfId="190"/>
    <cellStyle name="쉼표 [0] 17" xfId="193"/>
    <cellStyle name="쉼표 [0] 18" xfId="195"/>
    <cellStyle name="쉼표 [0] 19" xfId="202"/>
    <cellStyle name="쉼표 [0] 2" xfId="48"/>
    <cellStyle name="쉼표 [0] 2 2" xfId="74"/>
    <cellStyle name="쉼표 [0] 2 2 2" xfId="85"/>
    <cellStyle name="쉼표 [0] 2 2 2 2" xfId="171"/>
    <cellStyle name="쉼표 [0] 2 2 3" xfId="161"/>
    <cellStyle name="쉼표 [0] 2 3" xfId="84"/>
    <cellStyle name="쉼표 [0] 2 3 2" xfId="170"/>
    <cellStyle name="쉼표 [0] 2 4" xfId="137"/>
    <cellStyle name="쉼표 [0] 2 5" xfId="175"/>
    <cellStyle name="쉼표 [0] 2 6" xfId="181"/>
    <cellStyle name="쉼표 [0] 2 7" xfId="182"/>
    <cellStyle name="쉼표 [0] 2 7 2" xfId="213"/>
    <cellStyle name="쉼표 [0] 20" xfId="204"/>
    <cellStyle name="쉼표 [0] 21" xfId="206"/>
    <cellStyle name="쉼표 [0] 22" xfId="235"/>
    <cellStyle name="쉼표 [0] 23" xfId="246"/>
    <cellStyle name="쉼표 [0] 24" xfId="248"/>
    <cellStyle name="쉼표 [0] 25" xfId="256"/>
    <cellStyle name="쉼표 [0] 26" xfId="260"/>
    <cellStyle name="쉼표 [0] 27" xfId="265"/>
    <cellStyle name="쉼표 [0] 28" xfId="271"/>
    <cellStyle name="쉼표 [0] 29" xfId="273"/>
    <cellStyle name="쉼표 [0] 29 2" xfId="275"/>
    <cellStyle name="쉼표 [0] 3" xfId="54"/>
    <cellStyle name="쉼표 [0] 3 2" xfId="142"/>
    <cellStyle name="쉼표 [0] 3 2 2" xfId="284"/>
    <cellStyle name="쉼표 [0] 30" xfId="277"/>
    <cellStyle name="쉼표 [0] 31" xfId="279"/>
    <cellStyle name="쉼표 [0] 32" xfId="281"/>
    <cellStyle name="쉼표 [0] 4" xfId="57"/>
    <cellStyle name="쉼표 [0] 4 2" xfId="76"/>
    <cellStyle name="쉼표 [0] 4 2 2" xfId="163"/>
    <cellStyle name="쉼표 [0] 4 3" xfId="145"/>
    <cellStyle name="쉼표 [0] 5" xfId="67"/>
    <cellStyle name="쉼표 [0] 5 2" xfId="155"/>
    <cellStyle name="쉼표 [0] 6" xfId="69"/>
    <cellStyle name="쉼표 [0] 6 2" xfId="157"/>
    <cellStyle name="쉼표 [0] 7" xfId="71"/>
    <cellStyle name="쉼표 [0] 7 2" xfId="159"/>
    <cellStyle name="쉼표 [0] 8" xfId="73"/>
    <cellStyle name="쉼표 [0] 8 2" xfId="160"/>
    <cellStyle name="쉼표 [0] 9" xfId="3"/>
    <cellStyle name="쉼표 [0] 9 2" xfId="51"/>
    <cellStyle name="쉼표 [0] 9 2 2" xfId="139"/>
    <cellStyle name="쉼표 [0] 9 3" xfId="86"/>
    <cellStyle name="쉼표 [0] 9 3 2" xfId="172"/>
    <cellStyle name="쉼표 [0] 9 4" xfId="94"/>
    <cellStyle name="연결된 셀" xfId="15"/>
    <cellStyle name="연결된 셀 2" xfId="106"/>
    <cellStyle name="요약" xfId="20"/>
    <cellStyle name="요약 2" xfId="111"/>
    <cellStyle name="입력" xfId="12"/>
    <cellStyle name="입력 2" xfId="103"/>
    <cellStyle name="제목" xfId="4"/>
    <cellStyle name="제목 1" xfId="5"/>
    <cellStyle name="제목 1 2" xfId="96"/>
    <cellStyle name="제목 2" xfId="6"/>
    <cellStyle name="제목 2 2" xfId="97"/>
    <cellStyle name="제목 3" xfId="7"/>
    <cellStyle name="제목 3 2" xfId="98"/>
    <cellStyle name="제목 4" xfId="8"/>
    <cellStyle name="제목 4 2" xfId="99"/>
    <cellStyle name="제목 5" xfId="95"/>
    <cellStyle name="좋음" xfId="9"/>
    <cellStyle name="좋음 2" xfId="100"/>
    <cellStyle name="출력" xfId="13"/>
    <cellStyle name="출력 2" xfId="104"/>
    <cellStyle name="표준" xfId="0" builtinId="0"/>
    <cellStyle name="표준 10" xfId="59"/>
    <cellStyle name="표준 10 2" xfId="147"/>
    <cellStyle name="표준 11" xfId="60"/>
    <cellStyle name="표준 11 2" xfId="148"/>
    <cellStyle name="표준 12" xfId="61"/>
    <cellStyle name="표준 12 2" xfId="149"/>
    <cellStyle name="표준 12 2 2" xfId="217"/>
    <cellStyle name="표준 13" xfId="62"/>
    <cellStyle name="표준 13 2" xfId="150"/>
    <cellStyle name="표준 14" xfId="63"/>
    <cellStyle name="표준 14 2" xfId="151"/>
    <cellStyle name="표준 15" xfId="64"/>
    <cellStyle name="표준 15 2" xfId="152"/>
    <cellStyle name="표준 16" xfId="65"/>
    <cellStyle name="표준 16 2" xfId="153"/>
    <cellStyle name="표준 17" xfId="66"/>
    <cellStyle name="표준 17 2" xfId="154"/>
    <cellStyle name="표준 18" xfId="68"/>
    <cellStyle name="표준 18 2" xfId="156"/>
    <cellStyle name="표준 19" xfId="70"/>
    <cellStyle name="표준 19 2" xfId="158"/>
    <cellStyle name="표준 2" xfId="45"/>
    <cellStyle name="표준 2 2" xfId="83"/>
    <cellStyle name="표준 2 5" xfId="214"/>
    <cellStyle name="표준 20" xfId="72"/>
    <cellStyle name="표준 21" xfId="75"/>
    <cellStyle name="표준 21 2" xfId="162"/>
    <cellStyle name="표준 22" xfId="78"/>
    <cellStyle name="표준 22 2" xfId="165"/>
    <cellStyle name="표준 23" xfId="79"/>
    <cellStyle name="표준 23 2" xfId="166"/>
    <cellStyle name="표준 23 3" xfId="212"/>
    <cellStyle name="표준 23 3 2" xfId="220"/>
    <cellStyle name="표준 23 3 2 2" xfId="223"/>
    <cellStyle name="표준 23 3 2 3" xfId="226"/>
    <cellStyle name="표준 23 3 2 4" xfId="230"/>
    <cellStyle name="표준 23 3 2 5" xfId="249"/>
    <cellStyle name="표준 237" xfId="2"/>
    <cellStyle name="표준 237 2" xfId="50"/>
    <cellStyle name="표준 24" xfId="81"/>
    <cellStyle name="표준 24 2" xfId="168"/>
    <cellStyle name="표준 24 3" xfId="225"/>
    <cellStyle name="표준 24 3 2" xfId="229"/>
    <cellStyle name="표준 24 3 3" xfId="233"/>
    <cellStyle name="표준 24 3 4" xfId="251"/>
    <cellStyle name="표준 24 4" xfId="228"/>
    <cellStyle name="표준 24 4 2" xfId="232"/>
    <cellStyle name="표준 25" xfId="82"/>
    <cellStyle name="표준 25 2" xfId="169"/>
    <cellStyle name="표준 26" xfId="87"/>
    <cellStyle name="표준 26 2" xfId="173"/>
    <cellStyle name="표준 27" xfId="89"/>
    <cellStyle name="표준 28" xfId="91"/>
    <cellStyle name="표준 29" xfId="176"/>
    <cellStyle name="표준 3" xfId="46"/>
    <cellStyle name="표준 3 4" xfId="215"/>
    <cellStyle name="표준 30" xfId="177"/>
    <cellStyle name="표준 31" xfId="178"/>
    <cellStyle name="표준 32" xfId="179"/>
    <cellStyle name="표준 33" xfId="183"/>
    <cellStyle name="표준 34" xfId="185"/>
    <cellStyle name="표준 35" xfId="187"/>
    <cellStyle name="표준 36" xfId="186"/>
    <cellStyle name="표준 37" xfId="188"/>
    <cellStyle name="표준 38" xfId="189"/>
    <cellStyle name="표준 39" xfId="191"/>
    <cellStyle name="표준 4" xfId="47"/>
    <cellStyle name="표준 4 2" xfId="77"/>
    <cellStyle name="표준 4 2 2" xfId="164"/>
    <cellStyle name="표준 4 3" xfId="136"/>
    <cellStyle name="표준 40" xfId="192"/>
    <cellStyle name="표준 41" xfId="194"/>
    <cellStyle name="표준 42" xfId="196"/>
    <cellStyle name="표준 43" xfId="197"/>
    <cellStyle name="표준 44" xfId="198"/>
    <cellStyle name="표준 45" xfId="199"/>
    <cellStyle name="표준 46" xfId="200"/>
    <cellStyle name="표준 47" xfId="201"/>
    <cellStyle name="표준 47 2" xfId="211"/>
    <cellStyle name="표준 48" xfId="203"/>
    <cellStyle name="표준 49" xfId="205"/>
    <cellStyle name="표준 5" xfId="52"/>
    <cellStyle name="표준 5 2" xfId="140"/>
    <cellStyle name="표준 5 2 2" xfId="282"/>
    <cellStyle name="표준 50" xfId="207"/>
    <cellStyle name="표준 51" xfId="208"/>
    <cellStyle name="표준 52" xfId="209"/>
    <cellStyle name="표준 53" xfId="210"/>
    <cellStyle name="표준 54" xfId="222"/>
    <cellStyle name="표준 55" xfId="234"/>
    <cellStyle name="표준 56" xfId="236"/>
    <cellStyle name="표준 57" xfId="237"/>
    <cellStyle name="표준 58" xfId="238"/>
    <cellStyle name="표준 59" xfId="239"/>
    <cellStyle name="표준 6" xfId="53"/>
    <cellStyle name="표준 6 2" xfId="141"/>
    <cellStyle name="표준 6 2 2" xfId="283"/>
    <cellStyle name="표준 60" xfId="240"/>
    <cellStyle name="표준 61" xfId="241"/>
    <cellStyle name="표준 62" xfId="242"/>
    <cellStyle name="표준 63" xfId="243"/>
    <cellStyle name="표준 64" xfId="244"/>
    <cellStyle name="표준 65" xfId="245"/>
    <cellStyle name="표준 66" xfId="247"/>
    <cellStyle name="표준 67" xfId="252"/>
    <cellStyle name="표준 68" xfId="253"/>
    <cellStyle name="표준 69" xfId="254"/>
    <cellStyle name="표준 7" xfId="55"/>
    <cellStyle name="표준 7 2" xfId="143"/>
    <cellStyle name="표준 70" xfId="255"/>
    <cellStyle name="표준 71" xfId="257"/>
    <cellStyle name="표준 72" xfId="258"/>
    <cellStyle name="표준 73" xfId="259"/>
    <cellStyle name="표준 74" xfId="261"/>
    <cellStyle name="표준 75" xfId="262"/>
    <cellStyle name="표준 76" xfId="263"/>
    <cellStyle name="표준 77" xfId="264"/>
    <cellStyle name="표준 78" xfId="266"/>
    <cellStyle name="표준 79" xfId="267"/>
    <cellStyle name="표준 8" xfId="56"/>
    <cellStyle name="표준 8 2" xfId="144"/>
    <cellStyle name="표준 80" xfId="268"/>
    <cellStyle name="표준 81" xfId="269"/>
    <cellStyle name="표준 82" xfId="270"/>
    <cellStyle name="표준 83" xfId="272"/>
    <cellStyle name="표준 83 2" xfId="274"/>
    <cellStyle name="표준 84" xfId="276"/>
    <cellStyle name="표준 85" xfId="278"/>
    <cellStyle name="표준 86" xfId="280"/>
    <cellStyle name="표준 9" xfId="58"/>
    <cellStyle name="표준 9 2" xfId="146"/>
    <cellStyle name="표준 96" xfId="2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4048;&#49324;-&#44592;&#47568;\00-5%20&#54620;&#51652;&#51473;&#44277;&#50629;\WF200\TMP\~TMP7233.$$$\WF200\TMP\~TMP5043.$$$\&#44228;&#51221;&#44284;&#477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INCHOONDONG\aws\WINDOWS\TEMP\&#50976;&#44032;&#51613;&#44428;20001.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KLEE\&#51116;&#47924;&#51228;&#54364;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4048;&#49324;-&#44592;&#47568;\00-5%20&#54620;&#51652;&#51473;&#44277;&#50629;\WF200\TMP\~TMP7233.$$$\WF200\TMP\~TMP5461.$$$\&#51116;&#47924;&#51228;&#543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4048;&#49324;-&#44592;&#47568;\00-5%20&#54620;&#51652;&#51473;&#44277;&#50629;\WF200\TMP\~TMP7233.$$$\WF200\TMP\~TMP7201.$$$\ACT\ACT97\&#51116;&#47924;&#51228;&#543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6211%20&#52264;&#51077;&#44552;%20&#48143;%20&#49324;&#52292;&#51032;%20&#50892;&#53356;&#49884;&#53944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00129\&#51109;&#50980;&#49692;\kdcg\&#51088;&#49328;&#51116;&#54217;&#44032;\&#44277;&#44553;&#49444;&#48708;&#48156;&#49373;&#45236;&#5066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at02\d\&#49464;&#51652;\1999\JJang\KET\&#49340;&#54868;9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2002&#51473;&#44036;&amp;&#44592;&#47568;/2002&#44160;&#53664;/&#54392;&#47480;&#49345;&#54840;&#51200;&#52629;&#51008;&#54665;/2002-9-30/&#50629;&#47924;&#54260;&#45908;/&#44048;&#49324;&#48372;&#44256;&#49436;&#52572;&#51333;/KET/&#49340;&#54868;9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INCHOONDONG\aws\WINDOWS\Temporary%20Internet%20Files\Content.IE5\O96J0TMF\&#50976;&#44032;&#51613;&#44428;2001.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총괄"/>
      <sheetName val="미수수익"/>
      <sheetName val="국민채권"/>
      <sheetName val="지하철"/>
      <sheetName val="교통"/>
      <sheetName val="지역개발"/>
      <sheetName val="실물00.12.31"/>
      <sheetName val="동원99.5"/>
      <sheetName val="명세"/>
      <sheetName val="      "/>
      <sheetName val="평가9.30"/>
      <sheetName val="평가9.30 (2)"/>
      <sheetName val="평가9.30 (3)"/>
      <sheetName val="98.12.29"/>
      <sheetName val="2000.7.3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.12.29 (2)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금융자산부채 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잉여금 "/>
      <sheetName val="공사원가"/>
      <sheetName val="조회서"/>
      <sheetName val="주소"/>
      <sheetName val="Option"/>
      <sheetName val="개황"/>
      <sheetName val="control sheet"/>
      <sheetName val="차량(구)"/>
      <sheetName val="업체개요"/>
      <sheetName val="회사정보"/>
      <sheetName val="미비용95"/>
      <sheetName val="시설투자"/>
      <sheetName val="COMM"/>
      <sheetName val="수불부"/>
      <sheetName val="소기"/>
      <sheetName val="재무제표A"/>
      <sheetName val="일반물자(한국통신)"/>
      <sheetName val="채권(하반기)"/>
      <sheetName val="계정code"/>
      <sheetName val="시산표12월(수정후)"/>
      <sheetName val="BS"/>
      <sheetName val="J"/>
      <sheetName val="출자한도"/>
      <sheetName val="2000년"/>
      <sheetName val="2001년"/>
      <sheetName val="기본 FACTOR"/>
      <sheetName val="Profit-group"/>
      <sheetName val="대외공문"/>
      <sheetName val="10월"/>
      <sheetName val="본사현황"/>
      <sheetName val="선급금"/>
      <sheetName val="미착품"/>
      <sheetName val="SALE"/>
      <sheetName val="SHEET1"/>
      <sheetName val="감가상각"/>
      <sheetName val="원가계산서"/>
      <sheetName val="Menu_Link"/>
      <sheetName val="모 델 코 드"/>
      <sheetName val="VENDOR LIST"/>
      <sheetName val="공통비"/>
      <sheetName val="노임"/>
      <sheetName val="현금"/>
      <sheetName val="의왕F사"/>
      <sheetName val="가공사"/>
      <sheetName val="10월판관"/>
      <sheetName val="건물명세"/>
      <sheetName val="C2"/>
      <sheetName val="GG"/>
      <sheetName val="미지급내자"/>
      <sheetName val="긴축실적 (2분기)"/>
      <sheetName val="현금흐름표"/>
      <sheetName val="IS_03"/>
      <sheetName val="원가명세_0703"/>
      <sheetName val="99 11월 제조품List"/>
      <sheetName val="99년10월 제조품매출누계"/>
      <sheetName val="판가반영"/>
      <sheetName val="SUD(2Q)"/>
      <sheetName val="WBS"/>
      <sheetName val="BS(30일 HC only)"/>
      <sheetName val="WIS"/>
      <sheetName val="공표(BS)"/>
      <sheetName val="공표(PL)"/>
      <sheetName val="CF"/>
      <sheetName val="업무분장 "/>
      <sheetName val="DY092"/>
      <sheetName val="공통"/>
      <sheetName val="CD-실적"/>
      <sheetName val="내역서"/>
      <sheetName val="차수"/>
      <sheetName val="주주명부&lt;끝&gt;"/>
      <sheetName val="국민연금"/>
      <sheetName val="금융자산부채_"/>
      <sheetName val="잉여금_"/>
      <sheetName val="민감도"/>
      <sheetName val="GCOA_내부거래상계"/>
      <sheetName val="2013.2월 연결대상"/>
      <sheetName val="PL_Package_내부거래"/>
      <sheetName val="BS_Package_내부거래"/>
      <sheetName val="환율"/>
      <sheetName val="채권한전"/>
      <sheetName val="계정코드"/>
      <sheetName val="Master"/>
      <sheetName val="A1"/>
      <sheetName val="Plan_Actual"/>
      <sheetName val="원부재료"/>
      <sheetName val="금융자산부채_1"/>
      <sheetName val="잉여금_1"/>
      <sheetName val="control_sheet"/>
      <sheetName val="긴축실적_(2분기)"/>
      <sheetName val="기본_FACTOR"/>
      <sheetName val="99_11월_제조품List"/>
      <sheetName val="99년10월_제조품매출누계"/>
      <sheetName val="BS(30일_HC_only)"/>
      <sheetName val="모_델_코_드"/>
      <sheetName val="VENDOR_LIST"/>
      <sheetName val="증감내역"/>
      <sheetName val="서식시트"/>
      <sheetName val="외상매출금현황-수정분 A2"/>
      <sheetName val="부서자료"/>
      <sheetName val="8월"/>
      <sheetName val="UTMBPL"/>
      <sheetName val="Macro1"/>
      <sheetName val="피엘"/>
      <sheetName val="당년매출집계"/>
      <sheetName val="대표자"/>
      <sheetName val="손익계산서"/>
      <sheetName val="실적관리"/>
      <sheetName val="#REF"/>
      <sheetName val="ST"/>
      <sheetName val="급여표"/>
      <sheetName val="통장출금액"/>
      <sheetName val="9.1"/>
      <sheetName val="전문직"/>
      <sheetName val="인턴사원"/>
      <sheetName val="3-4현"/>
      <sheetName val="3-3현"/>
      <sheetName val="연결범위관리"/>
      <sheetName val="기초자료"/>
      <sheetName val="Ctrl"/>
      <sheetName val="손익계산서(SJ)"/>
      <sheetName val="매입수불자재"/>
      <sheetName val="MASIMS"/>
      <sheetName val="pus"/>
      <sheetName val="기초"/>
      <sheetName val="10.31"/>
      <sheetName val="제품(수출)매출"/>
      <sheetName val="상품매출"/>
      <sheetName val="재고 "/>
      <sheetName val="한빛은행_종합2001"/>
      <sheetName val="6호기"/>
      <sheetName val="63지점"/>
      <sheetName val="외환"/>
      <sheetName val="물가지수!"/>
      <sheetName val="IFRS 잔존가치"/>
      <sheetName val="Condition"/>
      <sheetName val="토사(PE)"/>
      <sheetName val="Value"/>
      <sheetName val="Assumptions"/>
      <sheetName val="FCF"/>
      <sheetName val="is"/>
      <sheetName val="Ratios"/>
      <sheetName val="NOPLAT"/>
      <sheetName val="민감도분석"/>
      <sheetName val="xxxxxx"/>
      <sheetName val="금융자산부채_2"/>
      <sheetName val="잉여금_2"/>
      <sheetName val="업무분장_"/>
      <sheetName val="긴축실적_(2분기)1"/>
      <sheetName val="control_sheet1"/>
      <sheetName val="모_델_코_드1"/>
      <sheetName val="2013_2월_연결대상"/>
      <sheetName val="기본_FACTOR1"/>
      <sheetName val="VENDOR_LIST1"/>
      <sheetName val="99_11월_제조품List1"/>
      <sheetName val="99년10월_제조품매출누계1"/>
      <sheetName val="BS(30일_HC_only)1"/>
      <sheetName val="9_1"/>
      <sheetName val="갑지(추정)"/>
      <sheetName val="상품보조수불"/>
      <sheetName val="제조원가계산서 (2)"/>
      <sheetName val="제품입고(생산)"/>
      <sheetName val="IN"/>
      <sheetName val="산5-7"/>
      <sheetName val="기본사항"/>
      <sheetName val=""/>
      <sheetName val="Consolid. Scope"/>
      <sheetName val="25.보증금(임차보증금외)"/>
      <sheetName val="반기예.적금미수수익"/>
      <sheetName val="장적산출"/>
      <sheetName val="보험금"/>
      <sheetName val="누PL"/>
      <sheetName val="누TB"/>
      <sheetName val="은행"/>
      <sheetName val="항목별"/>
      <sheetName val="xx"/>
      <sheetName val="견적서"/>
      <sheetName val="제작실적"/>
      <sheetName val="1Q"/>
      <sheetName val="2Q "/>
      <sheetName val="3Q "/>
      <sheetName val="FY 2018"/>
      <sheetName val="Est FY"/>
      <sheetName val="FY Final"/>
      <sheetName val="Cash Flow Projection-Actual"/>
      <sheetName val="단체협약서"/>
      <sheetName val="p2-1"/>
      <sheetName val="제조97-1"/>
      <sheetName val="출고 요청서"/>
      <sheetName val="총괄표"/>
      <sheetName val="대출금"/>
      <sheetName val="은행(반납후) "/>
      <sheetName val="기은전산"/>
      <sheetName val="퇴직금"/>
      <sheetName val="받을어음할인및 융통어음"/>
      <sheetName val="중기계획"/>
      <sheetName val="득점현황"/>
      <sheetName val="총 원가계산"/>
      <sheetName val="제조원가명세서"/>
      <sheetName val="Holidays"/>
      <sheetName val="9703"/>
      <sheetName val="H"/>
      <sheetName val="인사자료총집계"/>
      <sheetName val="계정명"/>
      <sheetName val="외화"/>
      <sheetName val="업무계획1"/>
      <sheetName val="입력항목"/>
      <sheetName val="In_CAIC_DIVA_299"/>
      <sheetName val="WPL"/>
      <sheetName val="실사부외자재위치(MODEL)"/>
      <sheetName val="급여지급"/>
      <sheetName val="FAB별"/>
      <sheetName val="Rate Analysis"/>
      <sheetName val="건설중인"/>
      <sheetName val="감가상각비(2002)"/>
      <sheetName val="금융자산부채_3"/>
      <sheetName val="잉여금_3"/>
      <sheetName val="99_11월_제조품List2"/>
      <sheetName val="99년10월_제조품매출누계2"/>
      <sheetName val="BS(30일_HC_only)2"/>
      <sheetName val="control_sheet2"/>
      <sheetName val="모_델_코_드2"/>
      <sheetName val="긴축실적_(2분기)2"/>
      <sheetName val="기본_FACTOR2"/>
      <sheetName val="VENDOR_LIST2"/>
      <sheetName val="업무분장_1"/>
      <sheetName val="2013_2월_연결대상1"/>
      <sheetName val="9_11"/>
      <sheetName val="10_31"/>
      <sheetName val="재고_"/>
      <sheetName val="외상매출금현황-수정분_A2"/>
      <sheetName val="20021231"/>
      <sheetName val="월별수입"/>
      <sheetName val="조명시설"/>
      <sheetName val="LU"/>
      <sheetName val="Mapping(New)"/>
      <sheetName val="IFRS_잔존가치"/>
      <sheetName val="제조원가계산서_(2)"/>
      <sheetName val="목표고객속보"/>
      <sheetName val="A4공장"/>
      <sheetName val="Sens&amp;Anal"/>
      <sheetName val="실시현황집계표(연간)"/>
      <sheetName val="full (2)"/>
      <sheetName val="2.대외공문"/>
      <sheetName val="RD제품개발투자비(매가)"/>
      <sheetName val="0800CUR"/>
      <sheetName val="미수금"/>
      <sheetName val="미지급 비용"/>
      <sheetName val="수출금융"/>
      <sheetName val="타계정으로명세(PL상)"/>
      <sheetName val="유형고정자산 명세"/>
      <sheetName val="타계정에서 명세서(PL상)"/>
      <sheetName val="이익잉여금 명세서"/>
      <sheetName val="이월이익잉여금"/>
      <sheetName val="고정자산처분내역서"/>
      <sheetName val="선수금"/>
      <sheetName val="수입보증금"/>
      <sheetName val="미착기계"/>
      <sheetName val="재고보고"/>
      <sheetName val="JA"/>
      <sheetName val="TEMP"/>
      <sheetName val="월별비교제조원가명세서"/>
      <sheetName val="99제품운영(안) (2)"/>
      <sheetName val="간지4(18)"/>
      <sheetName val="재무제표표지(19)"/>
      <sheetName val="간지5(20)"/>
      <sheetName val="재무상태표(21-24)"/>
      <sheetName val="손익계산서(25-28)"/>
      <sheetName val="기본금변동계산서(29)"/>
      <sheetName val="간지(30-32)"/>
      <sheetName val="재무상태표 표지(33)"/>
      <sheetName val="간지6(34)"/>
      <sheetName val="현예금명세서(35-36)"/>
      <sheetName val="의료미수금명세서(37-38)"/>
      <sheetName val="선급비용명세서(39)"/>
      <sheetName val="선급법인세(40-41)"/>
      <sheetName val="재고자산명세서(42-43)"/>
      <sheetName val="투자자산(44)"/>
      <sheetName val="유형자산명세서(45)"/>
      <sheetName val="유형자산명세서(국고보조금)(46)"/>
      <sheetName val="감가상각누계액명세서(47)"/>
      <sheetName val="외상매입금(48-56)"/>
      <sheetName val="미지급금(57-58)"/>
      <sheetName val="예수금(59)"/>
      <sheetName val="미지급비용(60-64)"/>
      <sheetName val="미지급이자비용(65-66)"/>
      <sheetName val="선수수익명세서(67)"/>
      <sheetName val="예수보증금(68)"/>
      <sheetName val="대손충당금 명세서(69)"/>
      <sheetName val="차입금명세서(70-71) "/>
      <sheetName val="본지점(부채)명세서(72)"/>
      <sheetName val="금융리스미지급금명세서(73)"/>
      <sheetName val="임대보증금명세서(74)"/>
      <sheetName val="미지급금(장기)명세서(75)"/>
      <sheetName val="퇴직급여충당금명세서(76)"/>
      <sheetName val="Sheet10(간지12)"/>
      <sheetName val="sheet(분원)간지"/>
      <sheetName val="손익표지(77)"/>
      <sheetName val="간지7(78)"/>
      <sheetName val="의료수익명세서(79)"/>
      <sheetName val="의료수익차감명세서(80)"/>
      <sheetName val="인건비명세서(81-82)"/>
      <sheetName val="재료비명세서(83)"/>
      <sheetName val="관리운영비명세서(84-88)"/>
      <sheetName val="의료외수익명세서(89)"/>
      <sheetName val="의료외비용명세서(90)"/>
      <sheetName val="간지123(분원)"/>
      <sheetName val="기타부속명세서표지(91)"/>
      <sheetName val="간지8(92)"/>
      <sheetName val="합계잔액시산표(93-96)"/>
      <sheetName val="직종별인건비명세서(97-98)"/>
      <sheetName val="진료과환자종류별수익(입원)(99-100)"/>
      <sheetName val="진료과환자종류별수익(외래)(101-102)"/>
      <sheetName val="환자수(입원)(103)"/>
      <sheetName val="환자수(외래)(104)"/>
      <sheetName val="정현원표1(105)"/>
      <sheetName val="정현원표2(106)"/>
      <sheetName val="기구표(분원)(107)"/>
      <sheetName val="부속명세서(분원)"/>
      <sheetName val="재고자산세부명세서(분원)"/>
      <sheetName val="유무형자산세부명세서(분원)"/>
      <sheetName val="합계잔액시산표"/>
      <sheetName val="이해관계자 Interviewee 대상"/>
      <sheetName val="(raw) 0. 사회문제"/>
      <sheetName val="(raw) 1. 구성원"/>
      <sheetName val="(raw) 2. 고객"/>
      <sheetName val="(참고) 이해관계자별 중점분야"/>
      <sheetName val="3. AHP 분석 결과 "/>
      <sheetName val="(참고) 결과분석_Raw"/>
      <sheetName val="(참고) AHP 설문 예시"/>
      <sheetName val="Sheet2"/>
      <sheetName val="PUR-12K"/>
      <sheetName val="TSCLFEB"/>
      <sheetName val="아파트 기성내역서"/>
      <sheetName val="MRS세부"/>
      <sheetName val="입력장표"/>
      <sheetName val="1997"/>
      <sheetName val="판매-종합"/>
      <sheetName val="7 (2)"/>
      <sheetName val="PPh 23,4(2),15, 26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용도별수요격차"/>
      <sheetName val="개황"/>
      <sheetName val="긴축실적 (2분기)"/>
      <sheetName val="외화계약"/>
      <sheetName val="건설중인자산(기타)"/>
      <sheetName val="부가세신고자료"/>
      <sheetName val="재무제표"/>
      <sheetName val="00~09 세대수(Actual)"/>
      <sheetName val="Sheet1"/>
      <sheetName val="현재"/>
      <sheetName val="첨부5. 01~06 Sales Volume(Actual)"/>
      <sheetName val="2006 Budget 대비"/>
      <sheetName val="BRAKE"/>
      <sheetName val="손익계산서(2월누계)"/>
      <sheetName val="손익계산서(2월)"/>
      <sheetName val="매출원가명세서(2월누계)"/>
      <sheetName val="매출원가명세서(2월)"/>
      <sheetName val="대차대조표"/>
      <sheetName val="손익계산서(1월)"/>
      <sheetName val="매출원가명세서(1월)"/>
      <sheetName val="INFO"/>
      <sheetName val="BS"/>
      <sheetName val="지분법평가"/>
      <sheetName val="수입"/>
      <sheetName val="BS99"/>
      <sheetName val="backdata"/>
      <sheetName val="매월결산"/>
      <sheetName val="매월결산 (석탑반영)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BS (2003)"/>
      <sheetName val="중요성기준"/>
      <sheetName val="CF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손익계산서"/>
      <sheetName val="판관.비용수익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대차"/>
      <sheetName val="손익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XXXXXX"/>
      <sheetName val="발견사항"/>
      <sheetName val="발견사항 (2)"/>
      <sheetName val="FINDING"/>
      <sheetName val="WBS"/>
      <sheetName val="WPL "/>
      <sheetName val="이익잉여금"/>
      <sheetName val="매출액명세서"/>
      <sheetName val="제조원가명세서 "/>
      <sheetName val="정산표"/>
      <sheetName val="PL0430연금통합제시"/>
      <sheetName val="BS0430연금통합제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보증금(전신전화가입권)"/>
      <sheetName val="첨부1"/>
      <sheetName val="명단"/>
      <sheetName val="채권(하반기)"/>
      <sheetName val="KUNGDEVI"/>
      <sheetName val="Variables"/>
      <sheetName val="A-100전제"/>
      <sheetName val="외주수리비"/>
      <sheetName val="합손"/>
      <sheetName val="96갑지"/>
      <sheetName val="01"/>
      <sheetName val="국산화"/>
      <sheetName val="Sheet1 (2)"/>
      <sheetName val="10월 급여"/>
      <sheetName val="8100"/>
      <sheetName val="09.1분기실적"/>
      <sheetName val="만기"/>
      <sheetName val="감사일어"/>
      <sheetName val="이자수익 명세"/>
      <sheetName val="rate"/>
      <sheetName val="재고AR"/>
      <sheetName val="서울재고"/>
      <sheetName val="외화금융(97-03)"/>
      <sheetName val="INMD1198"/>
      <sheetName val="Korea"/>
      <sheetName val="G4"/>
      <sheetName val="인쇄BS"/>
      <sheetName val="HERO01"/>
      <sheetName val="받을어음"/>
      <sheetName val="ED DS"/>
      <sheetName val="ED DT"/>
      <sheetName val="RE9604"/>
      <sheetName val="최종중간기간성과"/>
      <sheetName val=" 견적서"/>
      <sheetName val="F1,2"/>
      <sheetName val="합계잔액(1)"/>
      <sheetName val="합계잔액 (2)"/>
      <sheetName val="잉여금처분"/>
      <sheetName val="PL (3)"/>
      <sheetName val="MC (3)"/>
      <sheetName val="BS1"/>
      <sheetName val="BS2"/>
      <sheetName val="WTB"/>
      <sheetName val="F-4"/>
      <sheetName val="F-5"/>
      <sheetName val="2262"/>
      <sheetName val="2262-10"/>
      <sheetName val="WTB-BS"/>
      <sheetName val="WTB-IS"/>
      <sheetName val="1.BS"/>
      <sheetName val="2.PL"/>
      <sheetName val="3.제조"/>
      <sheetName val="4.이익"/>
      <sheetName val="24.보증금(전신전화가입권)"/>
      <sheetName val="비품"/>
      <sheetName val="완성차 미수금"/>
      <sheetName val="Sheet3"/>
      <sheetName val="사내수급"/>
      <sheetName val="설정"/>
      <sheetName val="PUC명"/>
      <sheetName val="단가"/>
      <sheetName val="환율"/>
      <sheetName val="XREF"/>
      <sheetName val="분석(품목)"/>
      <sheetName val="FACTOR"/>
      <sheetName val="118.세금과공과"/>
      <sheetName val="MAT"/>
      <sheetName val="최종조정"/>
      <sheetName val="Res"/>
      <sheetName val="Bal"/>
      <sheetName val="실행계획"/>
      <sheetName val="出口合同"/>
      <sheetName val=""/>
      <sheetName val="BS정산표"/>
      <sheetName val="A.현금"/>
      <sheetName val="T6-6(7)"/>
      <sheetName val="T6-6(6)"/>
      <sheetName val="laroux"/>
      <sheetName val="JSP01"/>
      <sheetName val="공통"/>
      <sheetName val="7 (2)"/>
      <sheetName val="원본"/>
      <sheetName val="Krw"/>
      <sheetName val="공표손익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DATASHT2"/>
      <sheetName val="Test"/>
      <sheetName val="Bs. de Uso 2002"/>
      <sheetName val="prov locales"/>
      <sheetName val="진행률기표"/>
      <sheetName val="환율표(12월)"/>
      <sheetName val="공정가치"/>
      <sheetName val="지상1층상가면적표"/>
      <sheetName val="지상2층상가면적표"/>
      <sheetName val="층별용도별면적표"/>
      <sheetName val="95TOTREV"/>
      <sheetName val="당좌차월"/>
      <sheetName val="AT"/>
      <sheetName val="B777"/>
      <sheetName val="신공항"/>
      <sheetName val="정비재료비"/>
      <sheetName val="지상조업료"/>
      <sheetName val="JJ"/>
      <sheetName val="잡유비"/>
      <sheetName val="MA"/>
      <sheetName val="계류장사용료"/>
      <sheetName val="ME"/>
      <sheetName val="MF"/>
      <sheetName val="MI"/>
      <sheetName val="MT"/>
      <sheetName val="QA"/>
      <sheetName val="#REF"/>
      <sheetName val="TaxCalc"/>
      <sheetName val="기초자료(20010831)"/>
      <sheetName val="전행순위"/>
      <sheetName val="Ⅰ-1"/>
      <sheetName val="주요비율-낙관"/>
      <sheetName val="별제권_정리담보권1"/>
      <sheetName val="PL98"/>
      <sheetName val="01_tool"/>
      <sheetName val="Scenario"/>
      <sheetName val="Borrower"/>
      <sheetName val="Index"/>
      <sheetName val="국외감가상각내역0103"/>
      <sheetName val="STC3"/>
      <sheetName val="본부예산"/>
      <sheetName val="Ⅱ1-0타"/>
      <sheetName val="0930PLENG"/>
      <sheetName val="감독1130"/>
      <sheetName val="년"/>
      <sheetName val="현금예금"/>
      <sheetName val="SUMMARY"/>
      <sheetName val="품의서"/>
      <sheetName val="기안"/>
      <sheetName val="2차-PROTO-(1)"/>
      <sheetName val="제조원가명세서"/>
      <sheetName val="Macro3"/>
      <sheetName val="AGING"/>
      <sheetName val="인력(정규직)"/>
      <sheetName val="페이지"/>
      <sheetName val="회사정보"/>
      <sheetName val="Customer List"/>
      <sheetName val="Supply List"/>
      <sheetName val="합계잔액시산표"/>
      <sheetName val="재무상태표"/>
      <sheetName val="이익잉여금처분계산서"/>
      <sheetName val="sisan"/>
      <sheetName val="TCA"/>
      <sheetName val="Calcs for Sensitivy"/>
      <sheetName val="DCF Inputs"/>
      <sheetName val="제조"/>
      <sheetName val="99사업소득정산"/>
      <sheetName val="dartBS"/>
      <sheetName val="B4.1"/>
      <sheetName val="dartIS"/>
      <sheetName val="B4.2"/>
      <sheetName val="PL (2)"/>
      <sheetName val="TB"/>
      <sheetName val="부채계정"/>
      <sheetName val="현장실사결과요약"/>
      <sheetName val="전체"/>
      <sheetName val="WELDING"/>
      <sheetName val="1.외주공사"/>
      <sheetName val="LEAD-WBS"/>
      <sheetName val="경비공통"/>
      <sheetName val="협조전"/>
      <sheetName val="영업.일1"/>
      <sheetName val="Assumptions"/>
      <sheetName val="TEMP"/>
      <sheetName val="JA"/>
      <sheetName val="제조98"/>
      <sheetName val="인건비예산(정규직)"/>
      <sheetName val="인건비예산(용역)"/>
      <sheetName val="수불부"/>
      <sheetName val="계정명세"/>
      <sheetName val="admin"/>
      <sheetName val="실행철강하도"/>
      <sheetName val="M1master"/>
      <sheetName val="수정분개"/>
      <sheetName val="받check"/>
      <sheetName val="단기대여금"/>
      <sheetName val="보증금"/>
      <sheetName val="비교"/>
      <sheetName val="control sheet"/>
      <sheetName val="TABLE"/>
      <sheetName val="취득"/>
      <sheetName val="은행"/>
      <sheetName val="노동부"/>
      <sheetName val="항목(1)"/>
      <sheetName val="월별재고예상(감량전)"/>
      <sheetName val="A-LINE"/>
      <sheetName val="BM_NEW2"/>
      <sheetName val="LCGRAPH"/>
      <sheetName val="F-1,2"/>
      <sheetName val="수정시산표"/>
      <sheetName val="Balance sheet"/>
      <sheetName val="00~09_세대수(Actual)"/>
      <sheetName val="긴축실적_(2분기)"/>
      <sheetName val="첨부5__01~06_Sales_Volume(Actual)"/>
      <sheetName val="2006_Budget_대비"/>
      <sheetName val="매월결산_(석탑반영)"/>
      <sheetName val="매월결산_(감사제시확정)"/>
      <sheetName val="HOT_MELT원재료"/>
      <sheetName val="BS_(2003)"/>
      <sheetName val="Other_Assets_leadersheet"/>
      <sheetName val="Fixed_Assets_leadersheet"/>
      <sheetName val="Current_Liabilities"/>
      <sheetName val="판관_비용수익"/>
      <sheetName val="3_잉여금처분O"/>
      <sheetName val="4_현금흐름"/>
      <sheetName val="1_대차대조표"/>
      <sheetName val="2_손익계산서"/>
      <sheetName val="58_제조원가"/>
      <sheetName val="81_전기대비추세표"/>
      <sheetName val="6월기타자본잉여금_"/>
      <sheetName val="6월이익잉여금_"/>
      <sheetName val="발견사항_(2)"/>
      <sheetName val="WPL_"/>
      <sheetName val="제조원가명세서_"/>
      <sheetName val="Sheet1_(2)"/>
      <sheetName val="10월_급여"/>
      <sheetName val="은행계정"/>
      <sheetName val="고자현황"/>
      <sheetName val="현금흐름표"/>
      <sheetName val="가수금대체"/>
      <sheetName val="대비"/>
      <sheetName val="감가상각"/>
      <sheetName val="9-1차이내역"/>
      <sheetName val="일반관리비"/>
      <sheetName val="영업.일"/>
      <sheetName val="선급미지급비용"/>
      <sheetName val="sh1"/>
      <sheetName val="sh2"/>
      <sheetName val="sh3"/>
      <sheetName val="물량투입계획"/>
      <sheetName val="상품원가피벗"/>
      <sheetName val="①매출"/>
      <sheetName val="내외국인총괄"/>
      <sheetName val="년도별"/>
      <sheetName val="과정별"/>
      <sheetName val="sm"/>
      <sheetName val="판매2팀"/>
      <sheetName val="항목등록"/>
      <sheetName val="보정전BS"/>
      <sheetName val="보정전PL"/>
      <sheetName val="전산각주"/>
      <sheetName val="각주"/>
      <sheetName val="수정"/>
      <sheetName val="보정후BS"/>
      <sheetName val="Net PL"/>
      <sheetName val="정산samfile"/>
      <sheetName val="종수"/>
      <sheetName val="수기평가자료_해외분"/>
      <sheetName val="수기평가자료"/>
      <sheetName val="수기보정자료"/>
      <sheetName val="보정samfile"/>
      <sheetName val="보정전BS(세분류)"/>
      <sheetName val="보정전BS(세분류)-본지점수정전"/>
      <sheetName val="보정전BS(소분류)"/>
      <sheetName val="보정전PL(세분류)"/>
      <sheetName val="보정전PL(소분류)"/>
      <sheetName val="보정후BS(세분류)"/>
      <sheetName val="보정후BS(소분류)"/>
      <sheetName val="Net PL(세분류)"/>
      <sheetName val="Net PL(소분류)"/>
      <sheetName val="본봉표"/>
      <sheetName val="직원신상"/>
      <sheetName val="대차대조표(수정)"/>
      <sheetName val="비교대차"/>
      <sheetName val="손익계산서(수정)"/>
      <sheetName val="비교손익"/>
      <sheetName val="시산표1차"/>
      <sheetName val="시산표2차 "/>
      <sheetName val="일계표"/>
      <sheetName val="비교대차  (1)"/>
      <sheetName val="손익결산  (1)"/>
      <sheetName val="비교대차  (2)"/>
      <sheetName val="손익결산  (2)"/>
      <sheetName val="시산결산 (2)"/>
      <sheetName val="결손금처분"/>
      <sheetName val="세무조정(간략)"/>
      <sheetName val="기초코드"/>
      <sheetName val="개시전표"/>
      <sheetName val="공사집계"/>
      <sheetName val="경제성분석"/>
      <sheetName val="지역별약정(당일)"/>
      <sheetName val="일위대가(여기까지)"/>
      <sheetName val="F4-F7"/>
      <sheetName val="세무서코드"/>
      <sheetName val="0001new"/>
      <sheetName val="내역서"/>
      <sheetName val="충당금"/>
      <sheetName val="CoA map"/>
      <sheetName val="매출채권"/>
      <sheetName val="매입채무"/>
      <sheetName val="반기_유가증권"/>
      <sheetName val="00'미수"/>
      <sheetName val="Update"/>
      <sheetName val="P&amp;L"/>
      <sheetName val="수량산출"/>
      <sheetName val="6월추가불출"/>
      <sheetName val="예산계획"/>
      <sheetName val="점유면적"/>
      <sheetName val="대외공문"/>
      <sheetName val="지보1_98"/>
      <sheetName val="환산"/>
      <sheetName val="__"/>
      <sheetName val="비목계산"/>
      <sheetName val="MSC_PBA"/>
      <sheetName val="Sheet5(실지급)"/>
      <sheetName val="재료비"/>
      <sheetName val="PG사업 탄내배선 소요자재명세서"/>
      <sheetName val="재료비(하모닉필터)"/>
      <sheetName val="AAVR-IL"/>
      <sheetName val="MatchCode"/>
      <sheetName val="20v956TB82 추가 국산품목록"/>
      <sheetName val="소요예산 집계표"/>
      <sheetName val="CALENDAR"/>
      <sheetName val="통계자료"/>
      <sheetName val="97손익계획"/>
      <sheetName val="MACRO1.XLM"/>
      <sheetName val="QDaccdil"/>
      <sheetName val="Macro4"/>
      <sheetName val="임율총괄"/>
      <sheetName val="10월판관"/>
      <sheetName val="공사비지급"/>
      <sheetName val="HB"/>
      <sheetName val=" PLENG"/>
      <sheetName val="GA"/>
      <sheetName val="주관사업"/>
      <sheetName val="MacroA"/>
      <sheetName val="정의"/>
      <sheetName val="0096판보"/>
      <sheetName val="고정자산-회사제시"/>
      <sheetName val="품의"/>
      <sheetName val="S&amp;D (2)"/>
      <sheetName val="9609Aß"/>
      <sheetName val="HSA"/>
      <sheetName val="region"/>
      <sheetName val="Financials"/>
      <sheetName val="Assign"/>
      <sheetName val="A (3)"/>
      <sheetName val="Active"/>
      <sheetName val="knoc_et"/>
      <sheetName val="TEMP1"/>
      <sheetName val="업무분장 "/>
      <sheetName val="301  금성근"/>
      <sheetName val="A2"/>
      <sheetName val="A1"/>
      <sheetName val="주요재무비율"/>
      <sheetName val="mm10"/>
      <sheetName val="시실누(모) "/>
      <sheetName val="현우실적"/>
      <sheetName val="일반"/>
      <sheetName val="F12"/>
      <sheetName val="F3"/>
      <sheetName val="F6"/>
      <sheetName val="BPR"/>
      <sheetName val="경영지표1"/>
      <sheetName val="CFS-2기"/>
      <sheetName val="이익잉여금계산서"/>
      <sheetName val="합잔"/>
      <sheetName val="BS증감"/>
      <sheetName val="PL증감"/>
      <sheetName val="제조원가증감"/>
      <sheetName val="인화권"/>
      <sheetName val="Tickmarks"/>
      <sheetName val="용역수입원가"/>
      <sheetName val="경상개발비"/>
      <sheetName val="잉여금명세서"/>
      <sheetName val="손익계산서(제출)"/>
      <sheetName val="손익계산서 (2)"/>
      <sheetName val="손익계산서(세부)"/>
      <sheetName val="공구기구"/>
      <sheetName val="이자율"/>
      <sheetName val="표건"/>
      <sheetName val="현장별미수"/>
      <sheetName val="과"/>
      <sheetName val="공통가설"/>
      <sheetName val="미착기계"/>
      <sheetName val="Input"/>
      <sheetName val="이자수익1"/>
      <sheetName val="부재료입고집계"/>
      <sheetName val="OtherKPI"/>
      <sheetName val="09_1분기실적"/>
      <sheetName val="118_세금과공과"/>
      <sheetName val="계정code"/>
      <sheetName val="수입원가(원료)"/>
      <sheetName val="수입원가(첨가제)"/>
      <sheetName val="ins"/>
      <sheetName val="Property"/>
      <sheetName val="공수견적"/>
      <sheetName val="01_성적표"/>
      <sheetName val="DSL"/>
      <sheetName val="B"/>
      <sheetName val="특정현금과예금"/>
      <sheetName val="당좌예금"/>
      <sheetName val="K55BOM"/>
      <sheetName val="C"/>
      <sheetName val="MACRO2"/>
      <sheetName val="유효성검사"/>
      <sheetName val="업무분장_"/>
      <sheetName val="Template"/>
      <sheetName val="현금"/>
      <sheetName val="LTEURPSY"/>
      <sheetName val="199-0150"/>
      <sheetName val="지급보증금74"/>
      <sheetName val="LTFX"/>
      <sheetName val="수도"/>
      <sheetName val="수도종합"/>
      <sheetName val="목차_(2)"/>
      <sheetName val="Training"/>
      <sheetName val="Facility Information"/>
      <sheetName val="General"/>
      <sheetName val="Instructions"/>
      <sheetName val="People"/>
      <sheetName val="Quality"/>
      <sheetName val="Risk"/>
      <sheetName val="Tool"/>
      <sheetName val="출퇴근"/>
      <sheetName val="업무분장"/>
      <sheetName val="영업_일1"/>
      <sheetName val="영업_일"/>
      <sheetName val="목차_(2)1"/>
      <sheetName val="영업_일11"/>
      <sheetName val="영업_일2"/>
      <sheetName val="매월결산_(석탑반영)1"/>
      <sheetName val="매월결산_(감사제시확정)1"/>
      <sheetName val="금액내역서"/>
      <sheetName val="장기차입금"/>
      <sheetName val="97년추정손익계산서"/>
      <sheetName val="범례"/>
      <sheetName val="Usd"/>
      <sheetName val="3-4현"/>
      <sheetName val="3-3현"/>
      <sheetName val="당연"/>
      <sheetName val="국내진행95년이전"/>
      <sheetName val="경영비율 "/>
      <sheetName val="관세"/>
      <sheetName val="8월현금흐름표"/>
      <sheetName val="2001급여"/>
      <sheetName val="손익합산"/>
      <sheetName val="소계정"/>
      <sheetName val="직급"/>
      <sheetName val="직무"/>
      <sheetName val="변동"/>
      <sheetName val="Pivot_직무상세"/>
      <sheetName val="Pivot_직무"/>
      <sheetName val="Pivot_직급"/>
      <sheetName val="insa_tmp"/>
      <sheetName val="내수충당금"/>
      <sheetName val="기계경비(시간당)"/>
      <sheetName val="램머"/>
      <sheetName val="보조부문비배부"/>
      <sheetName val="합천내역"/>
      <sheetName val="A"/>
      <sheetName val="7_(2)"/>
      <sheetName val="완성차_미수금"/>
      <sheetName val="Net_PL"/>
      <sheetName val="Net_PL(세분류)"/>
      <sheetName val="Net_PL(소분류)"/>
      <sheetName val="Panel Graphs"/>
      <sheetName val="99구축"/>
      <sheetName val="적용환율"/>
      <sheetName val="Leasing"/>
      <sheetName val="product_base"/>
      <sheetName val="Control"/>
      <sheetName val="CAUDIT"/>
      <sheetName val="Lead"/>
      <sheetName val="사업개황1"/>
      <sheetName val="결손금처리(안)"/>
      <sheetName val="4.경비 5.영업외수지"/>
      <sheetName val="Inv. LS"/>
      <sheetName val="YOEMAGUM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DISC"/>
      <sheetName val="1.차입금사채명세"/>
      <sheetName val="2.차입금상환계획"/>
      <sheetName val="3.미지급이자"/>
      <sheetName val="4.이자비용OT"/>
      <sheetName val="사채할인발행차금상각(1분기)"/>
      <sheetName val="사채상각(글로벌04-1)"/>
      <sheetName val="사채상각(글로벌05-1)"/>
      <sheetName val="사채상각(동서채04-1)"/>
      <sheetName val="사채상각(동서채04-2)"/>
      <sheetName val="사채상각(동서채05-1)"/>
      <sheetName val="사채상각(동서채05-2)"/>
      <sheetName val="사채상각(동서채05-3)"/>
      <sheetName val="Tickmarks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발생집계"/>
      <sheetName val="Sheet3"/>
      <sheetName val="차이내역(1)"/>
      <sheetName val="발생차이"/>
      <sheetName val="경기자사건물"/>
      <sheetName val="비배관첨부내역"/>
      <sheetName val="비배관내역"/>
      <sheetName val="감가상각내용년수"/>
      <sheetName val="제출자료"/>
      <sheetName val="공급설비명세 (2)"/>
      <sheetName val="대체"/>
      <sheetName val="직접비발생"/>
      <sheetName val="94년간접비"/>
      <sheetName val="94직접비"/>
      <sheetName val="95년간접비"/>
      <sheetName val="95직접비"/>
      <sheetName val="96년간접비"/>
      <sheetName val="96년직접비"/>
      <sheetName val="97년비배관"/>
      <sheetName val="97년간접비"/>
      <sheetName val="97년직접비"/>
      <sheetName val="98상반기대체"/>
      <sheetName val="내역1"/>
      <sheetName val="basic_info"/>
      <sheetName val="BM_NEW2"/>
      <sheetName val="대차대조표"/>
      <sheetName val="Sheet7"/>
      <sheetName val="2004년하반기 경평반영_민원반영영업점"/>
      <sheetName val="공급설비"/>
      <sheetName val="보증금(전신전화가입권)"/>
      <sheetName val="총괄원장"/>
      <sheetName val="손익"/>
      <sheetName val="Menu_Link"/>
      <sheetName val="손익계산서"/>
      <sheetName val="10.31"/>
      <sheetName val="받을어음"/>
      <sheetName val="계수원본(99.2.28)"/>
      <sheetName val="연체대출"/>
      <sheetName val="대차"/>
      <sheetName val="#REF"/>
      <sheetName val="Sheet2"/>
      <sheetName val="인력(정규직)"/>
      <sheetName val="control sheet"/>
      <sheetName val="LIST"/>
      <sheetName val="Macro3"/>
      <sheetName val="대외공문"/>
      <sheetName val="원평사_2005_"/>
      <sheetName val="수정시산표"/>
      <sheetName val="TEMP1"/>
      <sheetName val="공통"/>
      <sheetName val="주주명부&lt;끝&gt;"/>
      <sheetName val="시산표"/>
      <sheetName val="회사제시"/>
      <sheetName val="Template"/>
      <sheetName val="입력"/>
      <sheetName val="summary"/>
      <sheetName val="공통가설"/>
      <sheetName val="COBS"/>
      <sheetName val="P.L"/>
      <sheetName val="Data"/>
      <sheetName val="95WBS"/>
      <sheetName val="현금흐름표"/>
      <sheetName val="품목코드"/>
      <sheetName val="Links"/>
      <sheetName val="협조전"/>
      <sheetName val="상품입고집계"/>
      <sheetName val="95하U$가격"/>
      <sheetName val="지역개발"/>
      <sheetName val="반제품"/>
      <sheetName val="재공품"/>
      <sheetName val="타과목"/>
      <sheetName val="제품(수출)매출"/>
      <sheetName val="상품보조수불"/>
      <sheetName val="제조원가계산서 (2)"/>
      <sheetName val="제품입고(생산)"/>
      <sheetName val="IN"/>
      <sheetName val="A1"/>
      <sheetName val="보증금_전신전화가입권_"/>
      <sheetName val="주간기성"/>
      <sheetName val="기계(2)"/>
      <sheetName val="이자율"/>
      <sheetName val="K1"/>
      <sheetName val="9703"/>
      <sheetName val="유가증권현황"/>
      <sheetName val="상환익(2001년도)"/>
      <sheetName val="통합건전성별분류(0201)"/>
      <sheetName val="통합지보건전성(0201)"/>
      <sheetName val="A10"/>
      <sheetName val="CAUDIT"/>
      <sheetName val="경영비율 "/>
      <sheetName val="Ctrl"/>
      <sheetName val="11.17-11.23"/>
      <sheetName val="11.24-11.30"/>
      <sheetName val="기흥진행률"/>
      <sheetName val="admin"/>
      <sheetName val="Sheet9"/>
      <sheetName val="대차대조"/>
      <sheetName val="미비용95"/>
      <sheetName val="공급설비명세_(2)"/>
      <sheetName val="계수원본(99_2_28)"/>
      <sheetName val="2004년하반기_경평반영_민원반영영업점"/>
      <sheetName val="10_31"/>
      <sheetName val="control_sheet"/>
      <sheetName val="Sheet1"/>
      <sheetName val="생산직"/>
      <sheetName val="샤워실위생"/>
      <sheetName val="한강운반비"/>
      <sheetName val="원가"/>
      <sheetName val="월말마감"/>
      <sheetName val="SMCB9617145"/>
      <sheetName val="(바)신탁대차"/>
      <sheetName val="(사)신탁손익"/>
      <sheetName val="잉여금"/>
      <sheetName val="장부미수"/>
      <sheetName val="공급설비발생내역"/>
      <sheetName val="98년이전원본"/>
      <sheetName val="대환취급"/>
      <sheetName val="유일형"/>
      <sheetName val="당좌자산명세"/>
      <sheetName val="매출채권(외출)"/>
      <sheetName val="인상안"/>
      <sheetName val="현금예금"/>
      <sheetName val="수량집계"/>
      <sheetName val="총괄집계표"/>
      <sheetName val="부서실적"/>
      <sheetName val="Ns0xa"/>
      <sheetName val="Info"/>
      <sheetName val="Option"/>
      <sheetName val="월간"/>
      <sheetName val="93상각비"/>
      <sheetName val="명세"/>
      <sheetName val="5500"/>
      <sheetName val="WPL"/>
      <sheetName val="10월판관"/>
      <sheetName val="정기적금"/>
      <sheetName val="미착기계"/>
      <sheetName val="3-4현"/>
      <sheetName val="3-3현"/>
      <sheetName val="별제권_정리담보권"/>
      <sheetName val="별제권_정리담보권1"/>
      <sheetName val="적용환율"/>
      <sheetName val="보유어음"/>
      <sheetName val="SALE"/>
      <sheetName val="업체손실공수.xls"/>
      <sheetName val="공급설비명세_(2)1"/>
      <sheetName val="2004년하반기_경평반영_민원반영영업점1"/>
      <sheetName val="계수원본(99_2_28)1"/>
      <sheetName val="10_311"/>
      <sheetName val="control_sheet1"/>
      <sheetName val="P_L"/>
      <sheetName val="제조원가계산서_(2)"/>
      <sheetName val="未完工合同成本设备"/>
      <sheetName val="预付款项RMB租金"/>
      <sheetName val="长期其他应收款"/>
      <sheetName val="U3.1"/>
      <sheetName val="노무비단가"/>
      <sheetName val="관세"/>
      <sheetName val="대손충당금"/>
      <sheetName val="IDONG"/>
      <sheetName val="AC377_별도BS"/>
      <sheetName val="E1020"/>
      <sheetName val="지우기"/>
      <sheetName val="Check"/>
      <sheetName val="FYP_國泰比較"/>
      <sheetName val="계정code"/>
      <sheetName val="대구은행"/>
      <sheetName val="반도체"/>
      <sheetName val="영업소별미수금현황(Old)"/>
      <sheetName val="주소"/>
      <sheetName val="업무분장 "/>
      <sheetName val="이름표"/>
      <sheetName val="2018년 입력 콤보박스"/>
      <sheetName val="해피콜"/>
      <sheetName val="모델"/>
      <sheetName val="분당임차변경"/>
      <sheetName val="표준대차대조표(1)"/>
      <sheetName val="MBNBSMTR"/>
      <sheetName val="은행"/>
      <sheetName val="외상매출금현황-수정분 A2"/>
      <sheetName val="합계잔액시산표"/>
      <sheetName val="Source"/>
      <sheetName val="支払明細"/>
      <sheetName val="科目ﾘｽﾄ"/>
      <sheetName val="検針結果"/>
      <sheetName val="BSISver6.4"/>
      <sheetName val="NA"/>
      <sheetName val="A３新収益"/>
      <sheetName val="未収保険料&amp;未払手数料"/>
      <sheetName val="T48a"/>
      <sheetName val="목표세부명세"/>
      <sheetName val="선급미지급비용"/>
      <sheetName val="성적표96"/>
      <sheetName val="Setup"/>
      <sheetName val="비품"/>
      <sheetName val="아파트진행률"/>
      <sheetName val="재료비"/>
      <sheetName val="경비"/>
      <sheetName val="EBITDA"/>
      <sheetName val="미지급금"/>
      <sheetName val="선급금"/>
      <sheetName val="선수금"/>
      <sheetName val="단기차입금"/>
      <sheetName val="외화보통예금"/>
      <sheetName val="외회외상매입금"/>
      <sheetName val="외화외상매출금"/>
      <sheetName val="장기차입금"/>
      <sheetName val="98년BS"/>
      <sheetName val="해창정"/>
      <sheetName val="CODE"/>
      <sheetName val="XREF"/>
      <sheetName val="FAB별"/>
      <sheetName val="화재보험가입내역(종류별)"/>
      <sheetName val=""/>
      <sheetName val="관리1"/>
      <sheetName val="IS Summary-96"/>
      <sheetName val="경영비율_"/>
      <sheetName val="11_17-11_23"/>
      <sheetName val="11_24-11_30"/>
      <sheetName val="I一般比"/>
      <sheetName val="Data&amp;Result"/>
      <sheetName val="BS(Detail)"/>
      <sheetName val="건설중인"/>
      <sheetName val="대분류2212"/>
      <sheetName val="산출"/>
      <sheetName val="공급설비명세_(2)2"/>
      <sheetName val="2004년하반기_경평반영_민원반영영업점2"/>
      <sheetName val="10_312"/>
      <sheetName val="계수원본(99_2_28)2"/>
      <sheetName val="control_sheet2"/>
      <sheetName val="P_L1"/>
      <sheetName val="제조원가계산서_(2)1"/>
      <sheetName val="업체손실공수_xls"/>
      <sheetName val="U3_1"/>
      <sheetName val="외상매출금현황-수정분_A2"/>
      <sheetName val="BSISver6_4"/>
      <sheetName val="업무분장_"/>
      <sheetName val="00.09"/>
      <sheetName val="SO416"/>
      <sheetName val="N賃率-職"/>
      <sheetName val="단가표"/>
      <sheetName val="외화"/>
      <sheetName val="MEMO"/>
      <sheetName val="22390-539"/>
      <sheetName val="UTMBPL"/>
      <sheetName val="미국"/>
      <sheetName val="HP1AMLIST"/>
      <sheetName val="근로영수증"/>
      <sheetName val="1-(1)생산량"/>
      <sheetName val="5사남"/>
      <sheetName val="5월"/>
      <sheetName val="일위대가"/>
      <sheetName val="점수계산1-2"/>
      <sheetName val="추정제조경비"/>
      <sheetName val="노동부"/>
      <sheetName val="발전사명"/>
      <sheetName val="13역무손익"/>
      <sheetName val="부도어음관리현황1"/>
      <sheetName val="퇴직급여충당금명세서"/>
      <sheetName val="외상매출금"/>
      <sheetName val="D1300 자삽"/>
      <sheetName val="퇴직급여충당금"/>
      <sheetName val="2018매출"/>
      <sheetName val="2017매출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자재표"/>
      <sheetName val="율표"/>
      <sheetName val="총괄갑 "/>
      <sheetName val="A-4"/>
      <sheetName val="시설물일위"/>
      <sheetName val="회사정보"/>
      <sheetName val="일반전기C"/>
      <sheetName val="경영비율_1"/>
      <sheetName val="11_17-11_231"/>
      <sheetName val="11_24-11_301"/>
      <sheetName val="2018년_입력_콤보박스"/>
      <sheetName val="IS_Summary-96"/>
      <sheetName val="배서어음명세서"/>
      <sheetName val="卖场清单"/>
      <sheetName val="차량(구)"/>
      <sheetName val="치솔대"/>
      <sheetName val="페널티"/>
      <sheetName val="배스트화성출하"/>
      <sheetName val="양양산업"/>
      <sheetName val="개발비"/>
      <sheetName val="기타"/>
      <sheetName val="단가소급"/>
      <sheetName val="단가원본"/>
      <sheetName val="산업4월단가조정"/>
      <sheetName val="RV미수수익보정"/>
      <sheetName val="불균등-거치외(미수)"/>
      <sheetName val="불균등-TOP(선수)"/>
      <sheetName val="재무.17.충당금 명세서"/>
      <sheetName val="analysis"/>
      <sheetName val="forming price"/>
      <sheetName val="method"/>
      <sheetName val="9612-D2"/>
      <sheetName val="덕전리"/>
      <sheetName val="조서및연장산출"/>
      <sheetName val="배수공수량"/>
      <sheetName val="암거공수량집계"/>
      <sheetName val="횡배수공집계"/>
      <sheetName val="수로관및집수정수량집계"/>
      <sheetName val="횡배수토공(P.E,BOX) "/>
      <sheetName val="수로관및집수정"/>
      <sheetName val="지수벽 및 파라피트"/>
      <sheetName val="암거수량"/>
      <sheetName val="암거날개벽수량"/>
      <sheetName val="암거날개벽토공"/>
      <sheetName val="횡배수관날개벽"/>
      <sheetName val="횡배수관날개벽잔토 "/>
      <sheetName val="횡배수관날개벽수량표"/>
      <sheetName val="횡배수관날개벽잔토산식치수표"/>
      <sheetName val="토적계산서"/>
      <sheetName val="포장자재수량집계"/>
      <sheetName val="콘크리트포장"/>
      <sheetName val="토사측구"/>
      <sheetName val="표 지 "/>
      <sheetName val="자재집계"/>
      <sheetName val="토공집계"/>
      <sheetName val="총괄자재집계"/>
      <sheetName val="암거날개벽수량(1.5M)"/>
      <sheetName val="암거날개벽토공(1.5)"/>
      <sheetName val="토공집계(소계)"/>
      <sheetName val="관급자재대"/>
      <sheetName val="면벽수량"/>
      <sheetName val="흄관(보호)(1연)"/>
      <sheetName val="흄관 보호토공(1연)"/>
      <sheetName val="난간벽단위"/>
      <sheetName val="포장공"/>
      <sheetName val="토공"/>
      <sheetName val="배수공"/>
      <sheetName val="날개벽수량표"/>
      <sheetName val="98수문일위"/>
      <sheetName val="암거"/>
      <sheetName val="000000"/>
      <sheetName val="설계서(동안동)"/>
      <sheetName val="산출근거 "/>
      <sheetName val="T13(P68~72,78)"/>
      <sheetName val="MYUN(MAC)"/>
      <sheetName val="송전기본"/>
      <sheetName val="DIVP_L 1998"/>
      <sheetName val="整理後資料"/>
      <sheetName val="한계원가"/>
      <sheetName val="이자수익1"/>
      <sheetName val="Notes"/>
      <sheetName val="A_E&amp;P Cal &amp; Schedules====&gt;"/>
      <sheetName val="A_1-Bermuda LP Con E&amp;P_Euro"/>
      <sheetName val="A_2-Sep Com E&amp;P_Local Cur Net "/>
      <sheetName val="A_3-Taxes-Sch J, Shc H, Shc K"/>
      <sheetName val="B_Non HFM TB Tax Adjustment===&gt;"/>
      <sheetName val="B_1-Europe BV Bermuda-Sec. 197"/>
      <sheetName val="B_2 Stock Comp"/>
      <sheetName val="B_2.1-Foreign ExercisedReleased"/>
      <sheetName val="B_3-Prepaid Rent"/>
      <sheetName val="B_4-Tax ADS"/>
      <sheetName val="B_5-Other Res FY18 &amp; FY 19"/>
      <sheetName val="C_Bermuda LP TP &amp; 8858=====&gt;"/>
      <sheetName val="1_20003-GBLPEURO - Euro"/>
      <sheetName val="2_20091-GAND - Euro"/>
      <sheetName val="3_30099-GAPL - AU$"/>
      <sheetName val="4_32540-GATW- TWD"/>
      <sheetName val="5_20043-GAUS - Euro"/>
      <sheetName val="6_20042-GBEL - Euro"/>
      <sheetName val="7_20061-GBLR - Belarus Ruble"/>
      <sheetName val="8_11800-GCAN - CN$"/>
      <sheetName val="9_20019-GCBV - Euro"/>
      <sheetName val="10_20073-GCYP - Euro"/>
      <sheetName val="11_20044-GCZR - Czh Koruna"/>
      <sheetName val="12_20049-GDEN - Den Kroner"/>
      <sheetName val="13_20040-GEBV - Euro"/>
      <sheetName val="14_20090-GESP - Euro"/>
      <sheetName val="15_20015-GEUR - Euro"/>
      <sheetName val="16_20048-GFIN - Euro"/>
      <sheetName val="17_20050-GFRA - Euro"/>
      <sheetName val="18_20045-GGER - Euro"/>
      <sheetName val="19_20074-GGRE - Euro"/>
      <sheetName val="20_32500-GHKL - US$"/>
      <sheetName val="21_20076-GHUN - HG Froint"/>
      <sheetName val="22_30097-GIND - India Rupee"/>
      <sheetName val="23_20071-GIRE - Euro"/>
      <sheetName val="24_20011-GITA - Euro"/>
      <sheetName val="25_32610-GJAP - Japanese JPY"/>
      <sheetName val="26_20078-GKAZ - Kaz Tenge"/>
      <sheetName val="27_32910-GKOR - KRW"/>
      <sheetName val="28_20046-GLUX - Euro"/>
      <sheetName val="29_32520-GMAC - Macua Pataca"/>
      <sheetName val="30_20051-GNOR - Norway Kroner"/>
      <sheetName val="31_20047-GPOL - Polish Zloty"/>
      <sheetName val="32_20077-GROM - Romania Leu"/>
      <sheetName val="33_20063-GRUS - Russia Ruble"/>
      <sheetName val="34_20041-GSDN - Sweden Krona"/>
      <sheetName val="35_32530-GSHA - Chinese CYN"/>
      <sheetName val="36_30098-GSNG - Singapore $"/>
      <sheetName val="37_20079-GTRK Turkish Lira"/>
      <sheetName val="38_20075-GTUR - Turkish Lira"/>
      <sheetName val="39_20070-GUKL - Bristish Pound"/>
      <sheetName val="D_JV TB &amp; Form 8868====&gt;"/>
      <sheetName val="40_14100 - GMEX"/>
      <sheetName val="41_20094 - GISL"/>
      <sheetName val="42_20096 - GPOR"/>
      <sheetName val="43_20062 - GRSR"/>
      <sheetName val="44_20013 - GLAB"/>
      <sheetName val="45_Elimination"/>
      <sheetName val="E_Brazil TB_&amp; Form 5171=====&gt;"/>
      <sheetName val="46_15100-GBSL"/>
      <sheetName val="G_US Branch &amp; Form 8858====&gt;"/>
      <sheetName val="47_14600-GMSV - Peso"/>
      <sheetName val="48_15600-GURU - Peso"/>
      <sheetName val="49_10201-GPR-FY19-US$"/>
      <sheetName val="F_Form 5471=====Sch J"/>
      <sheetName val="F_1-Form 5471 Sch J-2018 Rev"/>
      <sheetName val="F_2-Form 5471 Sch J-2018 Filed"/>
      <sheetName val="F_3-in FY 20-Q2 ADS 9 Yrs"/>
      <sheetName val="F_4-Rec FY-20-Italia WHT Tax"/>
      <sheetName val="F_5-Sec 986 Cal_Bermuda To US"/>
      <sheetName val="G_Other Information====&gt;"/>
      <sheetName val="G_1-HFM Local To Euro"/>
      <sheetName val="G_2-Local to US$"/>
      <sheetName val="G_3-Foreign TB"/>
      <sheetName val="G_4-Company Name"/>
      <sheetName val="G_5-Reconciliation"/>
      <sheetName val="확인서"/>
      <sheetName val="Intl def"/>
      <sheetName val="4th Qtr Billings Breakdown"/>
      <sheetName val="Factors"/>
      <sheetName val="예수금"/>
      <sheetName val="3월상세"/>
      <sheetName val="TB"/>
      <sheetName val="MS-PL"/>
      <sheetName val="Trich lap cac quy"/>
      <sheetName val="PL_대만"/>
      <sheetName val="BS"/>
      <sheetName val="BS_대만"/>
      <sheetName val="IS"/>
      <sheetName val="계정명세서-會計科目餘額表"/>
      <sheetName val="BS (2)"/>
      <sheetName val="IS (2)"/>
      <sheetName val="유무형자산 201901-201910"/>
      <sheetName val="유무형자산 201901-201911"/>
      <sheetName val="유무형자산 201901-201912"/>
      <sheetName val="외화환산-期末外幣評價201912"/>
      <sheetName val="외화환산-은행期末外幣評價201912"/>
      <sheetName val="주주명부"/>
      <sheetName val="잡비 내역"/>
      <sheetName val="5"/>
      <sheetName val="6"/>
      <sheetName val="7"/>
      <sheetName val="8"/>
      <sheetName val="9"/>
      <sheetName val="10"/>
      <sheetName val="15"/>
      <sheetName val="21"/>
      <sheetName val="22"/>
      <sheetName val="23"/>
      <sheetName val="24"/>
      <sheetName val="25"/>
      <sheetName val="26"/>
      <sheetName val="30"/>
      <sheetName val="34"/>
      <sheetName val="35"/>
      <sheetName val="36"/>
      <sheetName val="37"/>
      <sheetName val="38"/>
      <sheetName val="정의"/>
      <sheetName val="건설중인자산(기타)"/>
      <sheetName val="5300"/>
      <sheetName val="거래선"/>
      <sheetName val="직노"/>
      <sheetName val="숨기기"/>
      <sheetName val="수원 RAW BT03(M292C)"/>
      <sheetName val="온도cycle"/>
      <sheetName val="0-2.BDV"/>
      <sheetName val="100"/>
      <sheetName val="비율"/>
      <sheetName val="霉拳搁"/>
      <sheetName val="LeadSchedule"/>
      <sheetName val="1A-BT03(M292C)"/>
      <sheetName val="수원_RAW_BT03(M292C)"/>
      <sheetName val="0-2_BDV"/>
      <sheetName val="투자&amp;Capa"/>
      <sheetName val="감가상각"/>
      <sheetName val="LEAD TIME 추이"/>
      <sheetName val="보고자료"/>
      <sheetName val="진공CAPA"/>
      <sheetName val="MAIN(220)"/>
      <sheetName val="MAIN(166)"/>
      <sheetName val="추이"/>
      <sheetName val="이자수익OVERALL"/>
      <sheetName val="Sound9월"/>
      <sheetName val="공급설비명세_(2)3"/>
      <sheetName val="2004년하반기_경평반영_민원반영영업점3"/>
      <sheetName val="계수원본(99_2_28)3"/>
      <sheetName val="control_sheet3"/>
      <sheetName val="10_313"/>
      <sheetName val="P_L2"/>
      <sheetName val="제조원가계산서_(2)2"/>
      <sheetName val="업체손실공수_xls1"/>
      <sheetName val="업무분장_1"/>
      <sheetName val="U3_11"/>
      <sheetName val="외상매출금현황-수정분_A21"/>
      <sheetName val="BSISver6_41"/>
      <sheetName val="00_09"/>
      <sheetName val="D1300_자삽"/>
      <sheetName val="총괄갑_"/>
      <sheetName val="RC"/>
      <sheetName val="Köpfe"/>
      <sheetName val="경영비율_2"/>
      <sheetName val="11_17-11_232"/>
      <sheetName val="11_24-11_302"/>
      <sheetName val="2018년_입력_콤보박스1"/>
      <sheetName val="IS_Summary-961"/>
      <sheetName val="forming_price"/>
      <sheetName val="DIVP_L_1998"/>
      <sheetName val="구매거래 등록부"/>
      <sheetName val="청구자인적사항"/>
      <sheetName val="조직"/>
      <sheetName val="충전기"/>
      <sheetName val="pur-12k"/>
      <sheetName val="tsclfeb"/>
      <sheetName val="9312직원급여"/>
      <sheetName val="8월미수"/>
      <sheetName val="Sens"/>
      <sheetName val="Inventory Comp"/>
      <sheetName val="graph"/>
      <sheetName val="절대지우지말것"/>
      <sheetName val="7상품수"/>
      <sheetName val="3-31"/>
      <sheetName val="재무제표"/>
      <sheetName val="C19"/>
      <sheetName val="요약"/>
      <sheetName val="일반(본사)"/>
      <sheetName val="일반(의성)"/>
      <sheetName val="미수금(공동공사비)"/>
      <sheetName val="廠商資料檔"/>
      <sheetName val="修正存貨"/>
      <sheetName val="투자자산명세서"/>
      <sheetName val="リスト"/>
      <sheetName val="공급설비명세_(2)4"/>
      <sheetName val="2004년하반기_경평반영_민원반영영업점4"/>
      <sheetName val="계수원본(99_2_28)4"/>
      <sheetName val="control_sheet4"/>
      <sheetName val="10_314"/>
      <sheetName val="P_L3"/>
      <sheetName val="제조원가계산서_(2)3"/>
      <sheetName val="경영비율_3"/>
      <sheetName val="11_17-11_233"/>
      <sheetName val="11_24-11_303"/>
      <sheetName val="업체손실공수_xls2"/>
      <sheetName val="U3_12"/>
      <sheetName val="외상매출금현황-수정분_A22"/>
      <sheetName val="BSISver6_42"/>
      <sheetName val="업무분장_2"/>
      <sheetName val="2018년_입력_콤보박스2"/>
      <sheetName val="IS_Summary-962"/>
      <sheetName val="00_091"/>
      <sheetName val="총괄갑_1"/>
      <sheetName val="D1300_자삽1"/>
      <sheetName val="forming_price1"/>
      <sheetName val="DIVP_L_19981"/>
      <sheetName val="재무_17_충당금_명세서"/>
      <sheetName val="Trich_lap_cac_quy"/>
      <sheetName val="횡배수토공(P_E,BOX)_"/>
      <sheetName val="지수벽_및_파라피트"/>
      <sheetName val="횡배수관날개벽잔토_"/>
      <sheetName val="표_지_"/>
      <sheetName val="암거날개벽수량(1_5M)"/>
      <sheetName val="암거날개벽토공(1_5)"/>
      <sheetName val="흄관_보호토공(1연)"/>
      <sheetName val="산출근거_"/>
      <sheetName val="A_E&amp;P_Cal_&amp;_Schedules====&gt;"/>
      <sheetName val="A_1-Bermuda_LP_Con_E&amp;P_Euro"/>
      <sheetName val="A_2-Sep_Com_E&amp;P_Local_Cur_Net_"/>
      <sheetName val="A_3-Taxes-Sch_J,_Shc_H,_Shc_K"/>
      <sheetName val="B_Non_HFM_TB_Tax_Adjustment===&gt;"/>
      <sheetName val="B_1-Europe_BV_Bermuda-Sec__197"/>
      <sheetName val="B_2_Stock_Comp"/>
      <sheetName val="B_2_1-Foreign_ExercisedReleased"/>
      <sheetName val="B_3-Prepaid_Rent"/>
      <sheetName val="B_4-Tax_ADS"/>
      <sheetName val="B_5-Other_Res_FY18_&amp;_FY_19"/>
      <sheetName val="C_Bermuda_LP_TP_&amp;_8858=====&gt;"/>
      <sheetName val="1_20003-GBLPEURO_-_Euro"/>
      <sheetName val="2_20091-GAND_-_Euro"/>
      <sheetName val="3_30099-GAPL_-_AU$"/>
      <sheetName val="4_32540-GATW-_TWD"/>
      <sheetName val="5_20043-GAUS_-_Euro"/>
      <sheetName val="6_20042-GBEL_-_Euro"/>
      <sheetName val="7_20061-GBLR_-_Belarus_Ruble"/>
      <sheetName val="8_11800-GCAN_-_CN$"/>
      <sheetName val="9_20019-GCBV_-_Euro"/>
      <sheetName val="10_20073-GCYP_-_Euro"/>
      <sheetName val="11_20044-GCZR_-_Czh_Koruna"/>
      <sheetName val="12_20049-GDEN_-_Den_Kroner"/>
      <sheetName val="13_20040-GEBV_-_Euro"/>
      <sheetName val="14_20090-GESP_-_Euro"/>
      <sheetName val="15_20015-GEUR_-_Euro"/>
      <sheetName val="16_20048-GFIN_-_Euro"/>
      <sheetName val="17_20050-GFRA_-_Euro"/>
      <sheetName val="18_20045-GGER_-_Euro"/>
      <sheetName val="19_20074-GGRE_-_Euro"/>
      <sheetName val="20_32500-GHKL_-_US$"/>
      <sheetName val="21_20076-GHUN_-_HG_Froint"/>
      <sheetName val="22_30097-GIND_-_India_Rupee"/>
      <sheetName val="23_20071-GIRE_-_Euro"/>
      <sheetName val="24_20011-GITA_-_Euro"/>
      <sheetName val="25_32610-GJAP_-_Japanese_JPY"/>
      <sheetName val="26_20078-GKAZ_-_Kaz_Tenge"/>
      <sheetName val="27_32910-GKOR_-_KRW"/>
      <sheetName val="28_20046-GLUX_-_Euro"/>
      <sheetName val="29_32520-GMAC_-_Macua_Pataca"/>
      <sheetName val="30_20051-GNOR_-_Norway_Kroner"/>
      <sheetName val="31_20047-GPOL_-_Polish_Zloty"/>
      <sheetName val="32_20077-GROM_-_Romania_Leu"/>
      <sheetName val="33_20063-GRUS_-_Russia_Ruble"/>
      <sheetName val="34_20041-GSDN_-_Sweden_Krona"/>
      <sheetName val="35_32530-GSHA_-_Chinese_CYN"/>
      <sheetName val="36_30098-GSNG_-_Singapore_$"/>
      <sheetName val="37_20079-GTRK_Turkish_Lira"/>
      <sheetName val="38_20075-GTUR_-_Turkish_Lira"/>
      <sheetName val="39_20070-GUKL_-_Bristish_Pound"/>
      <sheetName val="D_JV_TB_&amp;_Form_8868====&gt;"/>
      <sheetName val="40_14100_-_GMEX"/>
      <sheetName val="41_20094_-_GISL"/>
      <sheetName val="42_20096_-_GPOR"/>
      <sheetName val="43_20062_-_GRSR"/>
      <sheetName val="44_20013_-_GLAB"/>
      <sheetName val="E_Brazil_TB_&amp;_Form_5171=====&gt;"/>
      <sheetName val="G_US_Branch_&amp;_Form_8858====&gt;"/>
      <sheetName val="47_14600-GMSV_-_Peso"/>
      <sheetName val="48_15600-GURU_-_Peso"/>
      <sheetName val="F_Form_5471=====Sch_J"/>
      <sheetName val="F_1-Form_5471_Sch_J-2018_Rev"/>
      <sheetName val="F_2-Form_5471_Sch_J-2018_Filed"/>
      <sheetName val="F_3-in_FY_20-Q2_ADS_9_Yrs"/>
      <sheetName val="F_4-Rec_FY-20-Italia_WHT_Tax"/>
      <sheetName val="F_5-Sec_986_Cal_Bermuda_To_US"/>
      <sheetName val="G_Other_Information====&gt;"/>
      <sheetName val="G_1-HFM_Local_To_Euro"/>
      <sheetName val="G_2-Local_to_US$"/>
      <sheetName val="G_3-Foreign_TB"/>
      <sheetName val="G_4-Company_Name"/>
      <sheetName val="BS_(2)"/>
      <sheetName val="IS_(2)"/>
      <sheetName val="유무형자산_201901-201910"/>
      <sheetName val="유무형자산_201901-201911"/>
      <sheetName val="유무형자산_201901-201912"/>
      <sheetName val="잡비_내역"/>
      <sheetName val="수원_RAW_BT03(M292C)1"/>
      <sheetName val="0-2_BDV1"/>
      <sheetName val="LEAD_TIME_추이"/>
      <sheetName val="2002년 실적"/>
      <sheetName val="1. 투자전략"/>
      <sheetName val="building"/>
      <sheetName val="크라운"/>
      <sheetName val="분석적검토"/>
      <sheetName val="공급설비명세_(2)5"/>
      <sheetName val="2004년하반기_경평반영_민원반영영업점5"/>
      <sheetName val="계수원본(99_2_28)5"/>
      <sheetName val="10_315"/>
      <sheetName val="control_sheet5"/>
      <sheetName val="P_L4"/>
      <sheetName val="제조원가계산서_(2)4"/>
      <sheetName val="경영비율_4"/>
      <sheetName val="11_17-11_234"/>
      <sheetName val="11_24-11_304"/>
      <sheetName val="업체손실공수_xls3"/>
      <sheetName val="U3_13"/>
      <sheetName val="2018년_입력_콤보박스3"/>
      <sheetName val="업무분장_3"/>
      <sheetName val="BSISver6_43"/>
      <sheetName val="외상매출금현황-수정분_A23"/>
      <sheetName val="IS_Summary-963"/>
      <sheetName val="00_092"/>
      <sheetName val="총괄갑_2"/>
      <sheetName val="D1300_자삽2"/>
      <sheetName val="BS_(2)1"/>
      <sheetName val="IS_(2)1"/>
      <sheetName val="유무형자산_201901-2019101"/>
      <sheetName val="유무형자산_201901-2019111"/>
      <sheetName val="유무형자산_201901-2019121"/>
      <sheetName val="잡비_내역1"/>
      <sheetName val="forming_price2"/>
      <sheetName val="DIVP_L_19982"/>
      <sheetName val="재무_17_충당금_명세서1"/>
      <sheetName val="Trich_lap_cac_quy1"/>
      <sheetName val="횡배수토공(P_E,BOX)_1"/>
      <sheetName val="지수벽_및_파라피트1"/>
      <sheetName val="횡배수관날개벽잔토_1"/>
      <sheetName val="표_지_1"/>
      <sheetName val="암거날개벽수량(1_5M)1"/>
      <sheetName val="암거날개벽토공(1_5)1"/>
      <sheetName val="흄관_보호토공(1연)1"/>
      <sheetName val="산출근거_1"/>
      <sheetName val="A_E&amp;P_Cal_&amp;_Schedules====&gt;1"/>
      <sheetName val="A_1-Bermuda_LP_Con_E&amp;P_Euro1"/>
      <sheetName val="A_2-Sep_Com_E&amp;P_Local_Cur_Net_1"/>
      <sheetName val="A_3-Taxes-Sch_J,_Shc_H,_Shc_K1"/>
      <sheetName val="B_Non_HFM_TB_Tax_Adjustment===1"/>
      <sheetName val="B_1-Europe_BV_Bermuda-Sec__1971"/>
      <sheetName val="B_2_Stock_Comp1"/>
      <sheetName val="B_2_1-Foreign_ExercisedRelease1"/>
      <sheetName val="B_3-Prepaid_Rent1"/>
      <sheetName val="B_4-Tax_ADS1"/>
      <sheetName val="B_5-Other_Res_FY18_&amp;_FY_191"/>
      <sheetName val="C_Bermuda_LP_TP_&amp;_8858=====&gt;1"/>
      <sheetName val="1_20003-GBLPEURO_-_Euro1"/>
      <sheetName val="2_20091-GAND_-_Euro1"/>
      <sheetName val="3_30099-GAPL_-_AU$1"/>
      <sheetName val="4_32540-GATW-_TWD1"/>
      <sheetName val="5_20043-GAUS_-_Euro1"/>
      <sheetName val="6_20042-GBEL_-_Euro1"/>
      <sheetName val="7_20061-GBLR_-_Belarus_Ruble1"/>
      <sheetName val="8_11800-GCAN_-_CN$1"/>
      <sheetName val="9_20019-GCBV_-_Euro1"/>
      <sheetName val="10_20073-GCYP_-_Euro1"/>
      <sheetName val="11_20044-GCZR_-_Czh_Koruna1"/>
      <sheetName val="12_20049-GDEN_-_Den_Kroner1"/>
      <sheetName val="13_20040-GEBV_-_Euro1"/>
      <sheetName val="14_20090-GESP_-_Euro1"/>
      <sheetName val="15_20015-GEUR_-_Euro1"/>
      <sheetName val="16_20048-GFIN_-_Euro1"/>
      <sheetName val="17_20050-GFRA_-_Euro1"/>
      <sheetName val="18_20045-GGER_-_Euro1"/>
      <sheetName val="19_20074-GGRE_-_Euro1"/>
      <sheetName val="20_32500-GHKL_-_US$1"/>
      <sheetName val="21_20076-GHUN_-_HG_Froint1"/>
      <sheetName val="22_30097-GIND_-_India_Rupee1"/>
      <sheetName val="23_20071-GIRE_-_Euro1"/>
      <sheetName val="24_20011-GITA_-_Euro1"/>
      <sheetName val="25_32610-GJAP_-_Japanese_JPY1"/>
      <sheetName val="26_20078-GKAZ_-_Kaz_Tenge1"/>
      <sheetName val="27_32910-GKOR_-_KRW1"/>
      <sheetName val="28_20046-GLUX_-_Euro1"/>
      <sheetName val="29_32520-GMAC_-_Macua_Pataca1"/>
      <sheetName val="30_20051-GNOR_-_Norway_Kroner1"/>
      <sheetName val="31_20047-GPOL_-_Polish_Zloty1"/>
      <sheetName val="32_20077-GROM_-_Romania_Leu1"/>
      <sheetName val="33_20063-GRUS_-_Russia_Ruble1"/>
      <sheetName val="34_20041-GSDN_-_Sweden_Krona1"/>
      <sheetName val="35_32530-GSHA_-_Chinese_CYN1"/>
      <sheetName val="36_30098-GSNG_-_Singapore_$1"/>
      <sheetName val="37_20079-GTRK_Turkish_Lira1"/>
      <sheetName val="38_20075-GTUR_-_Turkish_Lira1"/>
      <sheetName val="39_20070-GUKL_-_Bristish_Pound1"/>
      <sheetName val="D_JV_TB_&amp;_Form_8868====&gt;1"/>
      <sheetName val="40_14100_-_GMEX1"/>
      <sheetName val="41_20094_-_GISL1"/>
      <sheetName val="42_20096_-_GPOR1"/>
      <sheetName val="43_20062_-_GRSR1"/>
      <sheetName val="44_20013_-_GLAB1"/>
      <sheetName val="E_Brazil_TB_&amp;_Form_5171=====&gt;1"/>
      <sheetName val="G_US_Branch_&amp;_Form_8858====&gt;1"/>
      <sheetName val="47_14600-GMSV_-_Peso1"/>
      <sheetName val="48_15600-GURU_-_Peso1"/>
      <sheetName val="F_Form_5471=====Sch_J1"/>
      <sheetName val="F_1-Form_5471_Sch_J-2018_Rev1"/>
      <sheetName val="F_2-Form_5471_Sch_J-2018_Filed1"/>
      <sheetName val="F_3-in_FY_20-Q2_ADS_9_Yrs1"/>
      <sheetName val="F_4-Rec_FY-20-Italia_WHT_Tax1"/>
      <sheetName val="F_5-Sec_986_Cal_Bermuda_To_US1"/>
      <sheetName val="G_Other_Information====&gt;1"/>
      <sheetName val="G_1-HFM_Local_To_Euro1"/>
      <sheetName val="G_2-Local_to_US$1"/>
      <sheetName val="G_3-Foreign_TB1"/>
      <sheetName val="G_4-Company_Name1"/>
      <sheetName val="Intl_def1"/>
      <sheetName val="4th_Qtr_Billings_Breakdown1"/>
      <sheetName val="구매거래_등록부1"/>
      <sheetName val="수원_RAW_BT03(M292C)2"/>
      <sheetName val="0-2_BDV2"/>
      <sheetName val="LEAD_TIME_추이1"/>
      <sheetName val="Intl_def"/>
      <sheetName val="4th_Qtr_Billings_Breakdown"/>
      <sheetName val="구매거래_등록부"/>
      <sheetName val="3.4.5 선박"/>
      <sheetName val="재료비집계표"/>
      <sheetName val="호봉CODE"/>
      <sheetName val="부서CODE"/>
      <sheetName val="05현금등가"/>
      <sheetName val="월별비교제조원가명세서"/>
      <sheetName val="본선 토공 분배표"/>
      <sheetName val="fsindex"/>
      <sheetName val=" 상반기업적고과"/>
      <sheetName val="02년팀별1"/>
      <sheetName val="4.경비 5.영업외수지"/>
      <sheetName val="Lead"/>
      <sheetName val="11 Dep &amp; Amort"/>
      <sheetName val=" Equity Activity"/>
      <sheetName val="OLD Q1 (Shouldn't use)"/>
      <sheetName val="Developer rev 99"/>
      <sheetName val=" Ad Sales  exp"/>
      <sheetName val="Bus Dev"/>
      <sheetName val="corp. exp"/>
      <sheetName val="XLR_NoRangeSheet"/>
      <sheetName val="BOJUNGGM"/>
      <sheetName val="유효성"/>
      <sheetName val="유형자산증가"/>
      <sheetName val="세금"/>
      <sheetName val="반제품재고(양품)"/>
      <sheetName val="폐기 재고"/>
      <sheetName val="SHFMA"/>
      <sheetName val="CDFMA"/>
      <sheetName val="WHFMA"/>
      <sheetName val="KMFMA"/>
      <sheetName val="Sheet1 (11)"/>
      <sheetName val="银行借款询证"/>
      <sheetName val="Cover"/>
      <sheetName val=".1 장기선급비용"/>
      <sheetName val="index"/>
      <sheetName val="OTA"/>
      <sheetName val="임차보증금"/>
      <sheetName val="L   S"/>
      <sheetName val="报表项目"/>
      <sheetName val="dc"/>
      <sheetName val="97년"/>
      <sheetName val="내역"/>
      <sheetName val="기성내역서"/>
      <sheetName val="내역서적용수량"/>
      <sheetName val="集計00"/>
      <sheetName val="매출"/>
      <sheetName val="상품구매(구매납품품목조회)"/>
      <sheetName val="수금"/>
      <sheetName val="국민연금"/>
      <sheetName val="건축"/>
      <sheetName val="0312"/>
      <sheetName val="표지"/>
      <sheetName val="comparables"/>
      <sheetName val="Deduction"/>
      <sheetName val="other"/>
      <sheetName val="conclusion"/>
      <sheetName val="결정단가"/>
      <sheetName val="수율생산"/>
      <sheetName val="대분류2206"/>
      <sheetName val="일일계획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  <sheetName val="발생집계"/>
      <sheetName val="95년간접비"/>
      <sheetName val="제조원가"/>
      <sheetName val="계수원본(99.2.28)"/>
      <sheetName val="손익계산서"/>
      <sheetName val="인력(정규직)"/>
      <sheetName val="CONFIG"/>
      <sheetName val="MON"/>
      <sheetName val="INCOME STATEMENT"/>
      <sheetName val="YTD"/>
      <sheetName val="적심사표"/>
      <sheetName val="부서CODE"/>
      <sheetName val="호봉CODE"/>
      <sheetName val="회사정보"/>
      <sheetName val="손익"/>
      <sheetName val="부서현황"/>
      <sheetName val="총괄표"/>
      <sheetName val="XREF"/>
      <sheetName val="K-1"/>
      <sheetName val="정보"/>
      <sheetName val="본부별매출"/>
      <sheetName val="입력자료"/>
      <sheetName val="Sheet1"/>
      <sheetName val="gyun"/>
      <sheetName val="내역"/>
      <sheetName val="본공사"/>
      <sheetName val="설계"/>
      <sheetName val="control sheet"/>
      <sheetName val="인원자료"/>
      <sheetName val="WPL"/>
      <sheetName val="관계회사거래내역및 채권채무잔액 99"/>
      <sheetName val="입력"/>
      <sheetName val="SALE"/>
      <sheetName val="산출기준(파견전산실)"/>
      <sheetName val="COBS"/>
      <sheetName val="합계"/>
      <sheetName val="사업자등록증"/>
      <sheetName val="부서별공수"/>
      <sheetName val="투입공수"/>
      <sheetName val="생산"/>
      <sheetName val="자재재고"/>
      <sheetName val="재공재고"/>
      <sheetName val="품질현황-보류"/>
      <sheetName val="건설중인자산"/>
      <sheetName val="매입수불자재"/>
      <sheetName val="수액원료"/>
      <sheetName val="1월"/>
      <sheetName val="주주명부&lt;끝&gt;"/>
      <sheetName val="조회서통제표"/>
      <sheetName val="자산별귀속부서"/>
      <sheetName val="MH_생산"/>
      <sheetName val="인건비예산(정규직)"/>
      <sheetName val="인건비예산(용역)"/>
      <sheetName val="계정과목"/>
      <sheetName val="환율시트"/>
      <sheetName val="현금"/>
      <sheetName val="93상각비"/>
      <sheetName val="Team 종합"/>
      <sheetName val="비품"/>
      <sheetName val="部署コード"/>
      <sheetName val="계정code"/>
      <sheetName val="정의"/>
      <sheetName val="공통사항"/>
      <sheetName val="서식시트"/>
      <sheetName val="Sheet7"/>
      <sheetName val="받을어음"/>
      <sheetName val="Macro1"/>
      <sheetName val="코드"/>
      <sheetName val="공사개요"/>
      <sheetName val="삼화95"/>
      <sheetName val="부산"/>
      <sheetName val="보통예금"/>
      <sheetName val="금액집계(리포트)"/>
      <sheetName val="목표관리모델(누적)"/>
      <sheetName val="공항,제주 판매율 분석"/>
      <sheetName val="POS (2)"/>
      <sheetName val="96수표어음"/>
      <sheetName val="1_현금흐름표"/>
      <sheetName val="법인구분"/>
      <sheetName val="기초코드"/>
      <sheetName val="95WBS"/>
      <sheetName val="영업단위-8월"/>
      <sheetName val="대전"/>
      <sheetName val="은행"/>
      <sheetName val="XXXXXX"/>
      <sheetName val="목차본문"/>
      <sheetName val="정산표"/>
      <sheetName val="확정BS"/>
      <sheetName val="경영비율 "/>
      <sheetName val="확정IS"/>
      <sheetName val="결손금(안)"/>
      <sheetName val="현금흐름"/>
      <sheetName val="현금흐름표"/>
      <sheetName val="주석"/>
      <sheetName val="부속명세서"/>
      <sheetName val="매출액(명) "/>
      <sheetName val="매출원가(명)"/>
      <sheetName val="경영표지"/>
      <sheetName val="영업사항"/>
      <sheetName val="대주주"/>
      <sheetName val="UTCA"/>
      <sheetName val="월말마감"/>
      <sheetName val="SMCB9617145"/>
      <sheetName val="잉여금"/>
      <sheetName val="붙임2-1  지급조서명세서(2001년분)"/>
      <sheetName val="대차대조표"/>
      <sheetName val="支払明細"/>
      <sheetName val="형틀공사"/>
      <sheetName val="업무분장 "/>
      <sheetName val="부산물"/>
      <sheetName val="상품원가"/>
      <sheetName val="월할경비"/>
      <sheetName val="부서자료"/>
      <sheetName val="민감도"/>
      <sheetName val="전부인쇄"/>
      <sheetName val="시산표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AR"/>
      <sheetName val="총괄분석적검토"/>
      <sheetName val="Sheet2"/>
      <sheetName val="주요ISSUE 사항"/>
      <sheetName val="무형자산"/>
      <sheetName val="절감항목"/>
      <sheetName val="회사제시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완성차 미수금"/>
      <sheetName val="보빈규격"/>
      <sheetName val="출입자명단"/>
      <sheetName val="보증금(전신전화가입권)"/>
      <sheetName val="보정후BS"/>
      <sheetName val="지점장"/>
      <sheetName val="사원명부"/>
      <sheetName val="10.31"/>
      <sheetName val="LIST"/>
      <sheetName val="회사전체"/>
      <sheetName val="공동"/>
      <sheetName val="단독"/>
      <sheetName val="Total"/>
      <sheetName val="건설중인"/>
      <sheetName val="WorksheetSettings"/>
      <sheetName val="Details"/>
      <sheetName val="99퇴직"/>
      <sheetName val="갑지(추정)"/>
      <sheetName val="경영혁신본부"/>
      <sheetName val="IDONG"/>
      <sheetName val="감가상각"/>
      <sheetName val="총물량"/>
      <sheetName val="YTD Sales(0411)"/>
      <sheetName val="3.판관비명세서"/>
      <sheetName val="Sheet11"/>
      <sheetName val="세부pl"/>
      <sheetName val="수익성분석"/>
      <sheetName val="이익잉여금처분계산서"/>
      <sheetName val="제조원가명세서"/>
      <sheetName val="외상매출금현황-수정분 A2"/>
      <sheetName val="PAN"/>
      <sheetName val="보정전BS(세분류)"/>
      <sheetName val="매출.물동명세"/>
      <sheetName val="Code"/>
      <sheetName val="Menu_Link"/>
      <sheetName val="basic_info"/>
      <sheetName val="원가율"/>
      <sheetName val="TSCLFEB"/>
      <sheetName val="차액보증"/>
      <sheetName val="공통비배부기준"/>
      <sheetName val="취합표"/>
      <sheetName val="물량산출"/>
      <sheetName val="자료"/>
      <sheetName val="주요기준"/>
      <sheetName val="비용"/>
      <sheetName val="관A준공"/>
      <sheetName val="Net PL(세분류)"/>
      <sheetName val="지역개발"/>
      <sheetName val="Voucher"/>
      <sheetName val="213"/>
      <sheetName val="5사남"/>
      <sheetName val="공통비(전체)"/>
      <sheetName val="99매출현"/>
      <sheetName val="제조부문배부"/>
      <sheetName val="99선급비용"/>
      <sheetName val="받을어음할인및 융통어음"/>
      <sheetName val="부도어음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원천세납부"/>
      <sheetName val="Cash Flow"/>
      <sheetName val="①매출"/>
      <sheetName val="운반장소등록"/>
      <sheetName val="목표"/>
      <sheetName val="차수"/>
      <sheetName val="6_3"/>
      <sheetName val="기본자료"/>
      <sheetName val="9-1차이내역"/>
      <sheetName val="아파트 기성내역서"/>
      <sheetName val="B"/>
      <sheetName val="ke24(0404)"/>
      <sheetName val="KE24(0403)"/>
      <sheetName val="1공장 재공품생산현황"/>
      <sheetName val="담보평가"/>
      <sheetName val="11.17-11.23"/>
      <sheetName val="11.24-11.30"/>
      <sheetName val="기타현황"/>
      <sheetName val="Menu"/>
      <sheetName val="CashFlow(중간집계)"/>
      <sheetName val="LoanList"/>
      <sheetName val="2.상각보정명세"/>
      <sheetName val="외상매입금_Detail"/>
      <sheetName val="일위대가"/>
      <sheetName val="요약BS"/>
      <sheetName val="2.대외공문"/>
      <sheetName val="건축공사"/>
      <sheetName val="가정"/>
      <sheetName val="현장관리비"/>
      <sheetName val="리츠"/>
      <sheetName val="cfanal"/>
      <sheetName val="profit"/>
      <sheetName val="DATA"/>
      <sheetName val="하수급견적대비"/>
      <sheetName val="장할생활 (2)"/>
      <sheetName val="증감분석 및 연결조정"/>
      <sheetName val="RC"/>
      <sheetName val="S&amp;R"/>
      <sheetName val="비교원가제출.고"/>
      <sheetName val="개인법인구분"/>
      <sheetName val="입고단가기준"/>
      <sheetName val="의뢰건 (2)"/>
      <sheetName val="유통망계획"/>
      <sheetName val="수입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공사기성"/>
      <sheetName val="3-31"/>
      <sheetName val="매출채권 및 담보비율 변동"/>
      <sheetName val="미지급비용2"/>
      <sheetName val="미지급비용"/>
      <sheetName val="현금흐름Ⅰ"/>
      <sheetName val="공통"/>
      <sheetName val="쌍용자료"/>
      <sheetName val="대우자료"/>
      <sheetName val="만기"/>
      <sheetName val="달성율"/>
      <sheetName val="2공구산출내역"/>
      <sheetName val="설계내역서"/>
      <sheetName val="해창정"/>
      <sheetName val="1월실적 (2)"/>
      <sheetName val="크라운"/>
      <sheetName val="화섬 MDP"/>
      <sheetName val="이자율"/>
      <sheetName val="수h"/>
      <sheetName val="영업소실적"/>
      <sheetName val="금융"/>
      <sheetName val="리스"/>
      <sheetName val="보험"/>
      <sheetName val="其他应收款明细及帐龄分析(表5)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TB"/>
      <sheetName val="WELDING"/>
      <sheetName val="요약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E_B_L"/>
      <sheetName val="기초자료"/>
      <sheetName val="테이블"/>
      <sheetName val="J"/>
      <sheetName val="각주"/>
      <sheetName val="노임이"/>
      <sheetName val="Sheet6"/>
      <sheetName val="퇴직급여충당금12.31"/>
      <sheetName val="TCA"/>
      <sheetName val="미오"/>
      <sheetName val="자본금"/>
      <sheetName val="재고"/>
      <sheetName val="퇴충"/>
      <sheetName val="범한여행"/>
      <sheetName val="대차대조표12.01"/>
      <sheetName val="해외법인"/>
      <sheetName val="합계잔액시산표"/>
      <sheetName val="월별"/>
      <sheetName val="Summary"/>
      <sheetName val="업종코드"/>
      <sheetName val="양식3"/>
      <sheetName val="기초"/>
      <sheetName val="추가(완)"/>
      <sheetName val="8월배정예산"/>
      <sheetName val="3"/>
      <sheetName val="수리결과"/>
      <sheetName val="명세서"/>
      <sheetName val="인별호봉표"/>
      <sheetName val="각종data"/>
      <sheetName val="항목"/>
      <sheetName val="4-1. 매출원가 손익계획 집계표"/>
      <sheetName val="유림골조"/>
      <sheetName val="연체대출"/>
      <sheetName val="00'미수"/>
      <sheetName val="적용환율"/>
      <sheetName val="3250-41"/>
      <sheetName val="Reference"/>
      <sheetName val="수율"/>
      <sheetName val="1.MDF1공장"/>
      <sheetName val="Dólar Observado"/>
      <sheetName val="입고12"/>
      <sheetName val="출고12"/>
      <sheetName val="대비"/>
      <sheetName val="Rate"/>
      <sheetName val="작업불가"/>
      <sheetName val="T6-6(7)"/>
      <sheetName val="CAUDIT"/>
      <sheetName val="기초작업"/>
      <sheetName val="FRDS9805"/>
      <sheetName val="4.2유효폭의 계산"/>
      <sheetName val="대구은행"/>
      <sheetName val="수불표"/>
      <sheetName val="입력.판매"/>
      <sheetName val="입력.인원"/>
      <sheetName val="듀레이션"/>
      <sheetName val="3-4현"/>
      <sheetName val="3-3현"/>
      <sheetName val="Farmtrac(Long)"/>
      <sheetName val="Table"/>
      <sheetName val="공수"/>
      <sheetName val="Class-Char"/>
      <sheetName val="부재료입고집계"/>
      <sheetName val="기준봉급표"/>
      <sheetName val="직급별인적"/>
      <sheetName val="A1"/>
      <sheetName val="외상매입금점별현황"/>
      <sheetName val="0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우리종금예상재무제표"/>
      <sheetName val="상세"/>
      <sheetName val="비용 배부후"/>
      <sheetName val="0701"/>
      <sheetName val="RECIMAKE"/>
      <sheetName val="지급보증금74"/>
      <sheetName val="분개종합(01)"/>
      <sheetName val="LEASE4"/>
      <sheetName val="일위대가(계측기설치)"/>
      <sheetName val="#2 BSPL"/>
      <sheetName val="대차대조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품셈TABLE"/>
      <sheetName val="해당월"/>
      <sheetName val="재공품"/>
      <sheetName val="부산9503"/>
      <sheetName val="감가상각(원본)"/>
      <sheetName val="품종별월계"/>
      <sheetName val="공정가치"/>
      <sheetName val="분개장·원장"/>
      <sheetName val="기안"/>
      <sheetName val="재무제표"/>
      <sheetName val="작업일보"/>
      <sheetName val="주식적수"/>
      <sheetName val="기타"/>
      <sheetName val="재고자산명세"/>
      <sheetName val="COVER-P"/>
      <sheetName val="조흥은행"/>
      <sheetName val="확인서"/>
      <sheetName val="건설가"/>
      <sheetName val="치약_v011223"/>
      <sheetName val="본사재고"/>
      <sheetName val="Assumption"/>
      <sheetName val="보험금"/>
      <sheetName val="투자자산"/>
      <sheetName val="대손상각"/>
      <sheetName val="외상매출금"/>
      <sheetName val="재공품(3)"/>
      <sheetName val="표준원가표(2)"/>
      <sheetName val="ls"/>
      <sheetName val="퇴직충당금(3.31)(국문)"/>
      <sheetName val="관계주식"/>
      <sheetName val="제품구분"/>
      <sheetName val="유가증권미수"/>
      <sheetName val="5월"/>
      <sheetName val="도급비정산"/>
      <sheetName val="별제권_정리담보권1"/>
      <sheetName val="뒤차축소"/>
      <sheetName val="2월특별상여"/>
      <sheetName val="9월상여"/>
      <sheetName val="05.1Q"/>
      <sheetName val="상표권"/>
      <sheetName val="기간"/>
      <sheetName val="법인정보"/>
      <sheetName val="산업은행 경영지표"/>
      <sheetName val="현장"/>
      <sheetName val="YOEMAGUM"/>
      <sheetName val="주주명부-가나다"/>
      <sheetName val="연장수당"/>
      <sheetName val="작성요령"/>
      <sheetName val="대차정산"/>
      <sheetName val="별첨1(임금)"/>
      <sheetName val="누계매출"/>
      <sheetName val="고객지원무상출하"/>
      <sheetName val="연구소예외출고"/>
      <sheetName val="위험보험료표"/>
      <sheetName val="권리분석"/>
      <sheetName val="건설가계정"/>
      <sheetName val="Scoresheet"/>
      <sheetName val="지급이자와할인료(직매각)"/>
      <sheetName val="페이지전경"/>
      <sheetName val="1페이지보고"/>
      <sheetName val="아울렛 농산벤더"/>
      <sheetName val="을-ATYPE"/>
      <sheetName val="주차별리스트"/>
      <sheetName val="가격비"/>
      <sheetName val="단기차입금(200006)"/>
      <sheetName val="Reference (변경)"/>
      <sheetName val="총괄"/>
      <sheetName val="118.세금과공과"/>
      <sheetName val="선급비용"/>
      <sheetName val="BOJUNGGM"/>
      <sheetName val="급여명세서"/>
      <sheetName val="급여등록"/>
      <sheetName val="TDTKP"/>
      <sheetName val="DK-KH"/>
      <sheetName val="투자자본상계"/>
      <sheetName val="T6-6(2)"/>
      <sheetName val="R&amp;D"/>
      <sheetName val="부서코드"/>
      <sheetName val="CT 재공품생산현황"/>
      <sheetName val="RES"/>
      <sheetName val="全社経費"/>
      <sheetName val="実績集計"/>
      <sheetName val="実績連絡"/>
      <sheetName val="Customer"/>
      <sheetName val="버스업체(57개사)"/>
      <sheetName val="Template"/>
      <sheetName val="기초해지2"/>
      <sheetName val="기초해지"/>
      <sheetName val="(실사조정)총괄"/>
      <sheetName val="BACKDATA"/>
      <sheetName val="97년"/>
      <sheetName val="108.수선비"/>
      <sheetName val="General Inputs"/>
      <sheetName val="CGC Inputs"/>
      <sheetName val="의왕"/>
      <sheetName val="회수율"/>
      <sheetName val="송전기본"/>
      <sheetName val="VB 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comm"/>
      <sheetName val="unit 4"/>
      <sheetName val="계획"/>
      <sheetName val="단가"/>
      <sheetName val="부정형평가"/>
      <sheetName val="재공품평가"/>
      <sheetName val="99판매"/>
      <sheetName val="데이터유효성목록"/>
      <sheetName val="물가지수!"/>
      <sheetName val="공사별5"/>
      <sheetName val="생산기본계획"/>
      <sheetName val="생산실적"/>
      <sheetName val="생산실행계획"/>
      <sheetName val="98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controll"/>
      <sheetName val="WACC"/>
      <sheetName val="물류창고제품별집계"/>
      <sheetName val="교각1"/>
      <sheetName val="편입토지조서"/>
      <sheetName val="Tiburon"/>
      <sheetName val="PL"/>
      <sheetName val="재무누계"/>
      <sheetName val="불량"/>
      <sheetName val="보고서"/>
      <sheetName val="노임단가"/>
      <sheetName val="원자재상수"/>
      <sheetName val="원자재운송비"/>
      <sheetName val="BOM"/>
      <sheetName val="대환취급"/>
      <sheetName val="산출내역서집계표"/>
      <sheetName val="당월손익계산서★"/>
      <sheetName val="#REF"/>
      <sheetName val="Asset98-CAK"/>
      <sheetName val="Asset9809CAK"/>
      <sheetName val="BM_NEW2"/>
      <sheetName val="2.Critical Component Estimation"/>
      <sheetName val="score_sheet1"/>
      <sheetName val="공제사업score_sheet1"/>
      <sheetName val="법인세비용_계산1"/>
      <sheetName val="정관_및_회계규정1"/>
      <sheetName val="주요ISSUE_사항1"/>
      <sheetName val="2006_과표및세액조정계산서1"/>
      <sheetName val="완성차_미수금1"/>
      <sheetName val="YTD_Sales(0411)1"/>
      <sheetName val="계수원본(99_2_28)1"/>
      <sheetName val="10_311"/>
      <sheetName val="외상매출금현황-수정분_A21"/>
      <sheetName val="매출_물동명세1"/>
      <sheetName val="Cash_Flow"/>
      <sheetName val="Net_PL(세분류)"/>
      <sheetName val="3_판관비명세서"/>
      <sheetName val="업무분장_"/>
      <sheetName val="1공장_재공품생산현황"/>
      <sheetName val="아파트_기성내역서"/>
      <sheetName val="받을어음할인및_융통어음"/>
      <sheetName val="2_대외공문"/>
      <sheetName val="장할생활_(2)"/>
      <sheetName val="증감분석_및_연결조정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퇴직급여충당금12_31"/>
      <sheetName val="배부표"/>
      <sheetName val="상품입력"/>
      <sheetName val="미수수익"/>
      <sheetName val="이자수익PT"/>
      <sheetName val="현금 및 예치금Lead"/>
      <sheetName val="보정"/>
      <sheetName val="현금및예치금 명세서"/>
      <sheetName val="현지법인 대손설정"/>
      <sheetName val="WH"/>
      <sheetName val="1주"/>
      <sheetName val="2주"/>
      <sheetName val="3주"/>
      <sheetName val="4주"/>
      <sheetName val="MANAGER"/>
      <sheetName val="투자현황"/>
      <sheetName val="118_세금과공과"/>
      <sheetName val="108_수선비"/>
      <sheetName val="95D"/>
      <sheetName val="94D"/>
      <sheetName val="작업통제용"/>
      <sheetName val="마감분석"/>
      <sheetName val="업체별재고금액"/>
      <sheetName val="대차"/>
      <sheetName val="구동"/>
      <sheetName val="경비공통"/>
      <sheetName val="용역원가명세서"/>
      <sheetName val="T48a"/>
      <sheetName val="점수"/>
      <sheetName val="building"/>
      <sheetName val="건축원가"/>
      <sheetName val="Dólar_Observado"/>
      <sheetName val="의뢰건_(2)"/>
      <sheetName val="5_소재"/>
      <sheetName val="대차대조표12_01"/>
      <sheetName val="4_2유효폭의_계산"/>
      <sheetName val="4-1__매출원가_손익계획_집계표"/>
      <sheetName val="25_보증금(임차보증금외)"/>
      <sheetName val="24_보증금(전신전화가입권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1_MDF1공장"/>
      <sheetName val="CT_재공품생산현황"/>
      <sheetName val="비용_배부후"/>
      <sheetName val="과8"/>
      <sheetName val="손익분석"/>
      <sheetName val="SA"/>
      <sheetName val="RV미수수익보정"/>
      <sheetName val="불균등-거치외(미수)"/>
      <sheetName val="불균등-TOP(선수)"/>
      <sheetName val="인원계획-미화"/>
      <sheetName val="마스터"/>
      <sheetName val="국민연금"/>
      <sheetName val="검산금액"/>
      <sheetName val="선수보증금"/>
      <sheetName val="연체일수"/>
      <sheetName val="잔가합계"/>
      <sheetName val="중도해지진행업체"/>
      <sheetName val="00.08계정"/>
      <sheetName val="보증어음분류"/>
      <sheetName val="사모사채분류"/>
      <sheetName val="매출(총액)"/>
      <sheetName val="판관비"/>
      <sheetName val="에뛰드 내부관리가"/>
      <sheetName val="처별전산"/>
      <sheetName val="업체손실공수.xls"/>
      <sheetName val="보조재료비"/>
      <sheetName val="재료비"/>
      <sheetName val="2005원가집계표(합계)"/>
      <sheetName val="원가집계표(월별)"/>
      <sheetName val="상불"/>
      <sheetName val="Packaging cost Back Data"/>
      <sheetName val="均等割DB"/>
      <sheetName val="score_sheet2"/>
      <sheetName val="공제사업score_sheet2"/>
      <sheetName val="법인세비용_계산2"/>
      <sheetName val="정관_및_회계규정2"/>
      <sheetName val="주요ISSUE_사항2"/>
      <sheetName val="2006_과표및세액조정계산서2"/>
      <sheetName val="10_312"/>
      <sheetName val="완성차_미수금2"/>
      <sheetName val="매출_물동명세2"/>
      <sheetName val="외상매출금현황-수정분_A22"/>
      <sheetName val="YTD_Sales(0411)2"/>
      <sheetName val="계수원본(99_2_28)2"/>
      <sheetName val="Cash_Flow1"/>
      <sheetName val="Net_PL(세분류)1"/>
      <sheetName val="받을어음할인및_융통어음1"/>
      <sheetName val="3_판관비명세서1"/>
      <sheetName val="아파트_기성내역서1"/>
      <sheetName val="업무분장_1"/>
      <sheetName val="2_대외공문1"/>
      <sheetName val="장할생활_(2)1"/>
      <sheetName val="증감분석_및_연결조정1"/>
      <sheetName val="1공장_재공품생산현황1"/>
      <sheetName val="11_17-11_231"/>
      <sheetName val="11_24-11_301"/>
      <sheetName val="2_상각보정명세1"/>
      <sheetName val="매출채권_및_담보비율_변동1"/>
      <sheetName val="Dólar_Observado1"/>
      <sheetName val="비교원가제출_고1"/>
      <sheetName val="의뢰건_(2)1"/>
      <sheetName val="5_소재1"/>
      <sheetName val="1월실적_(2)1"/>
      <sheetName val="대차대조표12_011"/>
      <sheetName val="4_2유효폭의_계산1"/>
      <sheetName val="4-1__매출원가_손익계획_집계표1"/>
      <sheetName val="퇴직급여충당금12_311"/>
      <sheetName val="25_보증금(임차보증금외)1"/>
      <sheetName val="24_보증금(전신전화가입권)1"/>
      <sheetName val="1_MDF1공장1"/>
      <sheetName val="화섬_MDP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비용_배부후1"/>
      <sheetName val="정리"/>
      <sheetName val="직급별인원계획"/>
      <sheetName val="사업별인원계획"/>
      <sheetName val="품의양"/>
      <sheetName val="종기실공문"/>
      <sheetName val="일위_파일"/>
      <sheetName val="법인별요약"/>
      <sheetName val="admin"/>
      <sheetName val="원가계산 (2)"/>
      <sheetName val="도근좌표"/>
      <sheetName val="ST"/>
      <sheetName val="중장기 외화자금 보정명세(PBC)"/>
      <sheetName val="유첨3.적용기준"/>
      <sheetName val="2009BS_감사전"/>
      <sheetName val="scosht"/>
      <sheetName val="2009PL_감사전"/>
      <sheetName val="Lead"/>
      <sheetName val="9703"/>
      <sheetName val="고정자산원본"/>
      <sheetName val="BOX명칭"/>
      <sheetName val="생산직"/>
      <sheetName val="직급실적"/>
      <sheetName val="부서실적"/>
      <sheetName val="TUL30"/>
      <sheetName val="Data&amp;Result"/>
      <sheetName val="일반(본사)"/>
      <sheetName val="일반(의성)"/>
      <sheetName val="미수금(공동공사비)"/>
      <sheetName val="본사감가상각대장(비품)"/>
      <sheetName val="손익계산서(管理)"/>
      <sheetName val="F-1,2"/>
      <sheetName val="96"/>
      <sheetName val="제조공정"/>
      <sheetName val="MA"/>
      <sheetName val="96시"/>
      <sheetName val="Index"/>
      <sheetName val="추가예산"/>
      <sheetName val="담당자"/>
      <sheetName val="주관사업"/>
      <sheetName val="외화금융(97-03)"/>
      <sheetName val="평가제외"/>
      <sheetName val="수선비"/>
      <sheetName val="대차,손익"/>
      <sheetName val="부분품"/>
      <sheetName val="생산부대통지서"/>
      <sheetName val="Office only Letup"/>
      <sheetName val="부서별"/>
      <sheetName val="1부생산계획"/>
      <sheetName val="요약PL"/>
      <sheetName val="참고_주임대리승진안(2013下)"/>
      <sheetName val="97년추정손익계산서"/>
      <sheetName val="0.0ControlSheet"/>
      <sheetName val="Bank charge"/>
      <sheetName val="영업권"/>
      <sheetName val="제품(수출)매출"/>
      <sheetName val="상품매출"/>
      <sheetName val="재고 "/>
      <sheetName val="3.부점발견재산"/>
      <sheetName val="6.공사부점손익"/>
      <sheetName val="5.공사손익실적"/>
      <sheetName val="조건"/>
      <sheetName val="Assumptions"/>
      <sheetName val="9710"/>
      <sheetName val="to do"/>
      <sheetName val="0404급여"/>
      <sheetName val="0312상"/>
      <sheetName val="0405급여"/>
      <sheetName val="0406급여"/>
      <sheetName val="0406상"/>
      <sheetName val="4월2일"/>
      <sheetName val="대구"/>
      <sheetName val="상제품매출(원가)1~10월"/>
      <sheetName val="3사분기계획"/>
      <sheetName val="투자자산명세서"/>
      <sheetName val="명세"/>
      <sheetName val="9706"/>
      <sheetName val="평가예상(200308)"/>
      <sheetName val="sap`04.7.14"/>
      <sheetName val="본사"/>
      <sheetName val="호봉표"/>
      <sheetName val="Main"/>
      <sheetName val="F-4,5"/>
      <sheetName val="13.보증금(전신전화가입권)"/>
      <sheetName val="취득"/>
      <sheetName val="PR제조"/>
      <sheetName val="费率"/>
      <sheetName val="0000"/>
      <sheetName val="진도현황"/>
      <sheetName val="T02"/>
      <sheetName val="f3"/>
      <sheetName val="EE"/>
      <sheetName val="산근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호프"/>
      <sheetName val="지점월추이"/>
      <sheetName val="원가배분01년(등본)"/>
      <sheetName val="시작"/>
      <sheetName val="주요비율-낙관"/>
      <sheetName val="Ⅰ-1"/>
      <sheetName val="성적표96"/>
      <sheetName val="경영분석"/>
      <sheetName val="서식지정"/>
      <sheetName val="기계장치"/>
      <sheetName val="result0927"/>
      <sheetName val="대우자동차용역비"/>
      <sheetName val="ORIGIN"/>
      <sheetName val="기본정보"/>
      <sheetName val="YM98"/>
      <sheetName val="◀Chart_Data"/>
      <sheetName val="가중치_사용자본회전율"/>
      <sheetName val="기본일위"/>
      <sheetName val="EQT-ESTN"/>
      <sheetName val="매출채권등리드"/>
      <sheetName val="5131"/>
      <sheetName val="경영계획"/>
      <sheetName val="PC실적"/>
      <sheetName val="신부서코드"/>
      <sheetName val="본사_09"/>
      <sheetName val="KA021901"/>
      <sheetName val="년간 자금계획(90일 적용)"/>
      <sheetName val="매출및매출채권"/>
      <sheetName val="표2"/>
      <sheetName val="조정전"/>
      <sheetName val="표시트"/>
      <sheetName val="서비스별 매출추이"/>
      <sheetName val="추가강의료내역"/>
      <sheetName val="UTMBPL"/>
      <sheetName val="조립지적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구축물"/>
      <sheetName val="당좌예금"/>
      <sheetName val="CapMult"/>
      <sheetName val="Industry Indices"/>
      <sheetName val="LeadSchedule"/>
      <sheetName val="아울렛_농산벤더"/>
      <sheetName val="경영비율_"/>
      <sheetName val="VB_"/>
      <sheetName val="원가계산_(2)"/>
      <sheetName val="23기-3분기결산PL"/>
      <sheetName val="시설이용권명세서"/>
      <sheetName val="수정사항집계표"/>
      <sheetName val="부실채권"/>
      <sheetName val="DB"/>
      <sheetName val="TAL"/>
      <sheetName val="시산"/>
      <sheetName val="요율표"/>
      <sheetName val="출고상차료"/>
      <sheetName val="5600"/>
      <sheetName val="정기적금"/>
      <sheetName val="차입금상환표"/>
      <sheetName val="control_sheet"/>
      <sheetName val="整理後資料"/>
      <sheetName val="表03 "/>
      <sheetName val="表05-1"/>
      <sheetName val="表10-3"/>
      <sheetName val="表10-4"/>
      <sheetName val="表10-5"/>
      <sheetName val="表13-2"/>
      <sheetName val="表30-10"/>
      <sheetName val="Check"/>
      <sheetName val="綜合"/>
      <sheetName val="調前盈餘"/>
      <sheetName val="매출액(명)_"/>
      <sheetName val="DIVP_L 1998"/>
      <sheetName val="管理費用(簡)"/>
      <sheetName val="이자"/>
      <sheetName val="GEN Inputs"/>
      <sheetName val="WACC_BUILDUP"/>
      <sheetName val="IRR"/>
      <sheetName val="충당금"/>
      <sheetName val="2담당0113"/>
      <sheetName val="1담당0113"/>
      <sheetName val="관세구분시트"/>
      <sheetName val="조건식"/>
      <sheetName val="산업잠재수요현황"/>
      <sheetName val="산업체판매량세부내역"/>
      <sheetName val="EXPENSE"/>
      <sheetName val="일위대가표"/>
      <sheetName val="이름표"/>
      <sheetName val="현금흐름계산"/>
      <sheetName val="단기금융상품"/>
      <sheetName val="영업미수금"/>
      <sheetName val="저장품"/>
      <sheetName val="가동설비"/>
      <sheetName val="고정부채"/>
      <sheetName val="손익계산서(성질별)상수도"/>
      <sheetName val="차이명세"/>
      <sheetName val="총괄원가"/>
      <sheetName val="경영분석산식(참고)"/>
      <sheetName val="급상여기초정보_08"/>
      <sheetName val="본사_08"/>
      <sheetName val="대항목"/>
      <sheetName val="질의(금액)참조"/>
      <sheetName val="손익항목표"/>
      <sheetName val="년월차수당"/>
      <sheetName val="상여금"/>
      <sheetName val="피보험자명세(럭키확정분)"/>
      <sheetName val="예적금"/>
      <sheetName val="외화"/>
      <sheetName val="bs"/>
      <sheetName val="8월"/>
      <sheetName val="파워콤"/>
      <sheetName val="기초데이타"/>
      <sheetName val="배서어음명세서"/>
      <sheetName val="중부사업담당_1-11월_원가1"/>
      <sheetName val="US Revenue (2)"/>
      <sheetName val="Act-NCI"/>
      <sheetName val="Act-NCE"/>
      <sheetName val="Control"/>
      <sheetName val="현금흐름표 근거자료"/>
      <sheetName val="黄做原材料进销存"/>
      <sheetName val="SE_Output"/>
      <sheetName val="PUR-12K"/>
      <sheetName val="Re1"/>
      <sheetName val="공구기구"/>
      <sheetName val="제작실적"/>
      <sheetName val="Sheet1 (2)"/>
      <sheetName val="연평잔"/>
      <sheetName val="은행조회서"/>
      <sheetName val="score_sheet3"/>
      <sheetName val="공제사업score_sheet3"/>
      <sheetName val="법인세비용_계산3"/>
      <sheetName val="정관_및_회계규정3"/>
      <sheetName val="주요ISSUE_사항3"/>
      <sheetName val="2006_과표및세액조정계산서3"/>
      <sheetName val="완성차_미수금3"/>
      <sheetName val="10_313"/>
      <sheetName val="매출_물동명세3"/>
      <sheetName val="외상매출금현황-수정분_A23"/>
      <sheetName val="Net_PL(세분류)2"/>
      <sheetName val="계수원본(99_2_28)3"/>
      <sheetName val="YTD_Sales(0411)3"/>
      <sheetName val="Cash_Flow2"/>
      <sheetName val="3_판관비명세서2"/>
      <sheetName val="11_17-11_232"/>
      <sheetName val="11_24-11_302"/>
      <sheetName val="2_상각보정명세2"/>
      <sheetName val="받을어음할인및_융통어음2"/>
      <sheetName val="아파트_기성내역서2"/>
      <sheetName val="장할생활_(2)2"/>
      <sheetName val="증감분석_및_연결조정2"/>
      <sheetName val="2_대외공문2"/>
      <sheetName val="업무분장_2"/>
      <sheetName val="25_보증금(임차보증금외)2"/>
      <sheetName val="24_보증금(전신전화가입권)2"/>
      <sheetName val="1월실적_(2)2"/>
      <sheetName val="비교원가제출_고2"/>
      <sheetName val="4-1__매출원가_손익계획_집계표2"/>
      <sheetName val="1공장_재공품생산현황2"/>
      <sheetName val="매출채권_및_담보비율_변동2"/>
      <sheetName val="퇴직급여충당금12_312"/>
      <sheetName val="대차대조표12_012"/>
      <sheetName val="의뢰건_(2)2"/>
      <sheetName val="5_소재2"/>
      <sheetName val="화섬_MDP2"/>
      <sheetName val="Dólar_Observado2"/>
      <sheetName val="4_2유효폭의_계산2"/>
      <sheetName val="Reference_(변경)2"/>
      <sheetName val="경영계획_수립_참고자료_▶▶▶2"/>
      <sheetName val="사업부서_작성자료_▶▶▶2"/>
      <sheetName val="15년_손익_(GS신규Vision)_요약-연간비교장2"/>
      <sheetName val="15년_손익_(GS신규Vision)_요약-(간접비_포함2"/>
      <sheetName val="15년_손익-GS신규Vision2"/>
      <sheetName val="매출_계획2"/>
      <sheetName val="매출계획_산출근거2"/>
      <sheetName val="재료비(율)_계획2"/>
      <sheetName val="재료비(율)_산출근거2"/>
      <sheetName val="인원인건비&amp;간접비_계획2"/>
      <sheetName val="감가상각비_계산2"/>
      <sheetName val="간접비_계획2"/>
      <sheetName val="Reference_(기존)2"/>
      <sheetName val="2014년_손익2"/>
      <sheetName val="15년_손익_(GDR_Rental사업)_요약-연간비교장2"/>
      <sheetName val="15년_손익_(GDR_Rent사업)_요약-(간접비_포함2"/>
      <sheetName val="15년_손익-GDR_Rental사업2"/>
      <sheetName val="매출&amp;재료비&amp;비용&amp;투자_산출근거2"/>
      <sheetName val="1_MDF1공장2"/>
      <sheetName val="입력_판매"/>
      <sheetName val="입력_인원"/>
      <sheetName val="비용_배부후2"/>
      <sheetName val="CT_재공품생산현황2"/>
      <sheetName val="아울렛_농산벤더1"/>
      <sheetName val="#2_BSPL"/>
      <sheetName val="퇴직충당금(3_31)(국문)"/>
      <sheetName val="POS_(2)"/>
      <sheetName val="05_1Q"/>
      <sheetName val="산업은행_경영지표"/>
      <sheetName val="중장기_외화자금_보정명세(PBC)"/>
      <sheetName val="2_Critical_Component_Estimation"/>
      <sheetName val="00_08계정"/>
      <sheetName val="unit_4"/>
      <sheetName val="내역서_(2)"/>
      <sheetName val="INCOME_STATEMENT"/>
      <sheetName val="관계회사거래내역및_채권채무잔액_99"/>
      <sheetName val="Team_종합"/>
      <sheetName val="현지법인_대손설정"/>
      <sheetName val="현금_및_예치금Lead"/>
      <sheetName val="현금및예치금_명세서"/>
      <sheetName val="에뛰드_내부관리가"/>
      <sheetName val="General_Inputs"/>
      <sheetName val="CGC_Inputs"/>
      <sheetName val="Packaging_cost_Back_Data"/>
      <sheetName val="유첨3_적용기준"/>
      <sheetName val="업체손실공수_xls"/>
      <sheetName val="중부사업담당_1-11월_원가2"/>
      <sheetName val="Office_only_Letup"/>
      <sheetName val="sap`04_7_14"/>
      <sheetName val="13_보증금(전신전화가입권)"/>
      <sheetName val="붙임2-1__지급조서명세서(2001년분)"/>
      <sheetName val="0_0ControlSheet"/>
      <sheetName val="인사자료총집계"/>
      <sheetName val="허들조견표"/>
      <sheetName val="N賃率-職"/>
      <sheetName val="Item LIST"/>
      <sheetName val="Volume LIST"/>
      <sheetName val="fnc"/>
      <sheetName val="매입계산서"/>
      <sheetName val="원가배부작업시간"/>
      <sheetName val="LEAD SHEET (K상각후회수율)"/>
      <sheetName val="CF_Assumption"/>
      <sheetName val="7 _2_"/>
      <sheetName val="결산비용"/>
      <sheetName val="Dec-02"/>
      <sheetName val="Jun-04"/>
      <sheetName val="Oct-02"/>
      <sheetName val="2181.91(Ex-pat)"/>
      <sheetName val="2150.2(Equip-oth)"/>
      <sheetName val="Setup"/>
      <sheetName val="05현금등가"/>
      <sheetName val="경비분류(1)"/>
      <sheetName val="Revised PEGS98"/>
      <sheetName val="계"/>
      <sheetName val="99.7월 당월회수 실적"/>
      <sheetName val="FC-101"/>
      <sheetName val="첨부1"/>
      <sheetName val="99년하반기"/>
      <sheetName val="총제품수불"/>
      <sheetName val="작성양식"/>
      <sheetName val="차입"/>
      <sheetName val="96원가"/>
      <sheetName val="2.지분법적용주식Leadsheet(회사제시)"/>
      <sheetName val="비교"/>
      <sheetName val="관리1"/>
      <sheetName val="23을"/>
      <sheetName val="8월차잔"/>
      <sheetName val="일반부표"/>
      <sheetName val="잡급"/>
      <sheetName val="급여"/>
      <sheetName val="회원수&amp;결제&amp;매출"/>
      <sheetName val="지급수수료"/>
      <sheetName val="금액"/>
      <sheetName val="건설중인자산(기타)"/>
      <sheetName val="토목주소"/>
      <sheetName val="프랜트면허"/>
      <sheetName val="세무서코드"/>
      <sheetName val="CC Down load 0716"/>
      <sheetName val="월급제"/>
      <sheetName val="신공항A-9(원가수정)"/>
      <sheetName val="하우투_집계"/>
      <sheetName val="전체"/>
      <sheetName val="도면번호"/>
      <sheetName val="S1.1총괄"/>
      <sheetName val="3월연장근무"/>
      <sheetName val="마산월령동골조물량변경"/>
      <sheetName val="原材料单价分析"/>
      <sheetName val="Drop down 참고"/>
      <sheetName val="99입장목표"/>
      <sheetName val="시산표12월(수정후)"/>
      <sheetName val="부서"/>
      <sheetName val="PJT"/>
      <sheetName val="식초"/>
      <sheetName val="년도별매출손익"/>
      <sheetName val="97품목별"/>
      <sheetName val="카라멜"/>
      <sheetName val="물엿"/>
      <sheetName val="쌀엿"/>
      <sheetName val="당면"/>
      <sheetName val="공항,제주_판매율_분석"/>
      <sheetName val="118_세금과공과1"/>
      <sheetName val="108_수선비1"/>
      <sheetName val="Bank_charge"/>
      <sheetName val="3_부점발견재산"/>
      <sheetName val="6_공사부점손익"/>
      <sheetName val="5_공사손익실적"/>
      <sheetName val="to_do"/>
      <sheetName val="調整"/>
      <sheetName val="火災保険契約明細"/>
    </sheetNames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  <sheetName val="회사정보"/>
      <sheetName val="2181.91(Ex-pat)"/>
      <sheetName val="2150.2(Equip-oth)"/>
      <sheetName val="인원계획-미화"/>
      <sheetName val="23기-3분기결산PL"/>
      <sheetName val="PL"/>
      <sheetName val="정보"/>
      <sheetName val="제품분류코드"/>
      <sheetName val="Sheet2"/>
      <sheetName val="지역개발"/>
      <sheetName val="입력자료"/>
      <sheetName val="COBS"/>
      <sheetName val="발생집계"/>
      <sheetName val="현금"/>
      <sheetName val="뒤차축소"/>
    </sheetNames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총괄"/>
      <sheetName val="미수수익"/>
      <sheetName val="국민채권"/>
      <sheetName val="지하철"/>
      <sheetName val="교통"/>
      <sheetName val="지역개발"/>
      <sheetName val="2001.4."/>
      <sheetName val="2001.8"/>
      <sheetName val="2001.12"/>
      <sheetName val="2001.12 성우"/>
      <sheetName val="2001.12.31"/>
      <sheetName val="실물00.12.31"/>
      <sheetName val="동원99.5"/>
      <sheetName val="명세"/>
      <sheetName val="      "/>
      <sheetName val="평가9.30"/>
      <sheetName val="평가9.30 (2)"/>
      <sheetName val="평가9.30 (3)"/>
      <sheetName val=" 확정"/>
      <sheetName val=" 확정 (2)"/>
      <sheetName val="진짜"/>
      <sheetName val="평가9.30 (4)"/>
      <sheetName val="평가9.30 (6)"/>
      <sheetName val="Sheet16 (2)"/>
      <sheetName val="3.유가증권"/>
      <sheetName val="98.12.29"/>
      <sheetName val="2000.7.31"/>
      <sheetName val="Sheet7"/>
      <sheetName val="2001.4.30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.12.29 (2)"/>
    </sheetNames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S199"/>
  <sheetViews>
    <sheetView tabSelected="1" view="pageBreakPreview" zoomScale="60" zoomScaleNormal="100" workbookViewId="0">
      <selection activeCell="X10" sqref="X10"/>
    </sheetView>
  </sheetViews>
  <sheetFormatPr defaultColWidth="9" defaultRowHeight="20.25" x14ac:dyDescent="0.3"/>
  <cols>
    <col min="1" max="1" width="3.625" style="121" bestFit="1" customWidth="1"/>
    <col min="2" max="2" width="5" style="121" customWidth="1"/>
    <col min="3" max="3" width="3.5" style="122" bestFit="1" customWidth="1"/>
    <col min="4" max="4" width="33.75" style="121" customWidth="1"/>
    <col min="5" max="5" width="7.625" style="117" customWidth="1"/>
    <col min="6" max="9" width="30.625" style="117" customWidth="1"/>
    <col min="10" max="10" width="0.875" style="117" hidden="1" customWidth="1"/>
    <col min="11" max="11" width="40.5" style="117" hidden="1" customWidth="1"/>
    <col min="12" max="12" width="21.5" style="117" hidden="1" customWidth="1"/>
    <col min="13" max="13" width="16.875" style="117" hidden="1" customWidth="1"/>
    <col min="14" max="14" width="9" style="117" hidden="1" customWidth="1"/>
    <col min="15" max="15" width="16.875" style="117" hidden="1" customWidth="1"/>
    <col min="16" max="16" width="9" style="117" hidden="1" customWidth="1"/>
    <col min="17" max="17" width="15.375" style="117" hidden="1" customWidth="1"/>
    <col min="18" max="18" width="9" style="117" hidden="1" customWidth="1"/>
    <col min="19" max="19" width="18.375" style="117" hidden="1" customWidth="1"/>
    <col min="20" max="16384" width="9" style="117"/>
  </cols>
  <sheetData>
    <row r="1" spans="1:17" s="142" customFormat="1" ht="56.25" customHeight="1" x14ac:dyDescent="0.3">
      <c r="A1" s="271" t="s">
        <v>258</v>
      </c>
      <c r="B1" s="271"/>
      <c r="C1" s="271"/>
      <c r="D1" s="271"/>
      <c r="E1" s="271"/>
      <c r="F1" s="271"/>
      <c r="G1" s="271"/>
      <c r="H1" s="271"/>
      <c r="I1" s="271"/>
    </row>
    <row r="2" spans="1:17" ht="30" customHeight="1" x14ac:dyDescent="0.3">
      <c r="A2" s="272" t="s">
        <v>501</v>
      </c>
      <c r="B2" s="272"/>
      <c r="C2" s="272"/>
      <c r="D2" s="272"/>
      <c r="E2" s="272"/>
      <c r="F2" s="272"/>
      <c r="G2" s="272"/>
      <c r="H2" s="272"/>
      <c r="I2" s="272"/>
    </row>
    <row r="3" spans="1:17" ht="30" customHeight="1" x14ac:dyDescent="0.3">
      <c r="A3" s="272" t="s">
        <v>502</v>
      </c>
      <c r="B3" s="272"/>
      <c r="C3" s="272"/>
      <c r="D3" s="272"/>
      <c r="E3" s="272"/>
      <c r="F3" s="272"/>
      <c r="G3" s="272"/>
      <c r="H3" s="272"/>
      <c r="I3" s="272"/>
    </row>
    <row r="4" spans="1:17" ht="30" customHeight="1" x14ac:dyDescent="0.3">
      <c r="A4" s="269"/>
      <c r="B4" s="269"/>
      <c r="C4" s="269"/>
      <c r="D4" s="269"/>
      <c r="E4" s="269"/>
      <c r="F4" s="269"/>
      <c r="G4" s="269"/>
      <c r="H4" s="269"/>
      <c r="I4" s="269"/>
    </row>
    <row r="5" spans="1:17" ht="30" customHeight="1" thickBot="1" x14ac:dyDescent="0.2">
      <c r="A5" s="276" t="s">
        <v>155</v>
      </c>
      <c r="B5" s="276"/>
      <c r="C5" s="276"/>
      <c r="D5" s="276"/>
      <c r="E5" s="55"/>
      <c r="F5" s="54"/>
      <c r="H5" s="22"/>
      <c r="I5" s="141" t="s">
        <v>84</v>
      </c>
    </row>
    <row r="6" spans="1:17" ht="51" customHeight="1" x14ac:dyDescent="0.3">
      <c r="A6" s="53" t="s">
        <v>58</v>
      </c>
      <c r="B6" s="275" t="s">
        <v>86</v>
      </c>
      <c r="C6" s="275"/>
      <c r="D6" s="275"/>
      <c r="E6" s="263"/>
      <c r="F6" s="273" t="s">
        <v>310</v>
      </c>
      <c r="G6" s="274"/>
      <c r="H6" s="273" t="s">
        <v>299</v>
      </c>
      <c r="I6" s="274"/>
    </row>
    <row r="7" spans="1:17" ht="30" customHeight="1" x14ac:dyDescent="0.3">
      <c r="A7" s="285" t="s">
        <v>19</v>
      </c>
      <c r="B7" s="286"/>
      <c r="C7" s="286"/>
      <c r="D7" s="286"/>
      <c r="E7" s="169"/>
      <c r="F7" s="49"/>
      <c r="G7" s="44"/>
      <c r="H7" s="49"/>
      <c r="I7" s="44"/>
    </row>
    <row r="8" spans="1:17" ht="30" customHeight="1" x14ac:dyDescent="0.3">
      <c r="A8" s="43" t="s">
        <v>54</v>
      </c>
      <c r="B8" s="283" t="s">
        <v>195</v>
      </c>
      <c r="C8" s="283"/>
      <c r="D8" s="283"/>
      <c r="E8" s="170"/>
      <c r="F8" s="45"/>
      <c r="G8" s="44">
        <v>644254172265</v>
      </c>
      <c r="H8" s="45"/>
      <c r="I8" s="44">
        <v>634283639310</v>
      </c>
      <c r="L8" s="126">
        <f t="shared" ref="L8:L41" si="0">F8/100</f>
        <v>0</v>
      </c>
      <c r="M8" s="133">
        <f t="shared" ref="M8:M41" si="1">G8/100</f>
        <v>6442541722.6499996</v>
      </c>
      <c r="N8" s="133"/>
      <c r="O8" s="133">
        <f t="shared" ref="O8:O41" si="2">I8/100</f>
        <v>6342836393.1000004</v>
      </c>
      <c r="P8" s="133"/>
      <c r="Q8" s="133">
        <f t="shared" ref="Q8:Q39" si="3">M8-O8</f>
        <v>99705329.549999237</v>
      </c>
    </row>
    <row r="9" spans="1:17" ht="30" customHeight="1" x14ac:dyDescent="0.3">
      <c r="A9" s="281" t="s">
        <v>57</v>
      </c>
      <c r="B9" s="282"/>
      <c r="C9" s="277" t="s">
        <v>203</v>
      </c>
      <c r="D9" s="277"/>
      <c r="E9" s="171"/>
      <c r="F9" s="45"/>
      <c r="G9" s="44">
        <v>557662343563</v>
      </c>
      <c r="H9" s="45"/>
      <c r="I9" s="44">
        <v>550079047284</v>
      </c>
      <c r="L9" s="126">
        <f t="shared" si="0"/>
        <v>0</v>
      </c>
      <c r="M9" s="126">
        <f t="shared" si="1"/>
        <v>5576623435.6300001</v>
      </c>
      <c r="N9" s="126">
        <f t="shared" ref="N9:N41" si="4">H9/100</f>
        <v>0</v>
      </c>
      <c r="O9" s="126">
        <f t="shared" si="2"/>
        <v>5500790472.8400002</v>
      </c>
      <c r="P9" s="126">
        <f t="shared" ref="P9:P40" si="5">L9-N9</f>
        <v>0</v>
      </c>
      <c r="Q9" s="126">
        <f t="shared" si="3"/>
        <v>75832962.789999962</v>
      </c>
    </row>
    <row r="10" spans="1:17" ht="30" customHeight="1" x14ac:dyDescent="0.3">
      <c r="A10" s="43"/>
      <c r="B10" s="172"/>
      <c r="C10" s="173"/>
      <c r="D10" s="264" t="s">
        <v>103</v>
      </c>
      <c r="E10" s="171"/>
      <c r="F10" s="135">
        <v>505424667593</v>
      </c>
      <c r="G10" s="46"/>
      <c r="H10" s="140">
        <v>551033407060</v>
      </c>
      <c r="I10" s="52"/>
      <c r="L10" s="126">
        <f t="shared" si="0"/>
        <v>5054246675.9300003</v>
      </c>
      <c r="M10" s="126">
        <f t="shared" si="1"/>
        <v>0</v>
      </c>
      <c r="N10" s="126">
        <f t="shared" si="4"/>
        <v>5510334070.6000004</v>
      </c>
      <c r="O10" s="126">
        <f t="shared" si="2"/>
        <v>0</v>
      </c>
      <c r="P10" s="126">
        <f t="shared" si="5"/>
        <v>-456087394.67000008</v>
      </c>
      <c r="Q10" s="126">
        <f t="shared" si="3"/>
        <v>0</v>
      </c>
    </row>
    <row r="11" spans="1:17" ht="30" customHeight="1" x14ac:dyDescent="0.3">
      <c r="A11" s="43"/>
      <c r="B11" s="172"/>
      <c r="C11" s="173"/>
      <c r="D11" s="264" t="s">
        <v>190</v>
      </c>
      <c r="E11" s="171"/>
      <c r="F11" s="39">
        <v>-85898864984</v>
      </c>
      <c r="G11" s="46"/>
      <c r="H11" s="39">
        <v>-92047422948</v>
      </c>
      <c r="I11" s="46"/>
      <c r="L11" s="126">
        <f t="shared" si="0"/>
        <v>-858988649.84000003</v>
      </c>
      <c r="M11" s="126">
        <f t="shared" si="1"/>
        <v>0</v>
      </c>
      <c r="N11" s="126">
        <f t="shared" si="4"/>
        <v>-920474229.48000002</v>
      </c>
      <c r="O11" s="126">
        <f t="shared" si="2"/>
        <v>0</v>
      </c>
      <c r="P11" s="126">
        <f t="shared" si="5"/>
        <v>61485579.639999986</v>
      </c>
      <c r="Q11" s="126">
        <f t="shared" si="3"/>
        <v>0</v>
      </c>
    </row>
    <row r="12" spans="1:17" ht="30" customHeight="1" x14ac:dyDescent="0.3">
      <c r="A12" s="43"/>
      <c r="B12" s="172"/>
      <c r="C12" s="173"/>
      <c r="D12" s="264" t="s">
        <v>255</v>
      </c>
      <c r="E12" s="171"/>
      <c r="F12" s="39">
        <v>-2447022885</v>
      </c>
      <c r="G12" s="46"/>
      <c r="H12" s="39">
        <v>-831504818</v>
      </c>
      <c r="I12" s="46"/>
      <c r="L12" s="126">
        <f t="shared" si="0"/>
        <v>-24470228.850000001</v>
      </c>
      <c r="M12" s="126">
        <f t="shared" si="1"/>
        <v>0</v>
      </c>
      <c r="N12" s="126">
        <f t="shared" si="4"/>
        <v>-8315048.1799999997</v>
      </c>
      <c r="O12" s="126">
        <f t="shared" si="2"/>
        <v>0</v>
      </c>
      <c r="P12" s="126">
        <f t="shared" si="5"/>
        <v>-16155180.670000002</v>
      </c>
      <c r="Q12" s="126">
        <f t="shared" si="3"/>
        <v>0</v>
      </c>
    </row>
    <row r="13" spans="1:17" s="157" customFormat="1" ht="30" customHeight="1" x14ac:dyDescent="0.3">
      <c r="A13" s="94"/>
      <c r="B13" s="174"/>
      <c r="C13" s="175"/>
      <c r="D13" s="267" t="s">
        <v>102</v>
      </c>
      <c r="E13" s="176"/>
      <c r="F13" s="159">
        <v>-9344151294</v>
      </c>
      <c r="G13" s="160"/>
      <c r="H13" s="159">
        <v>-6908541250</v>
      </c>
      <c r="I13" s="160"/>
      <c r="L13" s="158">
        <f t="shared" si="0"/>
        <v>-93441512.939999998</v>
      </c>
      <c r="M13" s="158">
        <f t="shared" si="1"/>
        <v>0</v>
      </c>
      <c r="N13" s="158">
        <f t="shared" si="4"/>
        <v>-69085412.5</v>
      </c>
      <c r="O13" s="158">
        <f t="shared" si="2"/>
        <v>0</v>
      </c>
      <c r="P13" s="158">
        <f t="shared" si="5"/>
        <v>-24356100.439999998</v>
      </c>
      <c r="Q13" s="158">
        <f t="shared" si="3"/>
        <v>0</v>
      </c>
    </row>
    <row r="14" spans="1:17" ht="30" hidden="1" customHeight="1" x14ac:dyDescent="0.3">
      <c r="A14" s="43"/>
      <c r="B14" s="172"/>
      <c r="C14" s="173"/>
      <c r="D14" s="268" t="s">
        <v>185</v>
      </c>
      <c r="E14" s="170"/>
      <c r="F14" s="116">
        <v>0</v>
      </c>
      <c r="G14" s="46"/>
      <c r="H14" s="116">
        <v>0</v>
      </c>
      <c r="I14" s="46"/>
      <c r="L14" s="126">
        <f t="shared" si="0"/>
        <v>0</v>
      </c>
      <c r="M14" s="126">
        <f t="shared" si="1"/>
        <v>0</v>
      </c>
      <c r="N14" s="126">
        <f t="shared" si="4"/>
        <v>0</v>
      </c>
      <c r="O14" s="126">
        <f t="shared" si="2"/>
        <v>0</v>
      </c>
      <c r="P14" s="126">
        <f t="shared" si="5"/>
        <v>0</v>
      </c>
      <c r="Q14" s="126">
        <f t="shared" si="3"/>
        <v>0</v>
      </c>
    </row>
    <row r="15" spans="1:17" ht="30" customHeight="1" x14ac:dyDescent="0.3">
      <c r="A15" s="43"/>
      <c r="B15" s="172"/>
      <c r="C15" s="173"/>
      <c r="D15" s="264" t="s">
        <v>204</v>
      </c>
      <c r="E15" s="171"/>
      <c r="F15" s="135">
        <v>1341011674</v>
      </c>
      <c r="G15" s="47"/>
      <c r="H15" s="135">
        <v>1224834050</v>
      </c>
      <c r="I15" s="47"/>
      <c r="L15" s="126">
        <f t="shared" si="0"/>
        <v>13410116.74</v>
      </c>
      <c r="M15" s="126">
        <f t="shared" si="1"/>
        <v>0</v>
      </c>
      <c r="N15" s="126">
        <f t="shared" si="4"/>
        <v>12248340.5</v>
      </c>
      <c r="O15" s="126">
        <f t="shared" si="2"/>
        <v>0</v>
      </c>
      <c r="P15" s="126">
        <f t="shared" si="5"/>
        <v>1161776.2400000002</v>
      </c>
      <c r="Q15" s="126">
        <f t="shared" si="3"/>
        <v>0</v>
      </c>
    </row>
    <row r="16" spans="1:17" ht="30" customHeight="1" x14ac:dyDescent="0.3">
      <c r="A16" s="43"/>
      <c r="B16" s="172"/>
      <c r="C16" s="173"/>
      <c r="D16" s="264" t="s">
        <v>194</v>
      </c>
      <c r="E16" s="170"/>
      <c r="F16" s="135">
        <v>167517195603</v>
      </c>
      <c r="G16" s="44"/>
      <c r="H16" s="135">
        <v>118402009024</v>
      </c>
      <c r="I16" s="44"/>
      <c r="L16" s="126">
        <f t="shared" si="0"/>
        <v>1675171956.03</v>
      </c>
      <c r="M16" s="126">
        <f t="shared" si="1"/>
        <v>0</v>
      </c>
      <c r="N16" s="126">
        <f t="shared" si="4"/>
        <v>1184020090.24</v>
      </c>
      <c r="O16" s="126">
        <f t="shared" si="2"/>
        <v>0</v>
      </c>
      <c r="P16" s="126">
        <f t="shared" si="5"/>
        <v>491151865.78999996</v>
      </c>
      <c r="Q16" s="126">
        <f t="shared" si="3"/>
        <v>0</v>
      </c>
    </row>
    <row r="17" spans="1:17" ht="30" customHeight="1" x14ac:dyDescent="0.3">
      <c r="A17" s="43"/>
      <c r="B17" s="172"/>
      <c r="C17" s="177"/>
      <c r="D17" s="264" t="s">
        <v>166</v>
      </c>
      <c r="E17" s="171"/>
      <c r="F17" s="137">
        <v>-33299162455</v>
      </c>
      <c r="G17" s="52"/>
      <c r="H17" s="137">
        <v>-29024573170</v>
      </c>
      <c r="I17" s="52"/>
      <c r="L17" s="126">
        <f t="shared" si="0"/>
        <v>-332991624.55000001</v>
      </c>
      <c r="M17" s="126">
        <f t="shared" si="1"/>
        <v>0</v>
      </c>
      <c r="N17" s="126">
        <f t="shared" si="4"/>
        <v>-290245731.69999999</v>
      </c>
      <c r="O17" s="126">
        <f t="shared" si="2"/>
        <v>0</v>
      </c>
      <c r="P17" s="126">
        <f t="shared" si="5"/>
        <v>-42745892.850000024</v>
      </c>
      <c r="Q17" s="126">
        <f t="shared" si="3"/>
        <v>0</v>
      </c>
    </row>
    <row r="18" spans="1:17" ht="30" customHeight="1" x14ac:dyDescent="0.3">
      <c r="A18" s="43"/>
      <c r="B18" s="172"/>
      <c r="C18" s="173"/>
      <c r="D18" s="264" t="s">
        <v>67</v>
      </c>
      <c r="E18" s="171"/>
      <c r="F18" s="135">
        <v>43218431794</v>
      </c>
      <c r="G18" s="47"/>
      <c r="H18" s="135">
        <v>37217687792</v>
      </c>
      <c r="I18" s="47"/>
      <c r="L18" s="126">
        <f t="shared" si="0"/>
        <v>432184317.94</v>
      </c>
      <c r="M18" s="126">
        <f t="shared" si="1"/>
        <v>0</v>
      </c>
      <c r="N18" s="126">
        <f t="shared" si="4"/>
        <v>372176877.92000002</v>
      </c>
      <c r="O18" s="126">
        <f t="shared" si="2"/>
        <v>0</v>
      </c>
      <c r="P18" s="126">
        <f t="shared" si="5"/>
        <v>60007440.019999981</v>
      </c>
      <c r="Q18" s="126">
        <f t="shared" si="3"/>
        <v>0</v>
      </c>
    </row>
    <row r="19" spans="1:17" ht="30" customHeight="1" x14ac:dyDescent="0.3">
      <c r="A19" s="43"/>
      <c r="B19" s="172"/>
      <c r="C19" s="173"/>
      <c r="D19" s="264" t="s">
        <v>166</v>
      </c>
      <c r="E19" s="170"/>
      <c r="F19" s="39">
        <v>-34832030536</v>
      </c>
      <c r="G19" s="38"/>
      <c r="H19" s="39">
        <v>-34084890823</v>
      </c>
      <c r="I19" s="38"/>
      <c r="L19" s="126">
        <f t="shared" si="0"/>
        <v>-348320305.36000001</v>
      </c>
      <c r="M19" s="126">
        <f t="shared" si="1"/>
        <v>0</v>
      </c>
      <c r="N19" s="126">
        <f t="shared" si="4"/>
        <v>-340848908.23000002</v>
      </c>
      <c r="O19" s="126">
        <f t="shared" si="2"/>
        <v>0</v>
      </c>
      <c r="P19" s="126">
        <f t="shared" si="5"/>
        <v>-7471397.1299999952</v>
      </c>
      <c r="Q19" s="126">
        <f t="shared" si="3"/>
        <v>0</v>
      </c>
    </row>
    <row r="20" spans="1:17" ht="30" customHeight="1" x14ac:dyDescent="0.3">
      <c r="A20" s="43"/>
      <c r="B20" s="172"/>
      <c r="C20" s="173"/>
      <c r="D20" s="264" t="s">
        <v>196</v>
      </c>
      <c r="E20" s="170"/>
      <c r="F20" s="116">
        <v>698841011</v>
      </c>
      <c r="G20" s="51"/>
      <c r="H20" s="116">
        <v>333053762</v>
      </c>
      <c r="I20" s="51"/>
      <c r="L20" s="126">
        <f t="shared" si="0"/>
        <v>6988410.1100000003</v>
      </c>
      <c r="M20" s="126">
        <f t="shared" si="1"/>
        <v>0</v>
      </c>
      <c r="N20" s="126">
        <f t="shared" si="4"/>
        <v>3330537.62</v>
      </c>
      <c r="O20" s="126">
        <f t="shared" si="2"/>
        <v>0</v>
      </c>
      <c r="P20" s="126">
        <f t="shared" si="5"/>
        <v>3657872.49</v>
      </c>
      <c r="Q20" s="126">
        <f t="shared" si="3"/>
        <v>0</v>
      </c>
    </row>
    <row r="21" spans="1:17" ht="30" customHeight="1" x14ac:dyDescent="0.3">
      <c r="A21" s="43"/>
      <c r="B21" s="172"/>
      <c r="C21" s="173"/>
      <c r="D21" s="264" t="s">
        <v>48</v>
      </c>
      <c r="E21" s="171"/>
      <c r="F21" s="135">
        <v>786595011</v>
      </c>
      <c r="G21" s="46"/>
      <c r="H21" s="135">
        <v>379580278</v>
      </c>
      <c r="I21" s="46"/>
      <c r="L21" s="126">
        <f t="shared" si="0"/>
        <v>7865950.1100000003</v>
      </c>
      <c r="M21" s="126">
        <f t="shared" si="1"/>
        <v>0</v>
      </c>
      <c r="N21" s="126">
        <f t="shared" si="4"/>
        <v>3795802.78</v>
      </c>
      <c r="O21" s="126">
        <f t="shared" si="2"/>
        <v>0</v>
      </c>
      <c r="P21" s="126">
        <f t="shared" si="5"/>
        <v>4070147.3300000005</v>
      </c>
      <c r="Q21" s="126">
        <f t="shared" si="3"/>
        <v>0</v>
      </c>
    </row>
    <row r="22" spans="1:17" ht="30" customHeight="1" x14ac:dyDescent="0.3">
      <c r="A22" s="43"/>
      <c r="B22" s="172"/>
      <c r="C22" s="173"/>
      <c r="D22" s="264" t="s">
        <v>189</v>
      </c>
      <c r="E22" s="170"/>
      <c r="F22" s="135">
        <v>832888421</v>
      </c>
      <c r="G22" s="46"/>
      <c r="H22" s="135">
        <v>1338952922</v>
      </c>
      <c r="I22" s="46"/>
      <c r="L22" s="126">
        <f t="shared" si="0"/>
        <v>8328884.21</v>
      </c>
      <c r="M22" s="126">
        <f t="shared" si="1"/>
        <v>0</v>
      </c>
      <c r="N22" s="126">
        <f t="shared" si="4"/>
        <v>13389529.220000001</v>
      </c>
      <c r="O22" s="126">
        <f t="shared" si="2"/>
        <v>0</v>
      </c>
      <c r="P22" s="126">
        <f t="shared" si="5"/>
        <v>-5060645.0100000007</v>
      </c>
      <c r="Q22" s="126">
        <f t="shared" si="3"/>
        <v>0</v>
      </c>
    </row>
    <row r="23" spans="1:17" ht="30" customHeight="1" x14ac:dyDescent="0.3">
      <c r="A23" s="43"/>
      <c r="B23" s="172"/>
      <c r="C23" s="173"/>
      <c r="D23" s="264" t="s">
        <v>193</v>
      </c>
      <c r="E23" s="171"/>
      <c r="F23" s="135">
        <v>2554600270</v>
      </c>
      <c r="G23" s="46"/>
      <c r="H23" s="135">
        <v>1936221045</v>
      </c>
      <c r="I23" s="46"/>
      <c r="L23" s="126">
        <f t="shared" si="0"/>
        <v>25546002.699999999</v>
      </c>
      <c r="M23" s="126">
        <f t="shared" si="1"/>
        <v>0</v>
      </c>
      <c r="N23" s="126">
        <f t="shared" si="4"/>
        <v>19362210.449999999</v>
      </c>
      <c r="O23" s="126">
        <f t="shared" si="2"/>
        <v>0</v>
      </c>
      <c r="P23" s="126">
        <f t="shared" si="5"/>
        <v>6183792.25</v>
      </c>
      <c r="Q23" s="126">
        <f t="shared" si="3"/>
        <v>0</v>
      </c>
    </row>
    <row r="24" spans="1:17" ht="30" customHeight="1" x14ac:dyDescent="0.3">
      <c r="A24" s="43"/>
      <c r="B24" s="172"/>
      <c r="C24" s="173"/>
      <c r="D24" s="264" t="s">
        <v>199</v>
      </c>
      <c r="E24" s="171"/>
      <c r="F24" s="116">
        <v>0</v>
      </c>
      <c r="G24" s="46"/>
      <c r="H24" s="116">
        <v>0</v>
      </c>
      <c r="I24" s="46"/>
      <c r="L24" s="126">
        <f t="shared" si="0"/>
        <v>0</v>
      </c>
      <c r="M24" s="126">
        <f t="shared" si="1"/>
        <v>0</v>
      </c>
      <c r="N24" s="126">
        <f t="shared" si="4"/>
        <v>0</v>
      </c>
      <c r="O24" s="126">
        <f t="shared" si="2"/>
        <v>0</v>
      </c>
      <c r="P24" s="126">
        <f t="shared" si="5"/>
        <v>0</v>
      </c>
      <c r="Q24" s="126">
        <f t="shared" si="3"/>
        <v>0</v>
      </c>
    </row>
    <row r="25" spans="1:17" ht="30" customHeight="1" x14ac:dyDescent="0.3">
      <c r="A25" s="43"/>
      <c r="B25" s="172"/>
      <c r="C25" s="173"/>
      <c r="D25" s="264" t="s">
        <v>208</v>
      </c>
      <c r="E25" s="171"/>
      <c r="F25" s="135">
        <v>1109344340</v>
      </c>
      <c r="G25" s="46"/>
      <c r="H25" s="135">
        <v>1110234360</v>
      </c>
      <c r="I25" s="46"/>
      <c r="L25" s="126">
        <f t="shared" si="0"/>
        <v>11093443.4</v>
      </c>
      <c r="M25" s="126">
        <f t="shared" si="1"/>
        <v>0</v>
      </c>
      <c r="N25" s="126">
        <f t="shared" si="4"/>
        <v>11102343.6</v>
      </c>
      <c r="O25" s="126">
        <f t="shared" si="2"/>
        <v>0</v>
      </c>
      <c r="P25" s="126">
        <f t="shared" si="5"/>
        <v>-8900.1999999992549</v>
      </c>
      <c r="Q25" s="126">
        <f t="shared" si="3"/>
        <v>0</v>
      </c>
    </row>
    <row r="26" spans="1:17" ht="30" customHeight="1" x14ac:dyDescent="0.3">
      <c r="A26" s="281" t="s">
        <v>41</v>
      </c>
      <c r="B26" s="282"/>
      <c r="C26" s="277" t="s">
        <v>202</v>
      </c>
      <c r="D26" s="277"/>
      <c r="E26" s="171"/>
      <c r="F26" s="45"/>
      <c r="G26" s="44">
        <v>86591828702</v>
      </c>
      <c r="H26" s="45"/>
      <c r="I26" s="44">
        <v>84204592026</v>
      </c>
      <c r="L26" s="126">
        <f t="shared" si="0"/>
        <v>0</v>
      </c>
      <c r="M26" s="126">
        <f t="shared" si="1"/>
        <v>865918287.01999998</v>
      </c>
      <c r="N26" s="126">
        <f t="shared" si="4"/>
        <v>0</v>
      </c>
      <c r="O26" s="126">
        <f t="shared" si="2"/>
        <v>842045920.25999999</v>
      </c>
      <c r="P26" s="126">
        <f t="shared" si="5"/>
        <v>0</v>
      </c>
      <c r="Q26" s="126">
        <f t="shared" si="3"/>
        <v>23872366.75999999</v>
      </c>
    </row>
    <row r="27" spans="1:17" ht="30" customHeight="1" x14ac:dyDescent="0.3">
      <c r="A27" s="43"/>
      <c r="B27" s="172"/>
      <c r="C27" s="173"/>
      <c r="D27" s="264" t="s">
        <v>65</v>
      </c>
      <c r="E27" s="171"/>
      <c r="F27" s="135">
        <v>85531091203</v>
      </c>
      <c r="G27" s="44"/>
      <c r="H27" s="135">
        <v>83379199213</v>
      </c>
      <c r="I27" s="44"/>
      <c r="L27" s="126">
        <f t="shared" si="0"/>
        <v>855310912.02999997</v>
      </c>
      <c r="M27" s="126">
        <f t="shared" si="1"/>
        <v>0</v>
      </c>
      <c r="N27" s="126">
        <f t="shared" si="4"/>
        <v>833791992.13</v>
      </c>
      <c r="O27" s="126">
        <f t="shared" si="2"/>
        <v>0</v>
      </c>
      <c r="P27" s="126">
        <f t="shared" si="5"/>
        <v>21518919.899999976</v>
      </c>
      <c r="Q27" s="126">
        <f t="shared" si="3"/>
        <v>0</v>
      </c>
    </row>
    <row r="28" spans="1:17" ht="30" customHeight="1" x14ac:dyDescent="0.3">
      <c r="A28" s="43"/>
      <c r="B28" s="172"/>
      <c r="C28" s="173"/>
      <c r="D28" s="264" t="s">
        <v>63</v>
      </c>
      <c r="E28" s="171"/>
      <c r="F28" s="135">
        <v>1060737499</v>
      </c>
      <c r="G28" s="46"/>
      <c r="H28" s="135">
        <v>825392813</v>
      </c>
      <c r="I28" s="46"/>
      <c r="L28" s="126">
        <f t="shared" si="0"/>
        <v>10607374.99</v>
      </c>
      <c r="M28" s="126">
        <f t="shared" si="1"/>
        <v>0</v>
      </c>
      <c r="N28" s="126">
        <f t="shared" si="4"/>
        <v>8253928.1299999999</v>
      </c>
      <c r="O28" s="126">
        <f t="shared" si="2"/>
        <v>0</v>
      </c>
      <c r="P28" s="126">
        <f t="shared" si="5"/>
        <v>2353446.8600000003</v>
      </c>
      <c r="Q28" s="126">
        <f t="shared" si="3"/>
        <v>0</v>
      </c>
    </row>
    <row r="29" spans="1:17" ht="30" customHeight="1" x14ac:dyDescent="0.3">
      <c r="A29" s="43" t="s">
        <v>46</v>
      </c>
      <c r="B29" s="277" t="s">
        <v>192</v>
      </c>
      <c r="C29" s="277"/>
      <c r="D29" s="277"/>
      <c r="E29" s="170"/>
      <c r="F29" s="49"/>
      <c r="G29" s="44">
        <v>15159339038516</v>
      </c>
      <c r="H29" s="49"/>
      <c r="I29" s="44">
        <v>15033291613809</v>
      </c>
      <c r="L29" s="126">
        <f t="shared" si="0"/>
        <v>0</v>
      </c>
      <c r="M29" s="133">
        <f t="shared" si="1"/>
        <v>151593390385.16</v>
      </c>
      <c r="N29" s="126">
        <f t="shared" si="4"/>
        <v>0</v>
      </c>
      <c r="O29" s="133">
        <f t="shared" si="2"/>
        <v>150332916138.09</v>
      </c>
      <c r="P29" s="126">
        <f t="shared" si="5"/>
        <v>0</v>
      </c>
      <c r="Q29" s="133">
        <f t="shared" si="3"/>
        <v>1260474247.0700073</v>
      </c>
    </row>
    <row r="30" spans="1:17" ht="30" customHeight="1" x14ac:dyDescent="0.3">
      <c r="A30" s="281" t="s">
        <v>57</v>
      </c>
      <c r="B30" s="282"/>
      <c r="C30" s="277" t="s">
        <v>187</v>
      </c>
      <c r="D30" s="277"/>
      <c r="E30" s="171"/>
      <c r="F30" s="45"/>
      <c r="G30" s="44">
        <v>124267528297</v>
      </c>
      <c r="H30" s="45"/>
      <c r="I30" s="44">
        <v>93430804361</v>
      </c>
      <c r="L30" s="126">
        <f t="shared" si="0"/>
        <v>0</v>
      </c>
      <c r="M30" s="126">
        <f t="shared" si="1"/>
        <v>1242675282.97</v>
      </c>
      <c r="N30" s="126">
        <f t="shared" si="4"/>
        <v>0</v>
      </c>
      <c r="O30" s="126">
        <f t="shared" si="2"/>
        <v>934308043.61000001</v>
      </c>
      <c r="P30" s="126">
        <f t="shared" si="5"/>
        <v>0</v>
      </c>
      <c r="Q30" s="126">
        <f t="shared" si="3"/>
        <v>308367239.36000001</v>
      </c>
    </row>
    <row r="31" spans="1:17" ht="30" customHeight="1" x14ac:dyDescent="0.3">
      <c r="A31" s="265"/>
      <c r="B31" s="266"/>
      <c r="C31" s="173"/>
      <c r="D31" s="264" t="s">
        <v>201</v>
      </c>
      <c r="E31" s="171"/>
      <c r="F31" s="135">
        <v>527685720</v>
      </c>
      <c r="G31" s="44"/>
      <c r="H31" s="135">
        <v>503257100</v>
      </c>
      <c r="I31" s="44"/>
      <c r="L31" s="126">
        <f t="shared" si="0"/>
        <v>5276857.2</v>
      </c>
      <c r="M31" s="126">
        <f t="shared" si="1"/>
        <v>0</v>
      </c>
      <c r="N31" s="126">
        <f t="shared" si="4"/>
        <v>5032571</v>
      </c>
      <c r="O31" s="126">
        <f t="shared" si="2"/>
        <v>0</v>
      </c>
      <c r="P31" s="126">
        <f t="shared" si="5"/>
        <v>244286.20000000019</v>
      </c>
      <c r="Q31" s="126">
        <f t="shared" si="3"/>
        <v>0</v>
      </c>
    </row>
    <row r="32" spans="1:17" ht="30" customHeight="1" x14ac:dyDescent="0.3">
      <c r="A32" s="265"/>
      <c r="B32" s="266"/>
      <c r="C32" s="173"/>
      <c r="D32" s="264" t="s">
        <v>207</v>
      </c>
      <c r="E32" s="171"/>
      <c r="F32" s="135">
        <v>46189308210</v>
      </c>
      <c r="G32" s="44"/>
      <c r="H32" s="135">
        <v>49850573827</v>
      </c>
      <c r="I32" s="44"/>
      <c r="L32" s="126">
        <f t="shared" si="0"/>
        <v>461893082.10000002</v>
      </c>
      <c r="M32" s="126">
        <f t="shared" si="1"/>
        <v>0</v>
      </c>
      <c r="N32" s="126">
        <f t="shared" si="4"/>
        <v>498505738.26999998</v>
      </c>
      <c r="O32" s="126">
        <f t="shared" si="2"/>
        <v>0</v>
      </c>
      <c r="P32" s="126">
        <f t="shared" si="5"/>
        <v>-36612656.169999957</v>
      </c>
      <c r="Q32" s="126">
        <f t="shared" si="3"/>
        <v>0</v>
      </c>
    </row>
    <row r="33" spans="1:17" ht="30" customHeight="1" x14ac:dyDescent="0.3">
      <c r="A33" s="43"/>
      <c r="B33" s="172"/>
      <c r="C33" s="173"/>
      <c r="D33" s="267" t="s">
        <v>101</v>
      </c>
      <c r="E33" s="178"/>
      <c r="F33" s="134">
        <v>77550534367</v>
      </c>
      <c r="G33" s="50"/>
      <c r="H33" s="135">
        <v>43076973434</v>
      </c>
      <c r="I33" s="50"/>
      <c r="L33" s="126">
        <f t="shared" si="0"/>
        <v>775505343.66999996</v>
      </c>
      <c r="M33" s="126">
        <f t="shared" si="1"/>
        <v>0</v>
      </c>
      <c r="N33" s="126">
        <f t="shared" si="4"/>
        <v>430769734.33999997</v>
      </c>
      <c r="O33" s="126">
        <f t="shared" si="2"/>
        <v>0</v>
      </c>
      <c r="P33" s="126">
        <f t="shared" si="5"/>
        <v>344735609.32999998</v>
      </c>
      <c r="Q33" s="126">
        <f t="shared" si="3"/>
        <v>0</v>
      </c>
    </row>
    <row r="34" spans="1:17" ht="30" hidden="1" customHeight="1" x14ac:dyDescent="0.3">
      <c r="A34" s="43"/>
      <c r="B34" s="172"/>
      <c r="C34" s="173" t="s">
        <v>71</v>
      </c>
      <c r="D34" s="264" t="s">
        <v>211</v>
      </c>
      <c r="E34" s="179"/>
      <c r="F34" s="135"/>
      <c r="G34" s="50"/>
      <c r="H34" s="135"/>
      <c r="I34" s="50"/>
      <c r="L34" s="126">
        <f t="shared" si="0"/>
        <v>0</v>
      </c>
      <c r="M34" s="126">
        <f t="shared" si="1"/>
        <v>0</v>
      </c>
      <c r="N34" s="126">
        <f t="shared" si="4"/>
        <v>0</v>
      </c>
      <c r="O34" s="126">
        <f t="shared" si="2"/>
        <v>0</v>
      </c>
      <c r="P34" s="126">
        <f t="shared" si="5"/>
        <v>0</v>
      </c>
      <c r="Q34" s="126">
        <f t="shared" si="3"/>
        <v>0</v>
      </c>
    </row>
    <row r="35" spans="1:17" ht="30" customHeight="1" x14ac:dyDescent="0.3">
      <c r="A35" s="281" t="s">
        <v>41</v>
      </c>
      <c r="B35" s="282"/>
      <c r="C35" s="277" t="s">
        <v>206</v>
      </c>
      <c r="D35" s="277"/>
      <c r="E35" s="180"/>
      <c r="F35" s="49"/>
      <c r="G35" s="138">
        <v>14905617649144</v>
      </c>
      <c r="H35" s="49"/>
      <c r="I35" s="138">
        <v>14808202023897</v>
      </c>
      <c r="L35" s="126">
        <f t="shared" si="0"/>
        <v>0</v>
      </c>
      <c r="M35" s="126">
        <f t="shared" si="1"/>
        <v>149056176491.44</v>
      </c>
      <c r="N35" s="126">
        <f t="shared" si="4"/>
        <v>0</v>
      </c>
      <c r="O35" s="126">
        <f t="shared" si="2"/>
        <v>148082020238.97</v>
      </c>
      <c r="P35" s="126">
        <f t="shared" si="5"/>
        <v>0</v>
      </c>
      <c r="Q35" s="126">
        <f t="shared" si="3"/>
        <v>974156252.47000122</v>
      </c>
    </row>
    <row r="36" spans="1:17" ht="30" customHeight="1" x14ac:dyDescent="0.3">
      <c r="A36" s="265"/>
      <c r="B36" s="266"/>
      <c r="C36" s="173"/>
      <c r="D36" s="264" t="s">
        <v>64</v>
      </c>
      <c r="E36" s="179"/>
      <c r="F36" s="49">
        <v>4858772779849</v>
      </c>
      <c r="G36" s="44"/>
      <c r="H36" s="49">
        <v>4859347139849</v>
      </c>
      <c r="I36" s="44"/>
      <c r="L36" s="126">
        <f t="shared" si="0"/>
        <v>48587727798.489998</v>
      </c>
      <c r="M36" s="126">
        <f t="shared" si="1"/>
        <v>0</v>
      </c>
      <c r="N36" s="126">
        <f t="shared" si="4"/>
        <v>48593471398.489998</v>
      </c>
      <c r="O36" s="126">
        <f t="shared" si="2"/>
        <v>0</v>
      </c>
      <c r="P36" s="126">
        <f t="shared" si="5"/>
        <v>-5743600</v>
      </c>
      <c r="Q36" s="126">
        <f t="shared" si="3"/>
        <v>0</v>
      </c>
    </row>
    <row r="37" spans="1:17" ht="30" customHeight="1" x14ac:dyDescent="0.3">
      <c r="A37" s="43"/>
      <c r="B37" s="172"/>
      <c r="C37" s="173"/>
      <c r="D37" s="264" t="s">
        <v>62</v>
      </c>
      <c r="E37" s="180"/>
      <c r="F37" s="49">
        <v>517357472055</v>
      </c>
      <c r="G37" s="44"/>
      <c r="H37" s="49">
        <v>512305191446</v>
      </c>
      <c r="I37" s="44"/>
      <c r="L37" s="126">
        <f t="shared" si="0"/>
        <v>5173574720.5500002</v>
      </c>
      <c r="M37" s="126">
        <f t="shared" si="1"/>
        <v>0</v>
      </c>
      <c r="N37" s="126">
        <f t="shared" si="4"/>
        <v>5123051914.46</v>
      </c>
      <c r="O37" s="126">
        <f t="shared" si="2"/>
        <v>0</v>
      </c>
      <c r="P37" s="126">
        <f t="shared" si="5"/>
        <v>50522806.090000153</v>
      </c>
      <c r="Q37" s="126">
        <f t="shared" si="3"/>
        <v>0</v>
      </c>
    </row>
    <row r="38" spans="1:17" ht="30" customHeight="1" x14ac:dyDescent="0.3">
      <c r="A38" s="43"/>
      <c r="B38" s="172"/>
      <c r="C38" s="173"/>
      <c r="D38" s="264" t="s">
        <v>99</v>
      </c>
      <c r="E38" s="179"/>
      <c r="F38" s="39">
        <v>-345541442477</v>
      </c>
      <c r="G38" s="38"/>
      <c r="H38" s="39">
        <v>-336807939016</v>
      </c>
      <c r="I38" s="38"/>
      <c r="L38" s="126">
        <f t="shared" si="0"/>
        <v>-3455414424.77</v>
      </c>
      <c r="M38" s="126">
        <f t="shared" si="1"/>
        <v>0</v>
      </c>
      <c r="N38" s="126">
        <f t="shared" si="4"/>
        <v>-3368079390.1599998</v>
      </c>
      <c r="O38" s="126">
        <f t="shared" si="2"/>
        <v>0</v>
      </c>
      <c r="P38" s="126">
        <f t="shared" si="5"/>
        <v>-87335034.610000134</v>
      </c>
      <c r="Q38" s="126">
        <f t="shared" si="3"/>
        <v>0</v>
      </c>
    </row>
    <row r="39" spans="1:17" ht="30" customHeight="1" x14ac:dyDescent="0.3">
      <c r="A39" s="265"/>
      <c r="B39" s="266"/>
      <c r="C39" s="173"/>
      <c r="D39" s="264" t="s">
        <v>190</v>
      </c>
      <c r="E39" s="179"/>
      <c r="F39" s="39">
        <v>-876142410</v>
      </c>
      <c r="G39" s="38"/>
      <c r="H39" s="39">
        <v>-836085236</v>
      </c>
      <c r="I39" s="38"/>
      <c r="L39" s="126">
        <f t="shared" si="0"/>
        <v>-8761424.0999999996</v>
      </c>
      <c r="M39" s="126">
        <f t="shared" si="1"/>
        <v>0</v>
      </c>
      <c r="N39" s="126">
        <f t="shared" si="4"/>
        <v>-8360852.3600000003</v>
      </c>
      <c r="O39" s="126">
        <f t="shared" si="2"/>
        <v>0</v>
      </c>
      <c r="P39" s="126">
        <f t="shared" si="5"/>
        <v>-400571.73999999929</v>
      </c>
      <c r="Q39" s="126">
        <f t="shared" si="3"/>
        <v>0</v>
      </c>
    </row>
    <row r="40" spans="1:17" ht="30" customHeight="1" x14ac:dyDescent="0.3">
      <c r="A40" s="43"/>
      <c r="B40" s="172"/>
      <c r="C40" s="173"/>
      <c r="D40" s="264" t="s">
        <v>191</v>
      </c>
      <c r="E40" s="180"/>
      <c r="F40" s="135">
        <v>105744995363</v>
      </c>
      <c r="G40" s="44"/>
      <c r="H40" s="135">
        <v>103814389417</v>
      </c>
      <c r="I40" s="44"/>
      <c r="L40" s="126">
        <f t="shared" si="0"/>
        <v>1057449953.63</v>
      </c>
      <c r="M40" s="126">
        <f t="shared" si="1"/>
        <v>0</v>
      </c>
      <c r="N40" s="126">
        <f t="shared" si="4"/>
        <v>1038143894.17</v>
      </c>
      <c r="O40" s="126">
        <f t="shared" si="2"/>
        <v>0</v>
      </c>
      <c r="P40" s="126">
        <f t="shared" si="5"/>
        <v>19306059.460000038</v>
      </c>
      <c r="Q40" s="126">
        <f t="shared" ref="Q40:Q74" si="6">M40-O40</f>
        <v>0</v>
      </c>
    </row>
    <row r="41" spans="1:17" ht="30" customHeight="1" x14ac:dyDescent="0.3">
      <c r="A41" s="43"/>
      <c r="B41" s="172"/>
      <c r="C41" s="173"/>
      <c r="D41" s="264" t="s">
        <v>99</v>
      </c>
      <c r="E41" s="179"/>
      <c r="F41" s="39">
        <v>-65080335660</v>
      </c>
      <c r="G41" s="38"/>
      <c r="H41" s="39">
        <v>-62773853942</v>
      </c>
      <c r="I41" s="38"/>
      <c r="L41" s="126">
        <f t="shared" si="0"/>
        <v>-650803356.60000002</v>
      </c>
      <c r="M41" s="126">
        <f t="shared" si="1"/>
        <v>0</v>
      </c>
      <c r="N41" s="126">
        <f t="shared" si="4"/>
        <v>-627738539.41999996</v>
      </c>
      <c r="O41" s="126">
        <f t="shared" si="2"/>
        <v>0</v>
      </c>
      <c r="P41" s="126">
        <f t="shared" ref="P41:P75" si="7">L41-N41</f>
        <v>-23064817.180000067</v>
      </c>
      <c r="Q41" s="126">
        <f t="shared" si="6"/>
        <v>0</v>
      </c>
    </row>
    <row r="42" spans="1:17" ht="30" customHeight="1" x14ac:dyDescent="0.3">
      <c r="A42" s="43"/>
      <c r="B42" s="172"/>
      <c r="C42" s="173"/>
      <c r="D42" s="264" t="s">
        <v>190</v>
      </c>
      <c r="E42" s="179"/>
      <c r="F42" s="39">
        <v>-19627123</v>
      </c>
      <c r="G42" s="38"/>
      <c r="H42" s="39">
        <v>-23423123</v>
      </c>
      <c r="I42" s="38"/>
      <c r="L42" s="126"/>
      <c r="M42" s="126"/>
      <c r="N42" s="126"/>
      <c r="O42" s="126"/>
      <c r="P42" s="126"/>
      <c r="Q42" s="126"/>
    </row>
    <row r="43" spans="1:17" ht="30" customHeight="1" x14ac:dyDescent="0.3">
      <c r="A43" s="265"/>
      <c r="B43" s="266"/>
      <c r="C43" s="173"/>
      <c r="D43" s="264" t="s">
        <v>188</v>
      </c>
      <c r="E43" s="180"/>
      <c r="F43" s="135">
        <v>12583143288195</v>
      </c>
      <c r="G43" s="44"/>
      <c r="H43" s="135">
        <v>12443228689235</v>
      </c>
      <c r="I43" s="44"/>
      <c r="L43" s="126">
        <f t="shared" ref="L43:L75" si="8">F43/100</f>
        <v>125831432881.95</v>
      </c>
      <c r="M43" s="126">
        <f t="shared" ref="M43:M75" si="9">G43/100</f>
        <v>0</v>
      </c>
      <c r="N43" s="126">
        <f t="shared" ref="N43:N75" si="10">H43/100</f>
        <v>124432286892.35001</v>
      </c>
      <c r="O43" s="126">
        <f t="shared" ref="O43:O75" si="11">I43/100</f>
        <v>0</v>
      </c>
      <c r="P43" s="126">
        <f t="shared" si="7"/>
        <v>1399145989.5999908</v>
      </c>
      <c r="Q43" s="126">
        <f t="shared" si="6"/>
        <v>0</v>
      </c>
    </row>
    <row r="44" spans="1:17" ht="30" customHeight="1" x14ac:dyDescent="0.3">
      <c r="A44" s="43"/>
      <c r="B44" s="172"/>
      <c r="C44" s="173"/>
      <c r="D44" s="264" t="s">
        <v>99</v>
      </c>
      <c r="E44" s="179"/>
      <c r="F44" s="39">
        <v>-5614796049920</v>
      </c>
      <c r="G44" s="38"/>
      <c r="H44" s="39">
        <v>-5389750000975</v>
      </c>
      <c r="I44" s="38"/>
      <c r="L44" s="126">
        <f t="shared" si="8"/>
        <v>-56147960499.199997</v>
      </c>
      <c r="M44" s="126">
        <f t="shared" si="9"/>
        <v>0</v>
      </c>
      <c r="N44" s="126">
        <f t="shared" si="10"/>
        <v>-53897500009.75</v>
      </c>
      <c r="O44" s="126">
        <f t="shared" si="11"/>
        <v>0</v>
      </c>
      <c r="P44" s="126">
        <f t="shared" si="7"/>
        <v>-2250460489.4499969</v>
      </c>
      <c r="Q44" s="126">
        <f t="shared" si="6"/>
        <v>0</v>
      </c>
    </row>
    <row r="45" spans="1:17" ht="30" customHeight="1" x14ac:dyDescent="0.3">
      <c r="A45" s="43"/>
      <c r="B45" s="172"/>
      <c r="C45" s="173"/>
      <c r="D45" s="264" t="s">
        <v>190</v>
      </c>
      <c r="E45" s="179"/>
      <c r="F45" s="39">
        <v>-198684323807</v>
      </c>
      <c r="G45" s="38"/>
      <c r="H45" s="39">
        <v>-198602487178</v>
      </c>
      <c r="I45" s="38"/>
      <c r="L45" s="126">
        <f t="shared" si="8"/>
        <v>-1986843238.0699999</v>
      </c>
      <c r="M45" s="126">
        <f t="shared" si="9"/>
        <v>0</v>
      </c>
      <c r="N45" s="126">
        <f t="shared" si="10"/>
        <v>-1986024871.78</v>
      </c>
      <c r="O45" s="126">
        <f t="shared" si="11"/>
        <v>0</v>
      </c>
      <c r="P45" s="126">
        <f t="shared" si="7"/>
        <v>-818366.28999996185</v>
      </c>
      <c r="Q45" s="126">
        <f t="shared" si="6"/>
        <v>0</v>
      </c>
    </row>
    <row r="46" spans="1:17" ht="30" customHeight="1" x14ac:dyDescent="0.3">
      <c r="A46" s="265"/>
      <c r="B46" s="266"/>
      <c r="C46" s="173"/>
      <c r="D46" s="264" t="s">
        <v>78</v>
      </c>
      <c r="E46" s="179"/>
      <c r="F46" s="39">
        <v>-679086579</v>
      </c>
      <c r="G46" s="38"/>
      <c r="H46" s="39">
        <v>-718370893</v>
      </c>
      <c r="I46" s="38"/>
      <c r="L46" s="126">
        <f t="shared" si="8"/>
        <v>-6790865.79</v>
      </c>
      <c r="M46" s="126">
        <f t="shared" si="9"/>
        <v>0</v>
      </c>
      <c r="N46" s="126">
        <f t="shared" si="10"/>
        <v>-7183708.9299999997</v>
      </c>
      <c r="O46" s="126">
        <f t="shared" si="11"/>
        <v>0</v>
      </c>
      <c r="P46" s="126">
        <f t="shared" si="7"/>
        <v>392843.13999999966</v>
      </c>
      <c r="Q46" s="126">
        <f t="shared" si="6"/>
        <v>0</v>
      </c>
    </row>
    <row r="47" spans="1:17" ht="30" customHeight="1" x14ac:dyDescent="0.3">
      <c r="A47" s="265"/>
      <c r="B47" s="266"/>
      <c r="C47" s="173"/>
      <c r="D47" s="264" t="s">
        <v>200</v>
      </c>
      <c r="E47" s="180"/>
      <c r="F47" s="135">
        <v>2485119538611</v>
      </c>
      <c r="G47" s="44"/>
      <c r="H47" s="135">
        <v>2396635397052</v>
      </c>
      <c r="I47" s="44"/>
      <c r="L47" s="126">
        <f t="shared" si="8"/>
        <v>24851195386.110001</v>
      </c>
      <c r="M47" s="126">
        <f t="shared" si="9"/>
        <v>0</v>
      </c>
      <c r="N47" s="126">
        <f t="shared" si="10"/>
        <v>23966353970.52</v>
      </c>
      <c r="O47" s="126">
        <f t="shared" si="11"/>
        <v>0</v>
      </c>
      <c r="P47" s="126">
        <f t="shared" si="7"/>
        <v>884841415.59000015</v>
      </c>
      <c r="Q47" s="126">
        <f t="shared" si="6"/>
        <v>0</v>
      </c>
    </row>
    <row r="48" spans="1:17" ht="30" customHeight="1" x14ac:dyDescent="0.3">
      <c r="A48" s="43"/>
      <c r="B48" s="172"/>
      <c r="C48" s="173"/>
      <c r="D48" s="264" t="s">
        <v>99</v>
      </c>
      <c r="E48" s="179"/>
      <c r="F48" s="39">
        <v>-1468892207142</v>
      </c>
      <c r="G48" s="38"/>
      <c r="H48" s="39">
        <v>-1428884786570</v>
      </c>
      <c r="I48" s="38"/>
      <c r="L48" s="126">
        <f t="shared" si="8"/>
        <v>-14688922071.42</v>
      </c>
      <c r="M48" s="126">
        <f t="shared" si="9"/>
        <v>0</v>
      </c>
      <c r="N48" s="126">
        <f t="shared" si="10"/>
        <v>-14288847865.700001</v>
      </c>
      <c r="O48" s="126">
        <f t="shared" si="11"/>
        <v>0</v>
      </c>
      <c r="P48" s="126">
        <f t="shared" si="7"/>
        <v>-400074205.71999931</v>
      </c>
      <c r="Q48" s="126">
        <f t="shared" si="6"/>
        <v>0</v>
      </c>
    </row>
    <row r="49" spans="1:17" ht="30" customHeight="1" x14ac:dyDescent="0.3">
      <c r="A49" s="43"/>
      <c r="B49" s="172"/>
      <c r="C49" s="173"/>
      <c r="D49" s="264" t="s">
        <v>190</v>
      </c>
      <c r="E49" s="179"/>
      <c r="F49" s="39">
        <v>-98093757778</v>
      </c>
      <c r="G49" s="38"/>
      <c r="H49" s="39">
        <v>-84826094054</v>
      </c>
      <c r="I49" s="38"/>
      <c r="L49" s="126">
        <f t="shared" si="8"/>
        <v>-980937577.77999997</v>
      </c>
      <c r="M49" s="126">
        <f t="shared" si="9"/>
        <v>0</v>
      </c>
      <c r="N49" s="126">
        <f t="shared" si="10"/>
        <v>-848260940.53999996</v>
      </c>
      <c r="O49" s="126">
        <f t="shared" si="11"/>
        <v>0</v>
      </c>
      <c r="P49" s="126">
        <f t="shared" si="7"/>
        <v>-132676637.24000001</v>
      </c>
      <c r="Q49" s="126">
        <f t="shared" si="6"/>
        <v>0</v>
      </c>
    </row>
    <row r="50" spans="1:17" ht="30" customHeight="1" x14ac:dyDescent="0.3">
      <c r="A50" s="43"/>
      <c r="B50" s="172"/>
      <c r="C50" s="173"/>
      <c r="D50" s="264" t="s">
        <v>78</v>
      </c>
      <c r="E50" s="179"/>
      <c r="F50" s="39">
        <v>-301659106</v>
      </c>
      <c r="G50" s="38"/>
      <c r="H50" s="137">
        <v>-110755141</v>
      </c>
      <c r="I50" s="38"/>
      <c r="L50" s="126"/>
      <c r="M50" s="126"/>
      <c r="N50" s="126">
        <f t="shared" si="10"/>
        <v>-1107551.4099999999</v>
      </c>
      <c r="O50" s="126"/>
      <c r="P50" s="126"/>
      <c r="Q50" s="126"/>
    </row>
    <row r="51" spans="1:17" ht="30" customHeight="1" x14ac:dyDescent="0.3">
      <c r="A51" s="265"/>
      <c r="B51" s="266"/>
      <c r="C51" s="173"/>
      <c r="D51" s="264" t="s">
        <v>209</v>
      </c>
      <c r="E51" s="180"/>
      <c r="F51" s="135">
        <v>3171323079163</v>
      </c>
      <c r="G51" s="44"/>
      <c r="H51" s="135">
        <v>3025962242785</v>
      </c>
      <c r="I51" s="44"/>
      <c r="L51" s="126">
        <f t="shared" si="8"/>
        <v>31713230791.630001</v>
      </c>
      <c r="M51" s="126">
        <f t="shared" si="9"/>
        <v>0</v>
      </c>
      <c r="N51" s="126">
        <f t="shared" si="10"/>
        <v>30259622427.849998</v>
      </c>
      <c r="O51" s="126">
        <f t="shared" si="11"/>
        <v>0</v>
      </c>
      <c r="P51" s="126">
        <f t="shared" si="7"/>
        <v>1453608363.7800026</v>
      </c>
      <c r="Q51" s="126">
        <f t="shared" si="6"/>
        <v>0</v>
      </c>
    </row>
    <row r="52" spans="1:17" ht="30" customHeight="1" x14ac:dyDescent="0.3">
      <c r="A52" s="43"/>
      <c r="B52" s="172"/>
      <c r="C52" s="173"/>
      <c r="D52" s="264" t="s">
        <v>99</v>
      </c>
      <c r="E52" s="110"/>
      <c r="F52" s="39">
        <v>-1638016653448</v>
      </c>
      <c r="G52" s="38"/>
      <c r="H52" s="39">
        <v>-1642209485976</v>
      </c>
      <c r="I52" s="38"/>
      <c r="L52" s="126">
        <f t="shared" si="8"/>
        <v>-16380166534.48</v>
      </c>
      <c r="M52" s="126">
        <f t="shared" si="9"/>
        <v>0</v>
      </c>
      <c r="N52" s="126">
        <f t="shared" si="10"/>
        <v>-16422094859.76</v>
      </c>
      <c r="O52" s="126">
        <f t="shared" si="11"/>
        <v>0</v>
      </c>
      <c r="P52" s="126">
        <f t="shared" si="7"/>
        <v>41928325.280000687</v>
      </c>
      <c r="Q52" s="126">
        <f t="shared" si="6"/>
        <v>0</v>
      </c>
    </row>
    <row r="53" spans="1:17" ht="30" customHeight="1" x14ac:dyDescent="0.3">
      <c r="A53" s="43"/>
      <c r="B53" s="172"/>
      <c r="C53" s="173"/>
      <c r="D53" s="264" t="s">
        <v>190</v>
      </c>
      <c r="E53" s="179"/>
      <c r="F53" s="39">
        <v>-30888557317</v>
      </c>
      <c r="G53" s="38"/>
      <c r="H53" s="39">
        <v>-5066210919</v>
      </c>
      <c r="I53" s="38"/>
      <c r="L53" s="126">
        <f t="shared" si="8"/>
        <v>-308885573.17000002</v>
      </c>
      <c r="M53" s="126">
        <f t="shared" si="9"/>
        <v>0</v>
      </c>
      <c r="N53" s="126">
        <f t="shared" si="10"/>
        <v>-50662109.189999998</v>
      </c>
      <c r="O53" s="126">
        <f t="shared" si="11"/>
        <v>0</v>
      </c>
      <c r="P53" s="126">
        <f t="shared" si="7"/>
        <v>-258223463.98000002</v>
      </c>
      <c r="Q53" s="126">
        <f t="shared" si="6"/>
        <v>0</v>
      </c>
    </row>
    <row r="54" spans="1:17" ht="30" customHeight="1" x14ac:dyDescent="0.3">
      <c r="A54" s="43"/>
      <c r="B54" s="172"/>
      <c r="C54" s="173"/>
      <c r="D54" s="268" t="s">
        <v>205</v>
      </c>
      <c r="E54" s="180"/>
      <c r="F54" s="135">
        <v>6741376285</v>
      </c>
      <c r="G54" s="44"/>
      <c r="H54" s="135">
        <v>6721543356</v>
      </c>
      <c r="I54" s="44"/>
      <c r="L54" s="126">
        <f t="shared" si="8"/>
        <v>67413762.849999994</v>
      </c>
      <c r="M54" s="126">
        <f t="shared" si="9"/>
        <v>0</v>
      </c>
      <c r="N54" s="126">
        <f t="shared" si="10"/>
        <v>67215433.560000002</v>
      </c>
      <c r="O54" s="126">
        <f t="shared" si="11"/>
        <v>0</v>
      </c>
      <c r="P54" s="126">
        <f t="shared" si="7"/>
        <v>198329.28999999166</v>
      </c>
      <c r="Q54" s="126">
        <f t="shared" si="6"/>
        <v>0</v>
      </c>
    </row>
    <row r="55" spans="1:17" ht="30" customHeight="1" x14ac:dyDescent="0.3">
      <c r="A55" s="265"/>
      <c r="B55" s="266"/>
      <c r="C55" s="173"/>
      <c r="D55" s="264" t="s">
        <v>99</v>
      </c>
      <c r="E55" s="179"/>
      <c r="F55" s="39">
        <v>-5491826938</v>
      </c>
      <c r="G55" s="38"/>
      <c r="H55" s="39">
        <v>-5179030335</v>
      </c>
      <c r="I55" s="38"/>
      <c r="L55" s="126">
        <f t="shared" si="8"/>
        <v>-54918269.380000003</v>
      </c>
      <c r="M55" s="126">
        <f t="shared" si="9"/>
        <v>0</v>
      </c>
      <c r="N55" s="126">
        <f t="shared" si="10"/>
        <v>-51790303.350000001</v>
      </c>
      <c r="O55" s="126">
        <f t="shared" si="11"/>
        <v>0</v>
      </c>
      <c r="P55" s="126">
        <f t="shared" si="7"/>
        <v>-3127966.0300000012</v>
      </c>
      <c r="Q55" s="126">
        <f t="shared" si="6"/>
        <v>0</v>
      </c>
    </row>
    <row r="56" spans="1:17" ht="30" customHeight="1" x14ac:dyDescent="0.3">
      <c r="A56" s="265"/>
      <c r="B56" s="266"/>
      <c r="C56" s="173"/>
      <c r="D56" s="264" t="s">
        <v>190</v>
      </c>
      <c r="E56" s="179"/>
      <c r="F56" s="39">
        <v>-158370826</v>
      </c>
      <c r="G56" s="38"/>
      <c r="H56" s="39">
        <v>-233355731</v>
      </c>
      <c r="I56" s="38"/>
      <c r="L56" s="126">
        <f t="shared" si="8"/>
        <v>-1583708.26</v>
      </c>
      <c r="M56" s="126">
        <f t="shared" si="9"/>
        <v>0</v>
      </c>
      <c r="N56" s="126">
        <f t="shared" si="10"/>
        <v>-2333557.31</v>
      </c>
      <c r="O56" s="126">
        <f t="shared" si="11"/>
        <v>0</v>
      </c>
      <c r="P56" s="126">
        <f t="shared" si="7"/>
        <v>749849.05</v>
      </c>
      <c r="Q56" s="126">
        <f t="shared" si="6"/>
        <v>0</v>
      </c>
    </row>
    <row r="57" spans="1:17" ht="30" customHeight="1" x14ac:dyDescent="0.3">
      <c r="A57" s="265"/>
      <c r="B57" s="266"/>
      <c r="C57" s="173"/>
      <c r="D57" s="264" t="s">
        <v>78</v>
      </c>
      <c r="E57" s="179"/>
      <c r="F57" s="39">
        <v>-392060820</v>
      </c>
      <c r="G57" s="38"/>
      <c r="H57" s="39">
        <v>-604588996</v>
      </c>
      <c r="I57" s="38"/>
      <c r="L57" s="126">
        <f t="shared" si="8"/>
        <v>-3920608.2</v>
      </c>
      <c r="M57" s="126">
        <f t="shared" si="9"/>
        <v>0</v>
      </c>
      <c r="N57" s="126">
        <f t="shared" si="10"/>
        <v>-6045889.96</v>
      </c>
      <c r="O57" s="126">
        <f t="shared" si="11"/>
        <v>0</v>
      </c>
      <c r="P57" s="126">
        <f t="shared" si="7"/>
        <v>2125281.7599999998</v>
      </c>
      <c r="Q57" s="126">
        <f t="shared" si="6"/>
        <v>0</v>
      </c>
    </row>
    <row r="58" spans="1:17" ht="30" customHeight="1" x14ac:dyDescent="0.3">
      <c r="A58" s="43"/>
      <c r="B58" s="172"/>
      <c r="C58" s="173"/>
      <c r="D58" s="264" t="s">
        <v>153</v>
      </c>
      <c r="E58" s="180"/>
      <c r="F58" s="135">
        <v>137894290212</v>
      </c>
      <c r="G58" s="44"/>
      <c r="H58" s="135">
        <v>132955987389</v>
      </c>
      <c r="I58" s="44"/>
      <c r="L58" s="126">
        <f t="shared" si="8"/>
        <v>1378942902.1199999</v>
      </c>
      <c r="M58" s="126">
        <f t="shared" si="9"/>
        <v>0</v>
      </c>
      <c r="N58" s="126">
        <f t="shared" si="10"/>
        <v>1329559873.8900001</v>
      </c>
      <c r="O58" s="126">
        <f t="shared" si="11"/>
        <v>0</v>
      </c>
      <c r="P58" s="126">
        <f t="shared" si="7"/>
        <v>49383028.229999781</v>
      </c>
      <c r="Q58" s="126">
        <f t="shared" si="6"/>
        <v>0</v>
      </c>
    </row>
    <row r="59" spans="1:17" ht="30" customHeight="1" x14ac:dyDescent="0.3">
      <c r="A59" s="43"/>
      <c r="B59" s="172"/>
      <c r="C59" s="173"/>
      <c r="D59" s="264" t="s">
        <v>99</v>
      </c>
      <c r="E59" s="179"/>
      <c r="F59" s="39">
        <v>-116634585803</v>
      </c>
      <c r="G59" s="38"/>
      <c r="H59" s="39">
        <v>-113941204150</v>
      </c>
      <c r="I59" s="38"/>
      <c r="L59" s="126">
        <f t="shared" si="8"/>
        <v>-1166345858.03</v>
      </c>
      <c r="M59" s="126">
        <f t="shared" si="9"/>
        <v>0</v>
      </c>
      <c r="N59" s="126">
        <f t="shared" si="10"/>
        <v>-1139412041.5</v>
      </c>
      <c r="O59" s="126">
        <f t="shared" si="11"/>
        <v>0</v>
      </c>
      <c r="P59" s="126">
        <f t="shared" si="7"/>
        <v>-26933816.529999971</v>
      </c>
      <c r="Q59" s="126">
        <f t="shared" si="6"/>
        <v>0</v>
      </c>
    </row>
    <row r="60" spans="1:17" ht="30" customHeight="1" x14ac:dyDescent="0.3">
      <c r="A60" s="265"/>
      <c r="B60" s="266"/>
      <c r="C60" s="173"/>
      <c r="D60" s="264" t="s">
        <v>190</v>
      </c>
      <c r="E60" s="179"/>
      <c r="F60" s="39">
        <v>-569393024</v>
      </c>
      <c r="G60" s="38"/>
      <c r="H60" s="39">
        <v>-688154096</v>
      </c>
      <c r="I60" s="38"/>
      <c r="L60" s="126">
        <f t="shared" si="8"/>
        <v>-5693930.2400000002</v>
      </c>
      <c r="M60" s="126">
        <f t="shared" si="9"/>
        <v>0</v>
      </c>
      <c r="N60" s="126">
        <f t="shared" si="10"/>
        <v>-6881540.96</v>
      </c>
      <c r="O60" s="126">
        <f t="shared" si="11"/>
        <v>0</v>
      </c>
      <c r="P60" s="126">
        <f t="shared" si="7"/>
        <v>1187610.7199999997</v>
      </c>
      <c r="Q60" s="126">
        <f t="shared" si="6"/>
        <v>0</v>
      </c>
    </row>
    <row r="61" spans="1:17" ht="30" customHeight="1" x14ac:dyDescent="0.3">
      <c r="A61" s="265"/>
      <c r="B61" s="266"/>
      <c r="C61" s="173"/>
      <c r="D61" s="264" t="s">
        <v>78</v>
      </c>
      <c r="E61" s="179"/>
      <c r="F61" s="39">
        <v>-32430992</v>
      </c>
      <c r="G61" s="38"/>
      <c r="H61" s="39">
        <v>-115139704</v>
      </c>
      <c r="I61" s="38"/>
      <c r="L61" s="126">
        <f t="shared" si="8"/>
        <v>-324309.92</v>
      </c>
      <c r="M61" s="126">
        <f t="shared" si="9"/>
        <v>0</v>
      </c>
      <c r="N61" s="126">
        <f t="shared" si="10"/>
        <v>-1151397.04</v>
      </c>
      <c r="O61" s="126">
        <f t="shared" si="11"/>
        <v>0</v>
      </c>
      <c r="P61" s="126">
        <f t="shared" si="7"/>
        <v>827087.12000000011</v>
      </c>
      <c r="Q61" s="126">
        <f t="shared" si="6"/>
        <v>0</v>
      </c>
    </row>
    <row r="62" spans="1:17" ht="30" customHeight="1" x14ac:dyDescent="0.3">
      <c r="A62" s="43"/>
      <c r="B62" s="172"/>
      <c r="C62" s="173"/>
      <c r="D62" s="264" t="s">
        <v>197</v>
      </c>
      <c r="E62" s="180"/>
      <c r="F62" s="135">
        <v>8858466080</v>
      </c>
      <c r="G62" s="44"/>
      <c r="H62" s="135">
        <v>8742800140</v>
      </c>
      <c r="I62" s="44"/>
      <c r="L62" s="126">
        <f t="shared" si="8"/>
        <v>88584660.799999997</v>
      </c>
      <c r="M62" s="126">
        <f t="shared" si="9"/>
        <v>0</v>
      </c>
      <c r="N62" s="126">
        <f t="shared" si="10"/>
        <v>87428001.400000006</v>
      </c>
      <c r="O62" s="126">
        <f t="shared" si="11"/>
        <v>0</v>
      </c>
      <c r="P62" s="126">
        <f t="shared" si="7"/>
        <v>1156659.3999999911</v>
      </c>
      <c r="Q62" s="126">
        <f t="shared" si="6"/>
        <v>0</v>
      </c>
    </row>
    <row r="63" spans="1:17" ht="30" customHeight="1" x14ac:dyDescent="0.3">
      <c r="A63" s="43"/>
      <c r="B63" s="172"/>
      <c r="C63" s="173"/>
      <c r="D63" s="264" t="s">
        <v>99</v>
      </c>
      <c r="E63" s="179"/>
      <c r="F63" s="39">
        <v>-7284269783</v>
      </c>
      <c r="G63" s="38"/>
      <c r="H63" s="39">
        <v>-6742908077</v>
      </c>
      <c r="I63" s="38"/>
      <c r="L63" s="126">
        <f t="shared" si="8"/>
        <v>-72842697.829999998</v>
      </c>
      <c r="M63" s="126">
        <f t="shared" si="9"/>
        <v>0</v>
      </c>
      <c r="N63" s="126">
        <f t="shared" si="10"/>
        <v>-67429080.769999996</v>
      </c>
      <c r="O63" s="126">
        <f t="shared" si="11"/>
        <v>0</v>
      </c>
      <c r="P63" s="126">
        <f t="shared" si="7"/>
        <v>-5413617.0600000024</v>
      </c>
      <c r="Q63" s="126">
        <f t="shared" si="6"/>
        <v>0</v>
      </c>
    </row>
    <row r="64" spans="1:17" ht="30" customHeight="1" x14ac:dyDescent="0.3">
      <c r="A64" s="265"/>
      <c r="B64" s="266"/>
      <c r="C64" s="173"/>
      <c r="D64" s="264" t="s">
        <v>198</v>
      </c>
      <c r="E64" s="180"/>
      <c r="F64" s="135">
        <v>651500151409</v>
      </c>
      <c r="G64" s="44"/>
      <c r="H64" s="135">
        <v>623590196207</v>
      </c>
      <c r="I64" s="44"/>
      <c r="L64" s="126">
        <f t="shared" si="8"/>
        <v>6515001514.0900002</v>
      </c>
      <c r="M64" s="126">
        <f t="shared" si="9"/>
        <v>0</v>
      </c>
      <c r="N64" s="126">
        <f t="shared" si="10"/>
        <v>6235901962.0699997</v>
      </c>
      <c r="O64" s="126">
        <f t="shared" si="11"/>
        <v>0</v>
      </c>
      <c r="P64" s="126">
        <f t="shared" si="7"/>
        <v>279099552.02000046</v>
      </c>
      <c r="Q64" s="126">
        <f t="shared" si="6"/>
        <v>0</v>
      </c>
    </row>
    <row r="65" spans="1:17" ht="30" customHeight="1" x14ac:dyDescent="0.3">
      <c r="A65" s="43"/>
      <c r="B65" s="172"/>
      <c r="C65" s="173"/>
      <c r="D65" s="264" t="s">
        <v>190</v>
      </c>
      <c r="E65" s="179"/>
      <c r="F65" s="39">
        <v>-28405007125</v>
      </c>
      <c r="G65" s="38"/>
      <c r="H65" s="39">
        <v>-26987678867</v>
      </c>
      <c r="I65" s="38"/>
      <c r="L65" s="126">
        <f t="shared" si="8"/>
        <v>-284050071.25</v>
      </c>
      <c r="M65" s="126">
        <f t="shared" si="9"/>
        <v>0</v>
      </c>
      <c r="N65" s="126">
        <f t="shared" si="10"/>
        <v>-269876788.67000002</v>
      </c>
      <c r="O65" s="126">
        <f t="shared" si="11"/>
        <v>0</v>
      </c>
      <c r="P65" s="126">
        <f t="shared" si="7"/>
        <v>-14173282.579999983</v>
      </c>
      <c r="Q65" s="126">
        <f t="shared" si="6"/>
        <v>0</v>
      </c>
    </row>
    <row r="66" spans="1:17" ht="30" customHeight="1" x14ac:dyDescent="0.3">
      <c r="A66" s="43"/>
      <c r="B66" s="172"/>
      <c r="C66" s="173"/>
      <c r="D66" s="264" t="s">
        <v>96</v>
      </c>
      <c r="E66" s="180"/>
      <c r="F66" s="139">
        <v>96854750169</v>
      </c>
      <c r="G66" s="44"/>
      <c r="H66" s="139">
        <v>90504059346</v>
      </c>
      <c r="I66" s="44"/>
      <c r="L66" s="126">
        <f t="shared" si="8"/>
        <v>968547501.69000006</v>
      </c>
      <c r="M66" s="126">
        <f t="shared" si="9"/>
        <v>0</v>
      </c>
      <c r="N66" s="126">
        <f t="shared" si="10"/>
        <v>905040593.46000004</v>
      </c>
      <c r="O66" s="126">
        <f t="shared" si="11"/>
        <v>0</v>
      </c>
      <c r="P66" s="126">
        <f t="shared" si="7"/>
        <v>63506908.230000019</v>
      </c>
      <c r="Q66" s="126">
        <f t="shared" si="6"/>
        <v>0</v>
      </c>
    </row>
    <row r="67" spans="1:17" ht="30" customHeight="1" x14ac:dyDescent="0.3">
      <c r="A67" s="265"/>
      <c r="B67" s="266"/>
      <c r="C67" s="173"/>
      <c r="D67" s="264" t="s">
        <v>99</v>
      </c>
      <c r="E67" s="179"/>
      <c r="F67" s="39">
        <v>-30552866537</v>
      </c>
      <c r="G67" s="38"/>
      <c r="H67" s="39">
        <v>-27186854777</v>
      </c>
      <c r="I67" s="38"/>
      <c r="L67" s="126">
        <f t="shared" si="8"/>
        <v>-305528665.37</v>
      </c>
      <c r="M67" s="126">
        <f t="shared" si="9"/>
        <v>0</v>
      </c>
      <c r="N67" s="126">
        <f t="shared" si="10"/>
        <v>-271868547.76999998</v>
      </c>
      <c r="O67" s="126">
        <f t="shared" si="11"/>
        <v>0</v>
      </c>
      <c r="P67" s="126">
        <f t="shared" si="7"/>
        <v>-33660117.600000024</v>
      </c>
      <c r="Q67" s="126">
        <f t="shared" si="6"/>
        <v>0</v>
      </c>
    </row>
    <row r="68" spans="1:17" ht="30" customHeight="1" x14ac:dyDescent="0.3">
      <c r="A68" s="43"/>
      <c r="B68" s="172"/>
      <c r="C68" s="173"/>
      <c r="D68" s="264" t="s">
        <v>97</v>
      </c>
      <c r="E68" s="179"/>
      <c r="F68" s="39">
        <v>-66301883632</v>
      </c>
      <c r="G68" s="48"/>
      <c r="H68" s="39">
        <v>-63317204569</v>
      </c>
      <c r="I68" s="48"/>
      <c r="L68" s="126">
        <f t="shared" si="8"/>
        <v>-663018836.32000005</v>
      </c>
      <c r="M68" s="126">
        <f t="shared" si="9"/>
        <v>0</v>
      </c>
      <c r="N68" s="126">
        <f t="shared" si="10"/>
        <v>-633172045.69000006</v>
      </c>
      <c r="O68" s="126">
        <f t="shared" si="11"/>
        <v>0</v>
      </c>
      <c r="P68" s="126">
        <f t="shared" si="7"/>
        <v>-29846790.629999995</v>
      </c>
      <c r="Q68" s="126">
        <f t="shared" si="6"/>
        <v>0</v>
      </c>
    </row>
    <row r="69" spans="1:17" ht="30" customHeight="1" x14ac:dyDescent="0.3">
      <c r="A69" s="281" t="s">
        <v>55</v>
      </c>
      <c r="B69" s="282"/>
      <c r="C69" s="277" t="s">
        <v>186</v>
      </c>
      <c r="D69" s="277"/>
      <c r="E69" s="181"/>
      <c r="F69" s="45"/>
      <c r="G69" s="138">
        <v>108915014782</v>
      </c>
      <c r="H69" s="45"/>
      <c r="I69" s="138">
        <v>112740412722</v>
      </c>
      <c r="L69" s="126">
        <f t="shared" si="8"/>
        <v>0</v>
      </c>
      <c r="M69" s="126">
        <f t="shared" si="9"/>
        <v>1089150147.8199999</v>
      </c>
      <c r="N69" s="126">
        <f t="shared" si="10"/>
        <v>0</v>
      </c>
      <c r="O69" s="126">
        <f t="shared" si="11"/>
        <v>1127404127.22</v>
      </c>
      <c r="P69" s="126">
        <f t="shared" si="7"/>
        <v>0</v>
      </c>
      <c r="Q69" s="126">
        <f t="shared" si="6"/>
        <v>-38253979.400000095</v>
      </c>
    </row>
    <row r="70" spans="1:17" ht="30" customHeight="1" x14ac:dyDescent="0.3">
      <c r="A70" s="43"/>
      <c r="B70" s="172"/>
      <c r="C70" s="173"/>
      <c r="D70" s="182" t="s">
        <v>170</v>
      </c>
      <c r="E70" s="180"/>
      <c r="F70" s="135">
        <v>54465449</v>
      </c>
      <c r="G70" s="44"/>
      <c r="H70" s="135">
        <v>72438698</v>
      </c>
      <c r="I70" s="44"/>
      <c r="L70" s="126">
        <f t="shared" si="8"/>
        <v>544654.49</v>
      </c>
      <c r="M70" s="126">
        <f t="shared" si="9"/>
        <v>0</v>
      </c>
      <c r="N70" s="126">
        <f t="shared" si="10"/>
        <v>724386.98</v>
      </c>
      <c r="O70" s="126">
        <f t="shared" si="11"/>
        <v>0</v>
      </c>
      <c r="P70" s="126">
        <f t="shared" si="7"/>
        <v>-179732.49</v>
      </c>
      <c r="Q70" s="126">
        <f t="shared" si="6"/>
        <v>0</v>
      </c>
    </row>
    <row r="71" spans="1:17" ht="30" customHeight="1" x14ac:dyDescent="0.3">
      <c r="A71" s="43"/>
      <c r="B71" s="172"/>
      <c r="C71" s="173"/>
      <c r="D71" s="182" t="s">
        <v>72</v>
      </c>
      <c r="E71" s="180"/>
      <c r="F71" s="135">
        <v>99600438211</v>
      </c>
      <c r="G71" s="44"/>
      <c r="H71" s="135">
        <v>99600438211</v>
      </c>
      <c r="I71" s="44"/>
      <c r="L71" s="126">
        <f t="shared" si="8"/>
        <v>996004382.11000001</v>
      </c>
      <c r="M71" s="126">
        <f t="shared" si="9"/>
        <v>0</v>
      </c>
      <c r="N71" s="126">
        <f t="shared" si="10"/>
        <v>996004382.11000001</v>
      </c>
      <c r="O71" s="126">
        <f t="shared" si="11"/>
        <v>0</v>
      </c>
      <c r="P71" s="126">
        <f t="shared" si="7"/>
        <v>0</v>
      </c>
      <c r="Q71" s="126">
        <f t="shared" si="6"/>
        <v>0</v>
      </c>
    </row>
    <row r="72" spans="1:17" ht="30" customHeight="1" x14ac:dyDescent="0.3">
      <c r="A72" s="43"/>
      <c r="B72" s="172"/>
      <c r="C72" s="173"/>
      <c r="D72" s="182" t="s">
        <v>169</v>
      </c>
      <c r="E72" s="170"/>
      <c r="F72" s="135">
        <v>9851553414</v>
      </c>
      <c r="G72" s="44"/>
      <c r="H72" s="135">
        <v>13897444067</v>
      </c>
      <c r="I72" s="44"/>
      <c r="L72" s="126">
        <f t="shared" si="8"/>
        <v>98515534.140000001</v>
      </c>
      <c r="M72" s="126">
        <f t="shared" si="9"/>
        <v>0</v>
      </c>
      <c r="N72" s="126">
        <f t="shared" si="10"/>
        <v>138974440.66999999</v>
      </c>
      <c r="O72" s="126">
        <f t="shared" si="11"/>
        <v>0</v>
      </c>
      <c r="P72" s="126">
        <f t="shared" si="7"/>
        <v>-40458906.529999986</v>
      </c>
      <c r="Q72" s="126">
        <f t="shared" si="6"/>
        <v>0</v>
      </c>
    </row>
    <row r="73" spans="1:17" ht="30" customHeight="1" x14ac:dyDescent="0.3">
      <c r="A73" s="43"/>
      <c r="B73" s="172"/>
      <c r="C73" s="173"/>
      <c r="D73" s="264" t="s">
        <v>190</v>
      </c>
      <c r="E73" s="179"/>
      <c r="F73" s="39">
        <v>-591442292</v>
      </c>
      <c r="G73" s="38"/>
      <c r="H73" s="92">
        <v>-829908254</v>
      </c>
      <c r="I73" s="38"/>
      <c r="L73" s="126">
        <f t="shared" si="8"/>
        <v>-5914422.9199999999</v>
      </c>
      <c r="M73" s="126">
        <f t="shared" si="9"/>
        <v>0</v>
      </c>
      <c r="N73" s="126">
        <f t="shared" si="10"/>
        <v>-8299082.54</v>
      </c>
      <c r="O73" s="126">
        <f t="shared" si="11"/>
        <v>0</v>
      </c>
      <c r="P73" s="126">
        <f>L73-N73</f>
        <v>2384659.62</v>
      </c>
      <c r="Q73" s="126">
        <f>M73-O73</f>
        <v>0</v>
      </c>
    </row>
    <row r="74" spans="1:17" ht="30" customHeight="1" x14ac:dyDescent="0.3">
      <c r="A74" s="43"/>
      <c r="B74" s="172"/>
      <c r="C74" s="173"/>
      <c r="D74" s="182" t="s">
        <v>100</v>
      </c>
      <c r="E74" s="170"/>
      <c r="F74" s="135">
        <v>1095416912</v>
      </c>
      <c r="G74" s="44"/>
      <c r="H74" s="135">
        <v>1095416912</v>
      </c>
      <c r="I74" s="44"/>
      <c r="L74" s="126">
        <f t="shared" si="8"/>
        <v>10954169.119999999</v>
      </c>
      <c r="M74" s="126">
        <f t="shared" si="9"/>
        <v>0</v>
      </c>
      <c r="N74" s="126">
        <f t="shared" si="10"/>
        <v>10954169.119999999</v>
      </c>
      <c r="O74" s="126">
        <f t="shared" si="11"/>
        <v>0</v>
      </c>
      <c r="P74" s="126">
        <f t="shared" si="7"/>
        <v>0</v>
      </c>
      <c r="Q74" s="126">
        <f t="shared" si="6"/>
        <v>0</v>
      </c>
    </row>
    <row r="75" spans="1:17" ht="30" customHeight="1" x14ac:dyDescent="0.3">
      <c r="A75" s="43"/>
      <c r="B75" s="173"/>
      <c r="C75" s="173"/>
      <c r="D75" s="264" t="s">
        <v>99</v>
      </c>
      <c r="E75" s="170"/>
      <c r="F75" s="137">
        <v>-1052753018</v>
      </c>
      <c r="G75" s="38"/>
      <c r="H75" s="137">
        <v>-1019362797</v>
      </c>
      <c r="I75" s="38"/>
      <c r="L75" s="126">
        <f t="shared" si="8"/>
        <v>-10527530.18</v>
      </c>
      <c r="M75" s="126">
        <f t="shared" si="9"/>
        <v>0</v>
      </c>
      <c r="N75" s="126">
        <f t="shared" si="10"/>
        <v>-10193627.970000001</v>
      </c>
      <c r="O75" s="126">
        <f t="shared" si="11"/>
        <v>0</v>
      </c>
      <c r="P75" s="126">
        <f t="shared" si="7"/>
        <v>-333902.20999999903</v>
      </c>
      <c r="Q75" s="126">
        <f t="shared" ref="Q75:Q106" si="12">M75-O75</f>
        <v>0</v>
      </c>
    </row>
    <row r="76" spans="1:17" ht="30" customHeight="1" x14ac:dyDescent="0.3">
      <c r="A76" s="43"/>
      <c r="B76" s="173"/>
      <c r="C76" s="173"/>
      <c r="D76" s="264" t="s">
        <v>97</v>
      </c>
      <c r="E76" s="170"/>
      <c r="F76" s="39">
        <v>-42663894</v>
      </c>
      <c r="G76" s="48"/>
      <c r="H76" s="39">
        <v>-76054115</v>
      </c>
      <c r="I76" s="48"/>
      <c r="L76" s="126">
        <f t="shared" ref="L76:L107" si="13">F76/100</f>
        <v>-426638.94</v>
      </c>
      <c r="M76" s="126">
        <f t="shared" ref="M76:M107" si="14">G76/100</f>
        <v>0</v>
      </c>
      <c r="N76" s="126">
        <f t="shared" ref="N76:N107" si="15">H76/100</f>
        <v>-760541.15</v>
      </c>
      <c r="O76" s="126">
        <f t="shared" ref="O76:O107" si="16">I76/100</f>
        <v>0</v>
      </c>
      <c r="P76" s="126">
        <f t="shared" ref="P76:P107" si="17">L76-N76</f>
        <v>333902.21000000002</v>
      </c>
      <c r="Q76" s="126">
        <f t="shared" si="12"/>
        <v>0</v>
      </c>
    </row>
    <row r="77" spans="1:17" ht="30" customHeight="1" x14ac:dyDescent="0.3">
      <c r="A77" s="281" t="s">
        <v>40</v>
      </c>
      <c r="B77" s="282"/>
      <c r="C77" s="277" t="s">
        <v>168</v>
      </c>
      <c r="D77" s="277"/>
      <c r="E77" s="171"/>
      <c r="F77" s="45"/>
      <c r="G77" s="50">
        <v>20538846293</v>
      </c>
      <c r="H77" s="45"/>
      <c r="I77" s="50">
        <v>18918372829</v>
      </c>
      <c r="L77" s="126">
        <f t="shared" si="13"/>
        <v>0</v>
      </c>
      <c r="M77" s="126">
        <f t="shared" si="14"/>
        <v>205388462.93000001</v>
      </c>
      <c r="N77" s="126">
        <f t="shared" si="15"/>
        <v>0</v>
      </c>
      <c r="O77" s="126">
        <f t="shared" si="16"/>
        <v>189183728.28999999</v>
      </c>
      <c r="P77" s="126">
        <f t="shared" si="17"/>
        <v>0</v>
      </c>
      <c r="Q77" s="126">
        <f t="shared" si="12"/>
        <v>16204734.640000015</v>
      </c>
    </row>
    <row r="78" spans="1:17" ht="30" customHeight="1" x14ac:dyDescent="0.3">
      <c r="A78" s="265"/>
      <c r="B78" s="172"/>
      <c r="C78" s="173"/>
      <c r="D78" s="264" t="s">
        <v>61</v>
      </c>
      <c r="E78" s="171"/>
      <c r="F78" s="135">
        <v>2851396500</v>
      </c>
      <c r="G78" s="44"/>
      <c r="H78" s="135">
        <v>2721396500</v>
      </c>
      <c r="I78" s="44"/>
      <c r="L78" s="126">
        <f t="shared" si="13"/>
        <v>28513965</v>
      </c>
      <c r="M78" s="126">
        <f t="shared" si="14"/>
        <v>0</v>
      </c>
      <c r="N78" s="126">
        <f t="shared" si="15"/>
        <v>27213965</v>
      </c>
      <c r="O78" s="126">
        <f t="shared" si="16"/>
        <v>0</v>
      </c>
      <c r="P78" s="126">
        <f t="shared" si="17"/>
        <v>1300000</v>
      </c>
      <c r="Q78" s="126">
        <f t="shared" si="12"/>
        <v>0</v>
      </c>
    </row>
    <row r="79" spans="1:17" ht="30" customHeight="1" x14ac:dyDescent="0.3">
      <c r="A79" s="265"/>
      <c r="B79" s="172"/>
      <c r="C79" s="173"/>
      <c r="D79" s="264" t="s">
        <v>167</v>
      </c>
      <c r="E79" s="171"/>
      <c r="F79" s="135">
        <v>1241309884</v>
      </c>
      <c r="G79" s="44"/>
      <c r="H79" s="135">
        <v>1241309884</v>
      </c>
      <c r="I79" s="44"/>
      <c r="L79" s="126">
        <f t="shared" si="13"/>
        <v>12413098.84</v>
      </c>
      <c r="M79" s="126">
        <f t="shared" si="14"/>
        <v>0</v>
      </c>
      <c r="N79" s="126">
        <f t="shared" si="15"/>
        <v>12413098.84</v>
      </c>
      <c r="O79" s="126">
        <f t="shared" si="16"/>
        <v>0</v>
      </c>
      <c r="P79" s="126">
        <f t="shared" si="17"/>
        <v>0</v>
      </c>
      <c r="Q79" s="126">
        <f t="shared" si="12"/>
        <v>0</v>
      </c>
    </row>
    <row r="80" spans="1:17" ht="30" customHeight="1" x14ac:dyDescent="0.3">
      <c r="A80" s="265"/>
      <c r="B80" s="172"/>
      <c r="C80" s="173"/>
      <c r="D80" s="264" t="s">
        <v>166</v>
      </c>
      <c r="E80" s="171"/>
      <c r="F80" s="42">
        <v>-1179746238</v>
      </c>
      <c r="G80" s="38"/>
      <c r="H80" s="42">
        <v>-1179746238</v>
      </c>
      <c r="I80" s="38"/>
      <c r="L80" s="126">
        <f t="shared" si="13"/>
        <v>-11797462.380000001</v>
      </c>
      <c r="M80" s="126">
        <f t="shared" si="14"/>
        <v>0</v>
      </c>
      <c r="N80" s="126">
        <f t="shared" si="15"/>
        <v>-11797462.380000001</v>
      </c>
      <c r="O80" s="126">
        <f t="shared" si="16"/>
        <v>0</v>
      </c>
      <c r="P80" s="126">
        <f t="shared" si="17"/>
        <v>0</v>
      </c>
      <c r="Q80" s="126">
        <f t="shared" si="12"/>
        <v>0</v>
      </c>
    </row>
    <row r="81" spans="1:18" ht="30" customHeight="1" x14ac:dyDescent="0.3">
      <c r="A81" s="43"/>
      <c r="B81" s="172"/>
      <c r="C81" s="173"/>
      <c r="D81" s="264" t="s">
        <v>98</v>
      </c>
      <c r="E81" s="171"/>
      <c r="F81" s="135">
        <v>17625886147</v>
      </c>
      <c r="G81" s="44"/>
      <c r="H81" s="135">
        <v>16135412683</v>
      </c>
      <c r="I81" s="44"/>
      <c r="L81" s="126">
        <f t="shared" si="13"/>
        <v>176258861.47</v>
      </c>
      <c r="M81" s="126">
        <f t="shared" si="14"/>
        <v>0</v>
      </c>
      <c r="N81" s="126">
        <f t="shared" si="15"/>
        <v>161354126.83000001</v>
      </c>
      <c r="O81" s="126">
        <f t="shared" si="16"/>
        <v>0</v>
      </c>
      <c r="P81" s="126">
        <f t="shared" si="17"/>
        <v>14904734.639999986</v>
      </c>
      <c r="Q81" s="126">
        <f t="shared" si="12"/>
        <v>0</v>
      </c>
    </row>
    <row r="82" spans="1:18" ht="30" customHeight="1" thickBot="1" x14ac:dyDescent="0.35">
      <c r="A82" s="37" t="s">
        <v>58</v>
      </c>
      <c r="B82" s="278" t="s">
        <v>157</v>
      </c>
      <c r="C82" s="278"/>
      <c r="D82" s="278"/>
      <c r="E82" s="183"/>
      <c r="F82" s="154"/>
      <c r="G82" s="36">
        <v>15803593210781</v>
      </c>
      <c r="H82" s="154"/>
      <c r="I82" s="36">
        <v>15667575253119</v>
      </c>
      <c r="L82" s="126">
        <f t="shared" si="13"/>
        <v>0</v>
      </c>
      <c r="M82" s="125">
        <f t="shared" si="14"/>
        <v>158035932107.81</v>
      </c>
      <c r="N82" s="126">
        <f t="shared" si="15"/>
        <v>0</v>
      </c>
      <c r="O82" s="125">
        <f t="shared" si="16"/>
        <v>156675752531.19</v>
      </c>
      <c r="P82" s="126">
        <f t="shared" si="17"/>
        <v>0</v>
      </c>
      <c r="Q82" s="125">
        <f t="shared" si="12"/>
        <v>1360179576.6199951</v>
      </c>
    </row>
    <row r="83" spans="1:18" ht="30" customHeight="1" thickTop="1" x14ac:dyDescent="0.3">
      <c r="A83" s="279" t="s">
        <v>18</v>
      </c>
      <c r="B83" s="280"/>
      <c r="C83" s="280"/>
      <c r="D83" s="280"/>
      <c r="E83" s="169"/>
      <c r="F83" s="45"/>
      <c r="G83" s="44"/>
      <c r="H83" s="45"/>
      <c r="I83" s="44"/>
      <c r="L83" s="126">
        <f t="shared" si="13"/>
        <v>0</v>
      </c>
      <c r="M83" s="126">
        <f t="shared" si="14"/>
        <v>0</v>
      </c>
      <c r="N83" s="126">
        <f t="shared" si="15"/>
        <v>0</v>
      </c>
      <c r="O83" s="126">
        <f t="shared" si="16"/>
        <v>0</v>
      </c>
      <c r="P83" s="126">
        <f t="shared" si="17"/>
        <v>0</v>
      </c>
      <c r="Q83" s="126">
        <f t="shared" si="12"/>
        <v>0</v>
      </c>
    </row>
    <row r="84" spans="1:18" ht="30" customHeight="1" x14ac:dyDescent="0.3">
      <c r="A84" s="43" t="s">
        <v>54</v>
      </c>
      <c r="B84" s="277" t="s">
        <v>162</v>
      </c>
      <c r="C84" s="277"/>
      <c r="D84" s="277"/>
      <c r="E84" s="171"/>
      <c r="F84" s="45"/>
      <c r="G84" s="111">
        <v>1346696497768</v>
      </c>
      <c r="H84" s="45"/>
      <c r="I84" s="111">
        <v>966877695951</v>
      </c>
      <c r="L84" s="126">
        <f t="shared" si="13"/>
        <v>0</v>
      </c>
      <c r="M84" s="133">
        <f t="shared" si="14"/>
        <v>13466964977.68</v>
      </c>
      <c r="N84" s="126">
        <f t="shared" si="15"/>
        <v>0</v>
      </c>
      <c r="O84" s="133">
        <f t="shared" si="16"/>
        <v>9668776959.5100002</v>
      </c>
      <c r="P84" s="126">
        <f t="shared" si="17"/>
        <v>0</v>
      </c>
      <c r="Q84" s="133">
        <f t="shared" si="12"/>
        <v>3798188018.1700001</v>
      </c>
    </row>
    <row r="85" spans="1:18" ht="30" customHeight="1" x14ac:dyDescent="0.3">
      <c r="A85" s="43"/>
      <c r="B85" s="264"/>
      <c r="C85" s="264"/>
      <c r="D85" s="264" t="s">
        <v>175</v>
      </c>
      <c r="E85" s="171"/>
      <c r="F85" s="99">
        <v>0</v>
      </c>
      <c r="G85" s="93"/>
      <c r="H85" s="99">
        <v>0</v>
      </c>
      <c r="I85" s="93"/>
      <c r="L85" s="126">
        <f t="shared" si="13"/>
        <v>0</v>
      </c>
      <c r="M85" s="126">
        <f t="shared" si="14"/>
        <v>0</v>
      </c>
      <c r="N85" s="126">
        <f t="shared" si="15"/>
        <v>0</v>
      </c>
      <c r="O85" s="126">
        <f t="shared" si="16"/>
        <v>0</v>
      </c>
      <c r="P85" s="126">
        <f t="shared" si="17"/>
        <v>0</v>
      </c>
      <c r="Q85" s="126">
        <f t="shared" si="12"/>
        <v>0</v>
      </c>
    </row>
    <row r="86" spans="1:18" ht="30" customHeight="1" x14ac:dyDescent="0.3">
      <c r="A86" s="265"/>
      <c r="B86" s="172"/>
      <c r="C86" s="264"/>
      <c r="D86" s="182" t="s">
        <v>184</v>
      </c>
      <c r="E86" s="171"/>
      <c r="F86" s="134">
        <v>318514580142</v>
      </c>
      <c r="G86" s="93"/>
      <c r="H86" s="134">
        <v>292859450303</v>
      </c>
      <c r="I86" s="93"/>
      <c r="L86" s="126">
        <f t="shared" si="13"/>
        <v>3185145801.4200001</v>
      </c>
      <c r="M86" s="126">
        <f t="shared" si="14"/>
        <v>0</v>
      </c>
      <c r="N86" s="126">
        <f t="shared" si="15"/>
        <v>2928594503.0300002</v>
      </c>
      <c r="O86" s="126">
        <f t="shared" si="16"/>
        <v>0</v>
      </c>
      <c r="P86" s="126">
        <f t="shared" si="17"/>
        <v>256551298.38999987</v>
      </c>
      <c r="Q86" s="126">
        <f t="shared" si="12"/>
        <v>0</v>
      </c>
    </row>
    <row r="87" spans="1:18" ht="30" customHeight="1" x14ac:dyDescent="0.3">
      <c r="A87" s="265"/>
      <c r="B87" s="172"/>
      <c r="C87" s="264"/>
      <c r="D87" s="182" t="s">
        <v>183</v>
      </c>
      <c r="E87" s="171"/>
      <c r="F87" s="134">
        <v>216044448441</v>
      </c>
      <c r="G87" s="93"/>
      <c r="H87" s="134">
        <v>76742186981</v>
      </c>
      <c r="I87" s="93"/>
      <c r="L87" s="126">
        <f t="shared" si="13"/>
        <v>2160444484.4099998</v>
      </c>
      <c r="M87" s="126">
        <f t="shared" si="14"/>
        <v>0</v>
      </c>
      <c r="N87" s="126">
        <f t="shared" si="15"/>
        <v>767421869.80999994</v>
      </c>
      <c r="O87" s="126">
        <f t="shared" si="16"/>
        <v>0</v>
      </c>
      <c r="P87" s="126">
        <f t="shared" si="17"/>
        <v>1393022614.5999999</v>
      </c>
      <c r="Q87" s="126">
        <f t="shared" si="12"/>
        <v>0</v>
      </c>
    </row>
    <row r="88" spans="1:18" ht="30" customHeight="1" x14ac:dyDescent="0.3">
      <c r="A88" s="265"/>
      <c r="B88" s="172"/>
      <c r="C88" s="264"/>
      <c r="D88" s="182" t="s">
        <v>60</v>
      </c>
      <c r="E88" s="171"/>
      <c r="F88" s="134">
        <v>2487453543</v>
      </c>
      <c r="G88" s="93"/>
      <c r="H88" s="134">
        <v>3822369213</v>
      </c>
      <c r="I88" s="93"/>
      <c r="L88" s="126">
        <f t="shared" si="13"/>
        <v>24874535.43</v>
      </c>
      <c r="M88" s="126">
        <f t="shared" si="14"/>
        <v>0</v>
      </c>
      <c r="N88" s="126">
        <f t="shared" si="15"/>
        <v>38223692.130000003</v>
      </c>
      <c r="O88" s="126">
        <f t="shared" si="16"/>
        <v>0</v>
      </c>
      <c r="P88" s="126">
        <f t="shared" si="17"/>
        <v>-13349156.700000003</v>
      </c>
      <c r="Q88" s="126">
        <f t="shared" si="12"/>
        <v>0</v>
      </c>
    </row>
    <row r="89" spans="1:18" ht="30" customHeight="1" x14ac:dyDescent="0.3">
      <c r="A89" s="265"/>
      <c r="B89" s="172"/>
      <c r="C89" s="264"/>
      <c r="D89" s="182" t="s">
        <v>56</v>
      </c>
      <c r="E89" s="171"/>
      <c r="F89" s="134">
        <v>89565458749</v>
      </c>
      <c r="G89" s="93"/>
      <c r="H89" s="134">
        <v>48354481842</v>
      </c>
      <c r="I89" s="93"/>
      <c r="L89" s="126">
        <f t="shared" si="13"/>
        <v>895654587.49000001</v>
      </c>
      <c r="M89" s="126">
        <f t="shared" si="14"/>
        <v>0</v>
      </c>
      <c r="N89" s="126">
        <f t="shared" si="15"/>
        <v>483544818.42000002</v>
      </c>
      <c r="O89" s="126">
        <f t="shared" si="16"/>
        <v>0</v>
      </c>
      <c r="P89" s="126">
        <f t="shared" si="17"/>
        <v>412109769.06999999</v>
      </c>
      <c r="Q89" s="126">
        <f t="shared" si="12"/>
        <v>0</v>
      </c>
    </row>
    <row r="90" spans="1:18" ht="30" customHeight="1" x14ac:dyDescent="0.3">
      <c r="A90" s="265"/>
      <c r="B90" s="172"/>
      <c r="C90" s="264"/>
      <c r="D90" s="182" t="s">
        <v>174</v>
      </c>
      <c r="E90" s="171"/>
      <c r="F90" s="99">
        <v>643000000000</v>
      </c>
      <c r="G90" s="93"/>
      <c r="H90" s="132">
        <v>440000000000</v>
      </c>
      <c r="I90" s="93"/>
      <c r="L90" s="126">
        <f t="shared" si="13"/>
        <v>6430000000</v>
      </c>
      <c r="M90" s="126">
        <f t="shared" si="14"/>
        <v>0</v>
      </c>
      <c r="N90" s="126">
        <f t="shared" si="15"/>
        <v>4400000000</v>
      </c>
      <c r="O90" s="126">
        <f t="shared" si="16"/>
        <v>0</v>
      </c>
      <c r="P90" s="126">
        <f t="shared" si="17"/>
        <v>2030000000</v>
      </c>
      <c r="Q90" s="126">
        <f t="shared" si="12"/>
        <v>0</v>
      </c>
    </row>
    <row r="91" spans="1:18" ht="30" customHeight="1" x14ac:dyDescent="0.3">
      <c r="A91" s="265"/>
      <c r="B91" s="172"/>
      <c r="C91" s="264"/>
      <c r="D91" s="182" t="s">
        <v>161</v>
      </c>
      <c r="E91" s="171"/>
      <c r="F91" s="134">
        <v>8343631571</v>
      </c>
      <c r="G91" s="93"/>
      <c r="H91" s="134">
        <v>1017174</v>
      </c>
      <c r="I91" s="93"/>
      <c r="L91" s="126">
        <f t="shared" si="13"/>
        <v>83436315.709999993</v>
      </c>
      <c r="M91" s="126">
        <f t="shared" si="14"/>
        <v>0</v>
      </c>
      <c r="N91" s="126">
        <f t="shared" si="15"/>
        <v>10171.74</v>
      </c>
      <c r="O91" s="126">
        <f t="shared" si="16"/>
        <v>0</v>
      </c>
      <c r="P91" s="126">
        <f t="shared" si="17"/>
        <v>83426143.969999999</v>
      </c>
      <c r="Q91" s="126">
        <f t="shared" si="12"/>
        <v>0</v>
      </c>
    </row>
    <row r="92" spans="1:18" ht="30" customHeight="1" x14ac:dyDescent="0.3">
      <c r="A92" s="265"/>
      <c r="B92" s="172"/>
      <c r="C92" s="264"/>
      <c r="D92" s="182" t="s">
        <v>165</v>
      </c>
      <c r="E92" s="171"/>
      <c r="F92" s="134">
        <v>10766364487</v>
      </c>
      <c r="G92" s="93"/>
      <c r="H92" s="134">
        <v>17980333140</v>
      </c>
      <c r="I92" s="93"/>
      <c r="L92" s="126">
        <f t="shared" si="13"/>
        <v>107663644.87</v>
      </c>
      <c r="M92" s="126">
        <f t="shared" si="14"/>
        <v>0</v>
      </c>
      <c r="N92" s="126">
        <f t="shared" si="15"/>
        <v>179803331.40000001</v>
      </c>
      <c r="O92" s="126">
        <f t="shared" si="16"/>
        <v>0</v>
      </c>
      <c r="P92" s="126">
        <f t="shared" si="17"/>
        <v>-72139686.530000001</v>
      </c>
      <c r="Q92" s="126">
        <f t="shared" si="12"/>
        <v>0</v>
      </c>
    </row>
    <row r="93" spans="1:18" ht="30" customHeight="1" x14ac:dyDescent="0.3">
      <c r="A93" s="265"/>
      <c r="B93" s="172"/>
      <c r="C93" s="264"/>
      <c r="D93" s="182" t="s">
        <v>159</v>
      </c>
      <c r="E93" s="171"/>
      <c r="F93" s="134">
        <v>2028709821</v>
      </c>
      <c r="G93" s="93"/>
      <c r="H93" s="134">
        <v>2369517069</v>
      </c>
      <c r="I93" s="93"/>
      <c r="L93" s="126">
        <f t="shared" si="13"/>
        <v>20287098.210000001</v>
      </c>
      <c r="M93" s="126">
        <f t="shared" si="14"/>
        <v>0</v>
      </c>
      <c r="N93" s="126">
        <f t="shared" si="15"/>
        <v>23695170.690000001</v>
      </c>
      <c r="O93" s="126">
        <f t="shared" si="16"/>
        <v>0</v>
      </c>
      <c r="P93" s="126">
        <f t="shared" si="17"/>
        <v>-3408072.4800000004</v>
      </c>
      <c r="Q93" s="126">
        <f t="shared" si="12"/>
        <v>0</v>
      </c>
    </row>
    <row r="94" spans="1:18" ht="30" customHeight="1" x14ac:dyDescent="0.3">
      <c r="A94" s="40"/>
      <c r="B94" s="184"/>
      <c r="C94" s="264"/>
      <c r="D94" s="182" t="s">
        <v>182</v>
      </c>
      <c r="E94" s="171"/>
      <c r="F94" s="134">
        <v>37064113754</v>
      </c>
      <c r="G94" s="93"/>
      <c r="H94" s="134">
        <v>58683173526</v>
      </c>
      <c r="I94" s="93"/>
      <c r="L94" s="126">
        <f t="shared" si="13"/>
        <v>370641137.54000002</v>
      </c>
      <c r="M94" s="126">
        <f t="shared" si="14"/>
        <v>0</v>
      </c>
      <c r="N94" s="126">
        <f t="shared" si="15"/>
        <v>586831735.25999999</v>
      </c>
      <c r="O94" s="126">
        <f t="shared" si="16"/>
        <v>0</v>
      </c>
      <c r="P94" s="126">
        <f t="shared" si="17"/>
        <v>-216190597.71999997</v>
      </c>
      <c r="Q94" s="126">
        <f t="shared" si="12"/>
        <v>0</v>
      </c>
    </row>
    <row r="95" spans="1:18" ht="30" customHeight="1" x14ac:dyDescent="0.3">
      <c r="A95" s="40"/>
      <c r="B95" s="184"/>
      <c r="C95" s="185"/>
      <c r="D95" s="182" t="s">
        <v>180</v>
      </c>
      <c r="E95" s="171"/>
      <c r="F95" s="132">
        <v>18881737260</v>
      </c>
      <c r="G95" s="93"/>
      <c r="H95" s="132">
        <v>26065166703</v>
      </c>
      <c r="I95" s="93"/>
      <c r="L95" s="126">
        <f t="shared" si="13"/>
        <v>188817372.59999999</v>
      </c>
      <c r="M95" s="126">
        <f t="shared" si="14"/>
        <v>0</v>
      </c>
      <c r="N95" s="126">
        <f t="shared" si="15"/>
        <v>260651667.03</v>
      </c>
      <c r="O95" s="126">
        <f t="shared" si="16"/>
        <v>0</v>
      </c>
      <c r="P95" s="126">
        <f t="shared" si="17"/>
        <v>-71834294.430000007</v>
      </c>
      <c r="Q95" s="126">
        <f t="shared" si="12"/>
        <v>0</v>
      </c>
    </row>
    <row r="96" spans="1:18" ht="30" customHeight="1" x14ac:dyDescent="0.3">
      <c r="A96" s="43" t="s">
        <v>46</v>
      </c>
      <c r="B96" s="277" t="s">
        <v>173</v>
      </c>
      <c r="C96" s="277"/>
      <c r="D96" s="277"/>
      <c r="E96" s="171"/>
      <c r="F96" s="95"/>
      <c r="G96" s="111">
        <v>6000627107460</v>
      </c>
      <c r="H96" s="95"/>
      <c r="I96" s="111">
        <v>5865286702007</v>
      </c>
      <c r="L96" s="126">
        <f t="shared" si="13"/>
        <v>0</v>
      </c>
      <c r="M96" s="136">
        <f t="shared" si="14"/>
        <v>60006271074.599998</v>
      </c>
      <c r="N96" s="126">
        <f t="shared" si="15"/>
        <v>0</v>
      </c>
      <c r="O96" s="136">
        <f t="shared" si="16"/>
        <v>58652867020.07</v>
      </c>
      <c r="P96" s="126">
        <f t="shared" si="17"/>
        <v>0</v>
      </c>
      <c r="Q96" s="136">
        <f t="shared" si="12"/>
        <v>1353404054.5299988</v>
      </c>
      <c r="R96" s="120"/>
    </row>
    <row r="97" spans="1:19" ht="30" customHeight="1" x14ac:dyDescent="0.3">
      <c r="A97" s="40"/>
      <c r="B97" s="172"/>
      <c r="C97" s="173"/>
      <c r="D97" s="182" t="s">
        <v>59</v>
      </c>
      <c r="E97" s="171"/>
      <c r="F97" s="134">
        <v>3395000000000</v>
      </c>
      <c r="G97" s="93"/>
      <c r="H97" s="134">
        <v>3368000000000</v>
      </c>
      <c r="I97" s="93"/>
      <c r="L97" s="126">
        <f t="shared" si="13"/>
        <v>33950000000</v>
      </c>
      <c r="M97" s="126">
        <f t="shared" si="14"/>
        <v>0</v>
      </c>
      <c r="N97" s="126">
        <f t="shared" si="15"/>
        <v>33680000000</v>
      </c>
      <c r="O97" s="126">
        <f t="shared" si="16"/>
        <v>0</v>
      </c>
      <c r="P97" s="126">
        <f t="shared" si="17"/>
        <v>270000000</v>
      </c>
      <c r="Q97" s="126">
        <f t="shared" si="12"/>
        <v>0</v>
      </c>
    </row>
    <row r="98" spans="1:19" ht="33.75" customHeight="1" x14ac:dyDescent="0.3">
      <c r="A98" s="43"/>
      <c r="B98" s="172"/>
      <c r="C98" s="173"/>
      <c r="D98" s="182" t="s">
        <v>91</v>
      </c>
      <c r="E98" s="171"/>
      <c r="F98" s="100">
        <v>-558027956</v>
      </c>
      <c r="G98" s="101"/>
      <c r="H98" s="100">
        <v>-611194616</v>
      </c>
      <c r="I98" s="101"/>
      <c r="L98" s="126">
        <f t="shared" si="13"/>
        <v>-5580279.5599999996</v>
      </c>
      <c r="M98" s="126">
        <f t="shared" si="14"/>
        <v>0</v>
      </c>
      <c r="N98" s="126">
        <f t="shared" si="15"/>
        <v>-6111946.1600000001</v>
      </c>
      <c r="O98" s="126">
        <f t="shared" si="16"/>
        <v>0</v>
      </c>
      <c r="P98" s="126">
        <f t="shared" si="17"/>
        <v>531666.60000000056</v>
      </c>
      <c r="Q98" s="126">
        <f t="shared" si="12"/>
        <v>0</v>
      </c>
    </row>
    <row r="99" spans="1:19" ht="30" hidden="1" customHeight="1" x14ac:dyDescent="0.3">
      <c r="A99" s="40"/>
      <c r="B99" s="172"/>
      <c r="C99" s="173"/>
      <c r="D99" s="182" t="s">
        <v>53</v>
      </c>
      <c r="E99" s="171"/>
      <c r="F99" s="116">
        <v>0</v>
      </c>
      <c r="G99" s="102"/>
      <c r="H99" s="132">
        <v>0</v>
      </c>
      <c r="I99" s="102"/>
      <c r="L99" s="126">
        <f t="shared" si="13"/>
        <v>0</v>
      </c>
      <c r="M99" s="126">
        <f t="shared" si="14"/>
        <v>0</v>
      </c>
      <c r="N99" s="126">
        <f t="shared" si="15"/>
        <v>0</v>
      </c>
      <c r="O99" s="126">
        <f t="shared" si="16"/>
        <v>0</v>
      </c>
      <c r="P99" s="126">
        <f t="shared" si="17"/>
        <v>0</v>
      </c>
      <c r="Q99" s="126">
        <f t="shared" si="12"/>
        <v>0</v>
      </c>
    </row>
    <row r="100" spans="1:19" ht="30" customHeight="1" x14ac:dyDescent="0.3">
      <c r="A100" s="40"/>
      <c r="B100" s="172"/>
      <c r="C100" s="173"/>
      <c r="D100" s="182" t="s">
        <v>176</v>
      </c>
      <c r="E100" s="171"/>
      <c r="F100" s="134">
        <v>150000000000</v>
      </c>
      <c r="G100" s="102"/>
      <c r="H100" s="134">
        <v>150000000000</v>
      </c>
      <c r="I100" s="102"/>
      <c r="L100" s="126">
        <f t="shared" si="13"/>
        <v>1500000000</v>
      </c>
      <c r="M100" s="126">
        <f t="shared" si="14"/>
        <v>0</v>
      </c>
      <c r="N100" s="126">
        <f t="shared" si="15"/>
        <v>1500000000</v>
      </c>
      <c r="O100" s="126">
        <f t="shared" si="16"/>
        <v>0</v>
      </c>
      <c r="P100" s="126">
        <f t="shared" si="17"/>
        <v>0</v>
      </c>
      <c r="Q100" s="126">
        <f t="shared" si="12"/>
        <v>0</v>
      </c>
    </row>
    <row r="101" spans="1:19" ht="30" customHeight="1" x14ac:dyDescent="0.3">
      <c r="A101" s="40"/>
      <c r="B101" s="172"/>
      <c r="C101" s="173"/>
      <c r="D101" s="182" t="s">
        <v>181</v>
      </c>
      <c r="E101" s="171"/>
      <c r="F101" s="134">
        <v>129804800</v>
      </c>
      <c r="G101" s="102"/>
      <c r="H101" s="134">
        <v>157070000</v>
      </c>
      <c r="I101" s="102"/>
      <c r="L101" s="126">
        <f t="shared" si="13"/>
        <v>1298048</v>
      </c>
      <c r="M101" s="126">
        <f t="shared" si="14"/>
        <v>0</v>
      </c>
      <c r="N101" s="126">
        <f t="shared" si="15"/>
        <v>1570700</v>
      </c>
      <c r="O101" s="126">
        <f t="shared" si="16"/>
        <v>0</v>
      </c>
      <c r="P101" s="126">
        <f t="shared" si="17"/>
        <v>-272652</v>
      </c>
      <c r="Q101" s="126">
        <f t="shared" si="12"/>
        <v>0</v>
      </c>
    </row>
    <row r="102" spans="1:19" ht="30" customHeight="1" x14ac:dyDescent="0.3">
      <c r="A102" s="265"/>
      <c r="B102" s="172"/>
      <c r="C102" s="173"/>
      <c r="D102" s="182" t="s">
        <v>94</v>
      </c>
      <c r="E102" s="171"/>
      <c r="F102" s="116" t="s">
        <v>259</v>
      </c>
      <c r="G102" s="103"/>
      <c r="H102" s="152" t="s">
        <v>74</v>
      </c>
      <c r="I102" s="103"/>
      <c r="L102" s="126" t="e">
        <f t="shared" si="13"/>
        <v>#VALUE!</v>
      </c>
      <c r="M102" s="126">
        <f t="shared" si="14"/>
        <v>0</v>
      </c>
      <c r="N102" s="126" t="e">
        <f t="shared" si="15"/>
        <v>#VALUE!</v>
      </c>
      <c r="O102" s="126">
        <f t="shared" si="16"/>
        <v>0</v>
      </c>
      <c r="P102" s="126" t="e">
        <f t="shared" si="17"/>
        <v>#VALUE!</v>
      </c>
      <c r="Q102" s="126">
        <f t="shared" si="12"/>
        <v>0</v>
      </c>
    </row>
    <row r="103" spans="1:19" ht="30" hidden="1" customHeight="1" x14ac:dyDescent="0.3">
      <c r="A103" s="40"/>
      <c r="B103" s="172"/>
      <c r="C103" s="173"/>
      <c r="D103" s="182" t="s">
        <v>177</v>
      </c>
      <c r="E103" s="171"/>
      <c r="F103" s="116">
        <v>0</v>
      </c>
      <c r="G103" s="104"/>
      <c r="H103" s="132">
        <v>0</v>
      </c>
      <c r="I103" s="104"/>
      <c r="L103" s="126">
        <f t="shared" si="13"/>
        <v>0</v>
      </c>
      <c r="M103" s="126">
        <f t="shared" si="14"/>
        <v>0</v>
      </c>
      <c r="N103" s="126">
        <f t="shared" si="15"/>
        <v>0</v>
      </c>
      <c r="O103" s="126">
        <f t="shared" si="16"/>
        <v>0</v>
      </c>
      <c r="P103" s="126">
        <f t="shared" si="17"/>
        <v>0</v>
      </c>
      <c r="Q103" s="126">
        <f t="shared" si="12"/>
        <v>0</v>
      </c>
    </row>
    <row r="104" spans="1:19" ht="30" customHeight="1" x14ac:dyDescent="0.3">
      <c r="A104" s="43"/>
      <c r="B104" s="172"/>
      <c r="C104" s="173"/>
      <c r="D104" s="182" t="s">
        <v>92</v>
      </c>
      <c r="E104" s="171"/>
      <c r="F104" s="95">
        <v>1421029254699</v>
      </c>
      <c r="G104" s="103"/>
      <c r="H104" s="95">
        <v>1313993652471</v>
      </c>
      <c r="I104" s="103"/>
      <c r="L104" s="126">
        <f t="shared" si="13"/>
        <v>14210292546.99</v>
      </c>
      <c r="M104" s="126">
        <f t="shared" si="14"/>
        <v>0</v>
      </c>
      <c r="N104" s="126">
        <f t="shared" si="15"/>
        <v>13139936524.709999</v>
      </c>
      <c r="O104" s="126">
        <f t="shared" si="16"/>
        <v>0</v>
      </c>
      <c r="P104" s="126">
        <f t="shared" si="17"/>
        <v>1070356022.2800007</v>
      </c>
      <c r="Q104" s="126">
        <f t="shared" si="12"/>
        <v>0</v>
      </c>
    </row>
    <row r="105" spans="1:19" ht="30" customHeight="1" x14ac:dyDescent="0.3">
      <c r="A105" s="40"/>
      <c r="B105" s="172"/>
      <c r="C105" s="173"/>
      <c r="D105" s="182" t="s">
        <v>93</v>
      </c>
      <c r="E105" s="171"/>
      <c r="F105" s="100">
        <v>-254005070</v>
      </c>
      <c r="G105" s="105"/>
      <c r="H105" s="100">
        <v>-263344770</v>
      </c>
      <c r="I105" s="104"/>
      <c r="L105" s="126">
        <f t="shared" si="13"/>
        <v>-2540050.7000000002</v>
      </c>
      <c r="M105" s="126">
        <f t="shared" si="14"/>
        <v>0</v>
      </c>
      <c r="N105" s="126">
        <f t="shared" si="15"/>
        <v>-2633447.7000000002</v>
      </c>
      <c r="O105" s="126">
        <f t="shared" si="16"/>
        <v>0</v>
      </c>
      <c r="P105" s="126">
        <f t="shared" si="17"/>
        <v>93397</v>
      </c>
      <c r="Q105" s="126">
        <f t="shared" si="12"/>
        <v>0</v>
      </c>
    </row>
    <row r="106" spans="1:19" ht="30" customHeight="1" x14ac:dyDescent="0.3">
      <c r="A106" s="40"/>
      <c r="B106" s="172"/>
      <c r="C106" s="173"/>
      <c r="D106" s="182" t="s">
        <v>163</v>
      </c>
      <c r="E106" s="171"/>
      <c r="F106" s="134">
        <v>8560246150</v>
      </c>
      <c r="G106" s="104"/>
      <c r="H106" s="134">
        <v>12097703986</v>
      </c>
      <c r="I106" s="104"/>
      <c r="L106" s="126">
        <f t="shared" si="13"/>
        <v>85602461.5</v>
      </c>
      <c r="M106" s="126">
        <f t="shared" si="14"/>
        <v>0</v>
      </c>
      <c r="N106" s="126">
        <f t="shared" si="15"/>
        <v>120977039.86</v>
      </c>
      <c r="O106" s="126">
        <f t="shared" si="16"/>
        <v>0</v>
      </c>
      <c r="P106" s="126">
        <f t="shared" si="17"/>
        <v>-35374578.359999999</v>
      </c>
      <c r="Q106" s="126">
        <f t="shared" si="12"/>
        <v>0</v>
      </c>
    </row>
    <row r="107" spans="1:19" ht="30" customHeight="1" x14ac:dyDescent="0.3">
      <c r="A107" s="40"/>
      <c r="B107" s="172"/>
      <c r="C107" s="173"/>
      <c r="D107" s="182" t="s">
        <v>95</v>
      </c>
      <c r="E107" s="171"/>
      <c r="F107" s="134">
        <v>64554991410</v>
      </c>
      <c r="G107" s="89"/>
      <c r="H107" s="134">
        <v>59636557644</v>
      </c>
      <c r="I107" s="104"/>
      <c r="L107" s="126">
        <f t="shared" si="13"/>
        <v>645549914.10000002</v>
      </c>
      <c r="M107" s="126">
        <f t="shared" si="14"/>
        <v>0</v>
      </c>
      <c r="N107" s="126">
        <f t="shared" si="15"/>
        <v>596365576.44000006</v>
      </c>
      <c r="O107" s="126">
        <f t="shared" si="16"/>
        <v>0</v>
      </c>
      <c r="P107" s="126">
        <f t="shared" si="17"/>
        <v>49184337.659999967</v>
      </c>
      <c r="Q107" s="126">
        <f t="shared" ref="Q107:Q119" si="18">M107-O107</f>
        <v>0</v>
      </c>
    </row>
    <row r="108" spans="1:19" s="131" customFormat="1" ht="30" customHeight="1" x14ac:dyDescent="0.3">
      <c r="A108" s="87"/>
      <c r="B108" s="174"/>
      <c r="C108" s="175"/>
      <c r="D108" s="186" t="s">
        <v>160</v>
      </c>
      <c r="E108" s="176"/>
      <c r="F108" s="134">
        <v>962164843427</v>
      </c>
      <c r="G108" s="89"/>
      <c r="H108" s="134">
        <v>962276257292</v>
      </c>
      <c r="I108" s="89"/>
      <c r="L108" s="126">
        <f t="shared" ref="L108:L118" si="19">F108/100</f>
        <v>9621648434.2700005</v>
      </c>
      <c r="M108" s="126">
        <f t="shared" ref="M108:M118" si="20">G108/100</f>
        <v>0</v>
      </c>
      <c r="N108" s="126">
        <f t="shared" ref="N108:N118" si="21">H108/100</f>
        <v>9622762572.9200001</v>
      </c>
      <c r="O108" s="126">
        <f t="shared" ref="O108:O118" si="22">I108/100</f>
        <v>0</v>
      </c>
      <c r="P108" s="126">
        <f t="shared" ref="P108:P119" si="23">L108-N108</f>
        <v>-1114138.6499996185</v>
      </c>
      <c r="Q108" s="126">
        <f t="shared" si="18"/>
        <v>0</v>
      </c>
    </row>
    <row r="109" spans="1:19" s="131" customFormat="1" ht="30" customHeight="1" thickBot="1" x14ac:dyDescent="0.35">
      <c r="A109" s="90" t="s">
        <v>58</v>
      </c>
      <c r="B109" s="284" t="s">
        <v>164</v>
      </c>
      <c r="C109" s="284"/>
      <c r="D109" s="284"/>
      <c r="E109" s="187"/>
      <c r="F109" s="154"/>
      <c r="G109" s="91">
        <v>7347323605228</v>
      </c>
      <c r="H109" s="154"/>
      <c r="I109" s="91">
        <v>6832164397958</v>
      </c>
      <c r="L109" s="126">
        <f t="shared" si="19"/>
        <v>0</v>
      </c>
      <c r="M109" s="125">
        <f t="shared" si="20"/>
        <v>73473236052.279999</v>
      </c>
      <c r="N109" s="126">
        <f t="shared" si="21"/>
        <v>0</v>
      </c>
      <c r="O109" s="125">
        <f t="shared" si="22"/>
        <v>68321643979.580002</v>
      </c>
      <c r="P109" s="126">
        <f t="shared" si="23"/>
        <v>0</v>
      </c>
      <c r="Q109" s="125">
        <f t="shared" si="18"/>
        <v>5151592072.6999969</v>
      </c>
    </row>
    <row r="110" spans="1:19" s="131" customFormat="1" ht="30" customHeight="1" thickTop="1" x14ac:dyDescent="0.3">
      <c r="A110" s="279" t="s">
        <v>20</v>
      </c>
      <c r="B110" s="280"/>
      <c r="C110" s="280"/>
      <c r="D110" s="280"/>
      <c r="E110" s="188"/>
      <c r="F110" s="92"/>
      <c r="G110" s="93"/>
      <c r="H110" s="92"/>
      <c r="I110" s="93"/>
      <c r="L110" s="126">
        <f t="shared" si="19"/>
        <v>0</v>
      </c>
      <c r="M110" s="126">
        <f t="shared" si="20"/>
        <v>0</v>
      </c>
      <c r="N110" s="126">
        <f t="shared" si="21"/>
        <v>0</v>
      </c>
      <c r="O110" s="126">
        <f t="shared" si="22"/>
        <v>0</v>
      </c>
      <c r="P110" s="126">
        <f t="shared" si="23"/>
        <v>0</v>
      </c>
      <c r="Q110" s="126">
        <f t="shared" si="18"/>
        <v>0</v>
      </c>
      <c r="S110" s="118"/>
    </row>
    <row r="111" spans="1:19" s="131" customFormat="1" ht="30" customHeight="1" x14ac:dyDescent="0.3">
      <c r="A111" s="94" t="s">
        <v>54</v>
      </c>
      <c r="B111" s="288" t="s">
        <v>29</v>
      </c>
      <c r="C111" s="288"/>
      <c r="D111" s="288"/>
      <c r="E111" s="189"/>
      <c r="F111" s="92"/>
      <c r="G111" s="111">
        <v>24175250854094</v>
      </c>
      <c r="H111" s="92"/>
      <c r="I111" s="111">
        <v>23829918901094</v>
      </c>
      <c r="L111" s="126">
        <f t="shared" si="19"/>
        <v>0</v>
      </c>
      <c r="M111" s="133">
        <f t="shared" si="20"/>
        <v>241752508540.94</v>
      </c>
      <c r="N111" s="126">
        <f t="shared" si="21"/>
        <v>0</v>
      </c>
      <c r="O111" s="133">
        <f t="shared" si="22"/>
        <v>238299189010.94</v>
      </c>
      <c r="P111" s="126">
        <f t="shared" si="23"/>
        <v>0</v>
      </c>
      <c r="Q111" s="133">
        <f t="shared" si="18"/>
        <v>3453319530</v>
      </c>
    </row>
    <row r="112" spans="1:19" s="131" customFormat="1" ht="30" customHeight="1" x14ac:dyDescent="0.3">
      <c r="A112" s="87"/>
      <c r="B112" s="174"/>
      <c r="C112" s="175"/>
      <c r="D112" s="186" t="s">
        <v>50</v>
      </c>
      <c r="E112" s="189"/>
      <c r="F112" s="95">
        <v>24173444187754</v>
      </c>
      <c r="G112" s="93"/>
      <c r="H112" s="95">
        <v>23828112234754</v>
      </c>
      <c r="I112" s="93"/>
      <c r="L112" s="126">
        <f t="shared" si="19"/>
        <v>241734441877.54001</v>
      </c>
      <c r="M112" s="126">
        <f t="shared" si="20"/>
        <v>0</v>
      </c>
      <c r="N112" s="126">
        <f t="shared" si="21"/>
        <v>238281122347.54001</v>
      </c>
      <c r="O112" s="126">
        <f t="shared" si="22"/>
        <v>0</v>
      </c>
      <c r="P112" s="126">
        <f t="shared" si="23"/>
        <v>3453319530</v>
      </c>
      <c r="Q112" s="126">
        <f t="shared" si="18"/>
        <v>0</v>
      </c>
    </row>
    <row r="113" spans="1:18" s="131" customFormat="1" ht="30" customHeight="1" x14ac:dyDescent="0.3">
      <c r="A113" s="87"/>
      <c r="B113" s="174"/>
      <c r="C113" s="175"/>
      <c r="D113" s="186" t="s">
        <v>172</v>
      </c>
      <c r="E113" s="189"/>
      <c r="F113" s="96">
        <v>1806666340</v>
      </c>
      <c r="G113" s="93"/>
      <c r="H113" s="96">
        <v>1806666340</v>
      </c>
      <c r="I113" s="93"/>
      <c r="L113" s="126">
        <f t="shared" si="19"/>
        <v>18066663.399999999</v>
      </c>
      <c r="M113" s="126">
        <f t="shared" si="20"/>
        <v>0</v>
      </c>
      <c r="N113" s="126">
        <f t="shared" si="21"/>
        <v>18066663.399999999</v>
      </c>
      <c r="O113" s="126">
        <f t="shared" si="22"/>
        <v>0</v>
      </c>
      <c r="P113" s="126">
        <f t="shared" si="23"/>
        <v>0</v>
      </c>
      <c r="Q113" s="126">
        <f t="shared" si="18"/>
        <v>0</v>
      </c>
    </row>
    <row r="114" spans="1:18" s="131" customFormat="1" ht="30" customHeight="1" x14ac:dyDescent="0.3">
      <c r="A114" s="94" t="s">
        <v>46</v>
      </c>
      <c r="B114" s="288" t="s">
        <v>90</v>
      </c>
      <c r="C114" s="288"/>
      <c r="D114" s="288"/>
      <c r="E114" s="189"/>
      <c r="F114" s="97"/>
      <c r="G114" s="112">
        <v>3203199112741</v>
      </c>
      <c r="H114" s="97"/>
      <c r="I114" s="112">
        <v>3203545469685</v>
      </c>
      <c r="L114" s="126">
        <f t="shared" si="19"/>
        <v>0</v>
      </c>
      <c r="M114" s="126">
        <f t="shared" si="20"/>
        <v>32031991127.41</v>
      </c>
      <c r="N114" s="126">
        <f t="shared" si="21"/>
        <v>0</v>
      </c>
      <c r="O114" s="126">
        <f t="shared" si="22"/>
        <v>32035454696.849998</v>
      </c>
      <c r="P114" s="126">
        <f t="shared" si="23"/>
        <v>0</v>
      </c>
      <c r="Q114" s="126">
        <f t="shared" si="18"/>
        <v>-3463569.4399986267</v>
      </c>
    </row>
    <row r="115" spans="1:18" s="131" customFormat="1" ht="30" customHeight="1" x14ac:dyDescent="0.3">
      <c r="A115" s="87"/>
      <c r="B115" s="174"/>
      <c r="C115" s="175"/>
      <c r="D115" s="186" t="s">
        <v>81</v>
      </c>
      <c r="E115" s="189"/>
      <c r="F115" s="95">
        <v>147142120</v>
      </c>
      <c r="G115" s="98"/>
      <c r="H115" s="95">
        <v>122713500</v>
      </c>
      <c r="I115" s="98"/>
      <c r="L115" s="126">
        <f t="shared" si="19"/>
        <v>1471421.2</v>
      </c>
      <c r="M115" s="126">
        <f t="shared" si="20"/>
        <v>0</v>
      </c>
      <c r="N115" s="126">
        <f t="shared" si="21"/>
        <v>1227135</v>
      </c>
      <c r="O115" s="126">
        <f t="shared" si="22"/>
        <v>0</v>
      </c>
      <c r="P115" s="126">
        <f t="shared" si="23"/>
        <v>244286.19999999995</v>
      </c>
      <c r="Q115" s="126">
        <f t="shared" si="18"/>
        <v>0</v>
      </c>
    </row>
    <row r="116" spans="1:18" s="131" customFormat="1" ht="30" customHeight="1" x14ac:dyDescent="0.3">
      <c r="A116" s="87"/>
      <c r="B116" s="174"/>
      <c r="C116" s="175"/>
      <c r="D116" s="186" t="s">
        <v>178</v>
      </c>
      <c r="E116" s="189"/>
      <c r="F116" s="95">
        <v>3203050929015</v>
      </c>
      <c r="G116" s="98"/>
      <c r="H116" s="134">
        <v>3203421826251</v>
      </c>
      <c r="I116" s="98"/>
      <c r="L116" s="126">
        <f t="shared" si="19"/>
        <v>32030509290.150002</v>
      </c>
      <c r="M116" s="126">
        <f t="shared" si="20"/>
        <v>0</v>
      </c>
      <c r="N116" s="126">
        <f t="shared" si="21"/>
        <v>32034218262.509998</v>
      </c>
      <c r="O116" s="126">
        <f t="shared" si="22"/>
        <v>0</v>
      </c>
      <c r="P116" s="126">
        <f t="shared" si="23"/>
        <v>-3708972.3599967957</v>
      </c>
      <c r="Q116" s="126">
        <f t="shared" si="18"/>
        <v>0</v>
      </c>
    </row>
    <row r="117" spans="1:18" ht="30" customHeight="1" x14ac:dyDescent="0.3">
      <c r="A117" s="40"/>
      <c r="B117" s="175"/>
      <c r="C117" s="190"/>
      <c r="D117" s="186" t="s">
        <v>256</v>
      </c>
      <c r="E117" s="191"/>
      <c r="F117" s="130">
        <v>1041606</v>
      </c>
      <c r="G117" s="106"/>
      <c r="H117" s="130">
        <v>929934</v>
      </c>
      <c r="I117" s="106"/>
      <c r="K117" s="129"/>
      <c r="L117" s="126">
        <f t="shared" si="19"/>
        <v>10416.06</v>
      </c>
      <c r="M117" s="126">
        <f t="shared" si="20"/>
        <v>0</v>
      </c>
      <c r="N117" s="126">
        <f t="shared" si="21"/>
        <v>9299.34</v>
      </c>
      <c r="O117" s="126">
        <f t="shared" si="22"/>
        <v>0</v>
      </c>
      <c r="P117" s="126">
        <f t="shared" si="23"/>
        <v>1116.7199999999993</v>
      </c>
      <c r="Q117" s="126">
        <f t="shared" si="18"/>
        <v>0</v>
      </c>
    </row>
    <row r="118" spans="1:18" ht="30" customHeight="1" x14ac:dyDescent="0.3">
      <c r="A118" s="43" t="s">
        <v>309</v>
      </c>
      <c r="B118" s="277" t="s">
        <v>49</v>
      </c>
      <c r="C118" s="277"/>
      <c r="D118" s="277"/>
      <c r="E118" s="170"/>
      <c r="F118" s="42"/>
      <c r="G118" s="41">
        <v>-18922180361282</v>
      </c>
      <c r="H118" s="42"/>
      <c r="I118" s="41">
        <v>-18198053515618</v>
      </c>
      <c r="K118" s="118"/>
      <c r="L118" s="126">
        <f t="shared" si="19"/>
        <v>0</v>
      </c>
      <c r="M118" s="128">
        <f t="shared" si="20"/>
        <v>-189221803612.82001</v>
      </c>
      <c r="N118" s="126">
        <f t="shared" si="21"/>
        <v>0</v>
      </c>
      <c r="O118" s="128">
        <f t="shared" si="22"/>
        <v>-181980535156.17999</v>
      </c>
      <c r="P118" s="126">
        <f t="shared" si="23"/>
        <v>0</v>
      </c>
      <c r="Q118" s="128">
        <f t="shared" si="18"/>
        <v>-7241268456.6400146</v>
      </c>
      <c r="R118" s="127"/>
    </row>
    <row r="119" spans="1:18" ht="30" customHeight="1" x14ac:dyDescent="0.3">
      <c r="A119" s="40"/>
      <c r="B119" s="172"/>
      <c r="C119" s="173"/>
      <c r="D119" s="182" t="s">
        <v>171</v>
      </c>
      <c r="E119" s="170"/>
      <c r="F119" s="39">
        <v>-18922180361282</v>
      </c>
      <c r="G119" s="38"/>
      <c r="H119" s="39">
        <v>-18198053515618</v>
      </c>
      <c r="I119" s="38"/>
      <c r="K119" s="119"/>
      <c r="L119" s="126">
        <f>F119/100</f>
        <v>-189221803612.82001</v>
      </c>
      <c r="N119" s="126">
        <f>H119/100</f>
        <v>-181980535156.17999</v>
      </c>
      <c r="P119" s="126">
        <f t="shared" si="23"/>
        <v>-7241268456.6400146</v>
      </c>
      <c r="Q119" s="126">
        <f t="shared" si="18"/>
        <v>0</v>
      </c>
    </row>
    <row r="120" spans="1:18" ht="30" customHeight="1" thickBot="1" x14ac:dyDescent="0.35">
      <c r="A120" s="37" t="s">
        <v>58</v>
      </c>
      <c r="B120" s="278" t="s">
        <v>179</v>
      </c>
      <c r="C120" s="278"/>
      <c r="D120" s="278"/>
      <c r="E120" s="183"/>
      <c r="F120" s="42"/>
      <c r="G120" s="36">
        <v>8456269605553</v>
      </c>
      <c r="H120" s="42"/>
      <c r="I120" s="36">
        <v>8835410855161</v>
      </c>
      <c r="L120" s="126">
        <f>F120/100</f>
        <v>0</v>
      </c>
      <c r="M120" s="125">
        <f>G120/100</f>
        <v>84562696055.529999</v>
      </c>
      <c r="N120" s="126">
        <f>H120/100</f>
        <v>0</v>
      </c>
      <c r="O120" s="125">
        <f>I120/100</f>
        <v>88354108551.610001</v>
      </c>
      <c r="P120" s="126" t="e">
        <f>#REF!/100</f>
        <v>#REF!</v>
      </c>
      <c r="Q120" s="125" t="e">
        <f>#REF!/100</f>
        <v>#REF!</v>
      </c>
    </row>
    <row r="121" spans="1:18" ht="30" customHeight="1" thickTop="1" thickBot="1" x14ac:dyDescent="0.35">
      <c r="A121" s="35" t="s">
        <v>58</v>
      </c>
      <c r="B121" s="287" t="s">
        <v>158</v>
      </c>
      <c r="C121" s="287"/>
      <c r="D121" s="287"/>
      <c r="E121" s="34"/>
      <c r="F121" s="192"/>
      <c r="G121" s="33">
        <v>15803593210781</v>
      </c>
      <c r="H121" s="192"/>
      <c r="I121" s="33">
        <v>15667575253119</v>
      </c>
      <c r="L121" s="126">
        <f>F121/100</f>
        <v>0</v>
      </c>
      <c r="M121" s="125">
        <f>G121/100</f>
        <v>158035932107.81</v>
      </c>
      <c r="N121" s="126">
        <f>H121/100</f>
        <v>0</v>
      </c>
      <c r="O121" s="125">
        <f>I121/100</f>
        <v>156675752531.19</v>
      </c>
      <c r="P121" s="126" t="e">
        <f>#REF!/100</f>
        <v>#REF!</v>
      </c>
      <c r="Q121" s="125" t="e">
        <f>#REF!/100</f>
        <v>#REF!</v>
      </c>
    </row>
    <row r="122" spans="1:18" ht="18.75" x14ac:dyDescent="0.3">
      <c r="A122" s="31"/>
      <c r="B122" s="25"/>
      <c r="C122" s="30"/>
      <c r="D122" s="29"/>
      <c r="E122" s="27"/>
      <c r="F122" s="28"/>
      <c r="G122" s="27"/>
    </row>
    <row r="123" spans="1:18" hidden="1" x14ac:dyDescent="0.25">
      <c r="A123" s="23"/>
      <c r="B123" s="23"/>
      <c r="C123" s="24"/>
      <c r="D123" s="23"/>
      <c r="E123" s="22"/>
      <c r="F123" s="22"/>
      <c r="G123" s="113" t="b">
        <f>G82=G121</f>
        <v>1</v>
      </c>
      <c r="H123" s="123"/>
      <c r="I123" s="113" t="b">
        <f>I82=I121</f>
        <v>1</v>
      </c>
      <c r="J123" s="123"/>
      <c r="K123" s="124"/>
    </row>
    <row r="124" spans="1:18" ht="18.75" hidden="1" x14ac:dyDescent="0.25">
      <c r="A124" s="23"/>
      <c r="B124" s="23"/>
      <c r="C124" s="24"/>
      <c r="D124" s="26"/>
      <c r="E124" s="22"/>
      <c r="F124" s="22"/>
      <c r="G124" s="114"/>
      <c r="H124" s="123"/>
      <c r="I124" s="123"/>
      <c r="J124" s="123"/>
    </row>
    <row r="125" spans="1:18" ht="18.75" hidden="1" x14ac:dyDescent="0.25">
      <c r="A125" s="23"/>
      <c r="B125" s="23"/>
      <c r="C125" s="24"/>
      <c r="D125" s="23"/>
      <c r="E125" s="22"/>
      <c r="F125" s="22"/>
      <c r="G125" s="114">
        <f>G82-G121</f>
        <v>0</v>
      </c>
      <c r="H125" s="123"/>
      <c r="I125" s="123"/>
      <c r="J125" s="123"/>
    </row>
    <row r="126" spans="1:18" ht="18.75" hidden="1" x14ac:dyDescent="0.25">
      <c r="A126" s="23"/>
      <c r="B126" s="23"/>
      <c r="C126" s="24"/>
      <c r="D126" s="23"/>
      <c r="E126" s="22"/>
      <c r="F126" s="22"/>
      <c r="G126" s="115" t="b">
        <f>G82=G121</f>
        <v>1</v>
      </c>
      <c r="H126" s="123"/>
      <c r="I126" s="123" t="b">
        <f>I82=I121</f>
        <v>1</v>
      </c>
      <c r="J126" s="123"/>
    </row>
    <row r="127" spans="1:18" ht="18.75" hidden="1" x14ac:dyDescent="0.25">
      <c r="A127" s="23"/>
      <c r="B127" s="23"/>
      <c r="C127" s="24"/>
      <c r="D127" s="23"/>
      <c r="E127" s="22"/>
      <c r="F127" s="22"/>
      <c r="G127" s="115"/>
      <c r="H127" s="123"/>
      <c r="I127" s="123"/>
      <c r="J127" s="123"/>
    </row>
    <row r="128" spans="1:18" ht="18.75" hidden="1" x14ac:dyDescent="0.25">
      <c r="A128" s="23"/>
      <c r="B128" s="23"/>
      <c r="C128" s="24"/>
      <c r="D128" s="23"/>
      <c r="E128" s="22"/>
      <c r="F128" s="22"/>
      <c r="G128" s="114">
        <f>G82-G121</f>
        <v>0</v>
      </c>
    </row>
    <row r="129" spans="1:7" ht="18.75" hidden="1" x14ac:dyDescent="0.25">
      <c r="A129" s="23"/>
      <c r="B129" s="23"/>
      <c r="C129" s="24"/>
      <c r="D129" s="23"/>
      <c r="E129" s="22"/>
      <c r="F129" s="22"/>
      <c r="G129" s="22"/>
    </row>
    <row r="130" spans="1:7" ht="18.75" hidden="1" x14ac:dyDescent="0.25">
      <c r="A130" s="23"/>
      <c r="B130" s="23"/>
      <c r="C130" s="24"/>
      <c r="D130" s="23"/>
      <c r="E130" s="22"/>
      <c r="F130" s="22"/>
      <c r="G130" s="22"/>
    </row>
    <row r="131" spans="1:7" ht="18.75" hidden="1" x14ac:dyDescent="0.25">
      <c r="A131" s="23"/>
      <c r="B131" s="23"/>
      <c r="C131" s="24"/>
      <c r="D131" s="23"/>
      <c r="E131" s="22"/>
      <c r="F131" s="22"/>
      <c r="G131" s="22"/>
    </row>
    <row r="132" spans="1:7" ht="18.75" hidden="1" x14ac:dyDescent="0.25">
      <c r="A132" s="25"/>
      <c r="B132" s="23"/>
      <c r="C132" s="24"/>
      <c r="D132" s="23"/>
      <c r="E132" s="22"/>
      <c r="F132" s="22"/>
      <c r="G132" s="22"/>
    </row>
    <row r="133" spans="1:7" ht="18.75" x14ac:dyDescent="0.25">
      <c r="A133" s="25"/>
      <c r="B133" s="23"/>
      <c r="C133" s="24"/>
      <c r="D133" s="23"/>
      <c r="E133" s="22"/>
      <c r="F133" s="22"/>
      <c r="G133" s="22"/>
    </row>
    <row r="134" spans="1:7" ht="18.75" x14ac:dyDescent="0.25">
      <c r="A134" s="25"/>
      <c r="B134" s="23"/>
      <c r="C134" s="24"/>
      <c r="D134" s="23"/>
      <c r="E134" s="22"/>
      <c r="F134" s="22"/>
      <c r="G134" s="22"/>
    </row>
    <row r="135" spans="1:7" ht="18.75" x14ac:dyDescent="0.25">
      <c r="A135" s="25"/>
      <c r="B135" s="23"/>
      <c r="C135" s="24"/>
      <c r="D135" s="23"/>
      <c r="E135" s="22"/>
      <c r="F135" s="22"/>
      <c r="G135" s="22"/>
    </row>
    <row r="136" spans="1:7" ht="18.75" x14ac:dyDescent="0.25">
      <c r="A136" s="25"/>
      <c r="B136" s="23"/>
      <c r="C136" s="24"/>
      <c r="D136" s="23"/>
      <c r="E136" s="22"/>
      <c r="F136" s="22"/>
      <c r="G136" s="22"/>
    </row>
    <row r="137" spans="1:7" ht="18.75" x14ac:dyDescent="0.25">
      <c r="A137" s="25"/>
      <c r="B137" s="23"/>
      <c r="C137" s="24"/>
      <c r="D137" s="23"/>
      <c r="E137" s="22"/>
      <c r="F137" s="22"/>
      <c r="G137" s="22"/>
    </row>
    <row r="138" spans="1:7" ht="18.75" x14ac:dyDescent="0.25">
      <c r="A138" s="25"/>
      <c r="B138" s="23"/>
      <c r="C138" s="24"/>
      <c r="D138" s="23"/>
      <c r="E138" s="22"/>
      <c r="F138" s="22"/>
      <c r="G138" s="22"/>
    </row>
    <row r="139" spans="1:7" ht="18.75" x14ac:dyDescent="0.25">
      <c r="A139" s="25"/>
      <c r="B139" s="23"/>
      <c r="C139" s="24"/>
      <c r="D139" s="23"/>
      <c r="E139" s="22"/>
      <c r="F139" s="22"/>
      <c r="G139" s="22"/>
    </row>
    <row r="140" spans="1:7" ht="18.75" x14ac:dyDescent="0.25">
      <c r="A140" s="25"/>
      <c r="B140" s="23"/>
      <c r="C140" s="24"/>
      <c r="D140" s="23"/>
      <c r="E140" s="22"/>
      <c r="F140" s="22"/>
      <c r="G140" s="22"/>
    </row>
    <row r="141" spans="1:7" ht="18.75" x14ac:dyDescent="0.25">
      <c r="A141" s="25"/>
      <c r="B141" s="23"/>
      <c r="C141" s="24"/>
      <c r="D141" s="23"/>
      <c r="E141" s="22"/>
      <c r="F141" s="22"/>
      <c r="G141" s="22"/>
    </row>
    <row r="142" spans="1:7" ht="18.75" x14ac:dyDescent="0.25">
      <c r="A142" s="25"/>
      <c r="B142" s="23"/>
      <c r="C142" s="24"/>
      <c r="D142" s="23"/>
      <c r="E142" s="22"/>
      <c r="F142" s="22"/>
      <c r="G142" s="22"/>
    </row>
    <row r="143" spans="1:7" ht="18.75" x14ac:dyDescent="0.25">
      <c r="A143" s="25"/>
      <c r="B143" s="23"/>
      <c r="C143" s="24"/>
      <c r="D143" s="23"/>
      <c r="E143" s="22"/>
      <c r="F143" s="22"/>
      <c r="G143" s="22"/>
    </row>
    <row r="144" spans="1:7" ht="18.75" x14ac:dyDescent="0.25">
      <c r="A144" s="25"/>
      <c r="B144" s="23"/>
      <c r="C144" s="24"/>
      <c r="D144" s="23"/>
      <c r="E144" s="22"/>
      <c r="F144" s="22"/>
      <c r="G144" s="22"/>
    </row>
    <row r="145" spans="1:7" ht="18.75" x14ac:dyDescent="0.25">
      <c r="A145" s="25"/>
      <c r="B145" s="23"/>
      <c r="C145" s="24"/>
      <c r="D145" s="23"/>
      <c r="E145" s="22"/>
      <c r="F145" s="22"/>
      <c r="G145" s="22"/>
    </row>
    <row r="146" spans="1:7" ht="18.75" x14ac:dyDescent="0.25">
      <c r="A146" s="25"/>
      <c r="B146" s="23"/>
      <c r="C146" s="24"/>
      <c r="D146" s="23"/>
      <c r="E146" s="22"/>
      <c r="F146" s="22"/>
      <c r="G146" s="22"/>
    </row>
    <row r="147" spans="1:7" ht="18.75" x14ac:dyDescent="0.25">
      <c r="A147" s="25"/>
      <c r="B147" s="23"/>
      <c r="C147" s="24"/>
      <c r="D147" s="23"/>
      <c r="E147" s="22"/>
      <c r="F147" s="22"/>
      <c r="G147" s="22"/>
    </row>
    <row r="148" spans="1:7" ht="18.75" x14ac:dyDescent="0.25">
      <c r="A148" s="25"/>
      <c r="B148" s="23"/>
      <c r="C148" s="24"/>
      <c r="D148" s="23"/>
      <c r="E148" s="22"/>
      <c r="F148" s="22"/>
      <c r="G148" s="22"/>
    </row>
    <row r="149" spans="1:7" ht="18.75" x14ac:dyDescent="0.25">
      <c r="A149" s="25"/>
      <c r="B149" s="23"/>
      <c r="C149" s="24"/>
      <c r="D149" s="23"/>
      <c r="E149" s="22"/>
      <c r="F149" s="22"/>
      <c r="G149" s="22"/>
    </row>
    <row r="150" spans="1:7" ht="18.75" x14ac:dyDescent="0.25">
      <c r="A150" s="25"/>
      <c r="B150" s="23"/>
      <c r="C150" s="24"/>
      <c r="D150" s="23"/>
      <c r="E150" s="22"/>
      <c r="F150" s="22"/>
      <c r="G150" s="22"/>
    </row>
    <row r="151" spans="1:7" ht="18.75" x14ac:dyDescent="0.25">
      <c r="A151" s="25"/>
      <c r="B151" s="23"/>
      <c r="C151" s="24"/>
      <c r="D151" s="23"/>
      <c r="E151" s="22"/>
      <c r="F151" s="22"/>
      <c r="G151" s="22"/>
    </row>
    <row r="152" spans="1:7" ht="18.75" x14ac:dyDescent="0.25">
      <c r="A152" s="25"/>
      <c r="B152" s="23"/>
      <c r="C152" s="24"/>
      <c r="D152" s="23"/>
      <c r="E152" s="22"/>
      <c r="F152" s="22"/>
      <c r="G152" s="22"/>
    </row>
    <row r="153" spans="1:7" ht="18.75" x14ac:dyDescent="0.25">
      <c r="A153" s="25"/>
      <c r="B153" s="23"/>
      <c r="C153" s="24"/>
      <c r="D153" s="23"/>
      <c r="E153" s="22"/>
      <c r="F153" s="22"/>
      <c r="G153" s="22"/>
    </row>
    <row r="154" spans="1:7" ht="18.75" x14ac:dyDescent="0.25">
      <c r="A154" s="25"/>
      <c r="B154" s="23"/>
      <c r="C154" s="24"/>
      <c r="D154" s="23"/>
      <c r="E154" s="22"/>
      <c r="F154" s="22"/>
      <c r="G154" s="22"/>
    </row>
    <row r="155" spans="1:7" ht="18.75" x14ac:dyDescent="0.25">
      <c r="A155" s="25"/>
      <c r="B155" s="23"/>
      <c r="C155" s="24"/>
      <c r="D155" s="23"/>
      <c r="E155" s="22"/>
      <c r="F155" s="22"/>
      <c r="G155" s="22"/>
    </row>
    <row r="156" spans="1:7" ht="18.75" x14ac:dyDescent="0.25">
      <c r="A156" s="25"/>
      <c r="B156" s="23"/>
      <c r="C156" s="24"/>
      <c r="D156" s="23"/>
      <c r="E156" s="22"/>
      <c r="F156" s="22"/>
      <c r="G156" s="22"/>
    </row>
    <row r="157" spans="1:7" ht="18.75" x14ac:dyDescent="0.25">
      <c r="A157" s="25"/>
      <c r="B157" s="23"/>
      <c r="C157" s="24"/>
      <c r="D157" s="23"/>
      <c r="E157" s="22"/>
      <c r="F157" s="22"/>
      <c r="G157" s="22"/>
    </row>
    <row r="158" spans="1:7" ht="18.75" x14ac:dyDescent="0.25">
      <c r="A158" s="25"/>
      <c r="B158" s="23"/>
      <c r="C158" s="24"/>
      <c r="D158" s="23"/>
      <c r="E158" s="22"/>
      <c r="F158" s="22"/>
      <c r="G158" s="22"/>
    </row>
    <row r="159" spans="1:7" ht="18.75" x14ac:dyDescent="0.25">
      <c r="A159" s="25"/>
      <c r="B159" s="23"/>
      <c r="C159" s="24"/>
      <c r="D159" s="23"/>
      <c r="E159" s="22"/>
      <c r="F159" s="22"/>
      <c r="G159" s="22"/>
    </row>
    <row r="160" spans="1:7" ht="18.75" x14ac:dyDescent="0.25">
      <c r="A160" s="25"/>
      <c r="B160" s="23"/>
      <c r="C160" s="24"/>
      <c r="D160" s="23"/>
      <c r="E160" s="22"/>
      <c r="F160" s="22"/>
      <c r="G160" s="22"/>
    </row>
    <row r="161" spans="1:7" ht="18.75" x14ac:dyDescent="0.25">
      <c r="A161" s="25"/>
      <c r="B161" s="23"/>
      <c r="C161" s="24"/>
      <c r="D161" s="23"/>
      <c r="E161" s="22"/>
      <c r="F161" s="22"/>
      <c r="G161" s="22"/>
    </row>
    <row r="162" spans="1:7" ht="18.75" x14ac:dyDescent="0.25">
      <c r="A162" s="25"/>
      <c r="B162" s="23"/>
      <c r="C162" s="24"/>
      <c r="D162" s="23"/>
      <c r="E162" s="22"/>
      <c r="F162" s="22"/>
      <c r="G162" s="22"/>
    </row>
    <row r="163" spans="1:7" ht="18.75" x14ac:dyDescent="0.25">
      <c r="A163" s="25"/>
      <c r="B163" s="23"/>
      <c r="C163" s="24"/>
      <c r="D163" s="23"/>
      <c r="E163" s="22"/>
      <c r="F163" s="22"/>
      <c r="G163" s="22"/>
    </row>
    <row r="164" spans="1:7" ht="18.75" x14ac:dyDescent="0.25">
      <c r="A164" s="25"/>
      <c r="B164" s="23"/>
      <c r="C164" s="24"/>
      <c r="D164" s="23"/>
      <c r="E164" s="22"/>
      <c r="F164" s="22"/>
      <c r="G164" s="22"/>
    </row>
    <row r="165" spans="1:7" ht="18.75" x14ac:dyDescent="0.25">
      <c r="A165" s="25"/>
      <c r="B165" s="23"/>
      <c r="C165" s="24"/>
      <c r="D165" s="23"/>
      <c r="E165" s="22"/>
      <c r="F165" s="22"/>
      <c r="G165" s="22"/>
    </row>
    <row r="166" spans="1:7" ht="18.75" x14ac:dyDescent="0.25">
      <c r="A166" s="25"/>
      <c r="B166" s="23"/>
      <c r="C166" s="24"/>
      <c r="D166" s="23"/>
      <c r="E166" s="22"/>
      <c r="F166" s="22"/>
      <c r="G166" s="22"/>
    </row>
    <row r="167" spans="1:7" ht="18.75" x14ac:dyDescent="0.25">
      <c r="A167" s="25"/>
      <c r="B167" s="23"/>
      <c r="C167" s="24"/>
      <c r="D167" s="23"/>
      <c r="E167" s="22"/>
      <c r="F167" s="22"/>
      <c r="G167" s="22"/>
    </row>
    <row r="168" spans="1:7" ht="18.75" x14ac:dyDescent="0.25">
      <c r="A168" s="25"/>
      <c r="B168" s="23"/>
      <c r="C168" s="24"/>
      <c r="D168" s="23"/>
      <c r="E168" s="22"/>
      <c r="F168" s="22"/>
      <c r="G168" s="22"/>
    </row>
    <row r="169" spans="1:7" ht="18.75" x14ac:dyDescent="0.25">
      <c r="A169" s="25"/>
      <c r="B169" s="23"/>
      <c r="C169" s="24"/>
      <c r="D169" s="23"/>
      <c r="E169" s="22"/>
      <c r="F169" s="22"/>
      <c r="G169" s="22"/>
    </row>
    <row r="170" spans="1:7" ht="18.75" x14ac:dyDescent="0.25">
      <c r="A170" s="25"/>
      <c r="B170" s="23"/>
      <c r="C170" s="24"/>
      <c r="D170" s="23"/>
      <c r="E170" s="22"/>
      <c r="F170" s="22"/>
      <c r="G170" s="22"/>
    </row>
    <row r="171" spans="1:7" ht="18.75" x14ac:dyDescent="0.25">
      <c r="A171" s="25"/>
      <c r="B171" s="23"/>
      <c r="C171" s="24"/>
      <c r="D171" s="23"/>
      <c r="E171" s="22"/>
      <c r="F171" s="22"/>
      <c r="G171" s="22"/>
    </row>
    <row r="172" spans="1:7" ht="18.75" x14ac:dyDescent="0.25">
      <c r="A172" s="25"/>
      <c r="B172" s="23"/>
      <c r="C172" s="24"/>
      <c r="D172" s="23"/>
      <c r="E172" s="22"/>
      <c r="F172" s="22"/>
      <c r="G172" s="22"/>
    </row>
    <row r="173" spans="1:7" ht="18.75" x14ac:dyDescent="0.25">
      <c r="A173" s="25"/>
      <c r="B173" s="23"/>
      <c r="C173" s="24"/>
      <c r="D173" s="23"/>
      <c r="E173" s="22"/>
      <c r="F173" s="22"/>
      <c r="G173" s="22"/>
    </row>
    <row r="174" spans="1:7" ht="18.75" x14ac:dyDescent="0.25">
      <c r="A174" s="25"/>
      <c r="B174" s="23"/>
      <c r="C174" s="24"/>
      <c r="D174" s="23"/>
      <c r="E174" s="22"/>
      <c r="F174" s="22"/>
      <c r="G174" s="22"/>
    </row>
    <row r="175" spans="1:7" ht="18.75" x14ac:dyDescent="0.25">
      <c r="A175" s="25"/>
      <c r="B175" s="23"/>
      <c r="C175" s="24"/>
      <c r="D175" s="23"/>
      <c r="E175" s="22"/>
      <c r="F175" s="22"/>
      <c r="G175" s="22"/>
    </row>
    <row r="176" spans="1:7" ht="18.75" x14ac:dyDescent="0.25">
      <c r="A176" s="25"/>
      <c r="B176" s="23"/>
      <c r="C176" s="24"/>
      <c r="D176" s="23"/>
      <c r="E176" s="22"/>
      <c r="F176" s="22"/>
      <c r="G176" s="22"/>
    </row>
    <row r="177" spans="1:7" ht="18.75" x14ac:dyDescent="0.25">
      <c r="A177" s="25"/>
      <c r="B177" s="23"/>
      <c r="C177" s="24"/>
      <c r="D177" s="23"/>
      <c r="E177" s="22"/>
      <c r="F177" s="22"/>
      <c r="G177" s="22"/>
    </row>
    <row r="178" spans="1:7" ht="18.75" x14ac:dyDescent="0.25">
      <c r="A178" s="25"/>
      <c r="B178" s="23"/>
      <c r="C178" s="24"/>
      <c r="D178" s="23"/>
      <c r="E178" s="22"/>
      <c r="F178" s="22"/>
      <c r="G178" s="22"/>
    </row>
    <row r="179" spans="1:7" ht="18.75" x14ac:dyDescent="0.25">
      <c r="A179" s="25"/>
      <c r="B179" s="23"/>
      <c r="C179" s="24"/>
      <c r="D179" s="23"/>
      <c r="E179" s="22"/>
      <c r="F179" s="22"/>
      <c r="G179" s="22"/>
    </row>
    <row r="180" spans="1:7" ht="18.75" x14ac:dyDescent="0.25">
      <c r="A180" s="25"/>
      <c r="B180" s="23"/>
      <c r="C180" s="24"/>
      <c r="D180" s="23"/>
      <c r="E180" s="22"/>
      <c r="F180" s="22"/>
      <c r="G180" s="22"/>
    </row>
    <row r="181" spans="1:7" ht="18.75" x14ac:dyDescent="0.25">
      <c r="A181" s="25"/>
      <c r="B181" s="23"/>
      <c r="C181" s="24"/>
      <c r="D181" s="23"/>
      <c r="E181" s="22"/>
      <c r="F181" s="22"/>
      <c r="G181" s="22"/>
    </row>
    <row r="182" spans="1:7" ht="18.75" x14ac:dyDescent="0.25">
      <c r="A182" s="25"/>
      <c r="B182" s="23"/>
      <c r="C182" s="24"/>
      <c r="D182" s="23"/>
      <c r="E182" s="22"/>
      <c r="F182" s="22"/>
      <c r="G182" s="22"/>
    </row>
    <row r="183" spans="1:7" ht="18.75" x14ac:dyDescent="0.25">
      <c r="A183" s="25"/>
      <c r="B183" s="23"/>
      <c r="C183" s="24"/>
      <c r="D183" s="23"/>
      <c r="E183" s="22"/>
      <c r="F183" s="22"/>
      <c r="G183" s="22"/>
    </row>
    <row r="184" spans="1:7" ht="18.75" x14ac:dyDescent="0.25">
      <c r="A184" s="25"/>
      <c r="B184" s="23"/>
      <c r="C184" s="24"/>
      <c r="D184" s="23"/>
      <c r="E184" s="22"/>
      <c r="F184" s="22"/>
      <c r="G184" s="22"/>
    </row>
    <row r="185" spans="1:7" ht="18.75" x14ac:dyDescent="0.25">
      <c r="A185" s="25"/>
      <c r="B185" s="23"/>
      <c r="C185" s="24"/>
      <c r="D185" s="23"/>
      <c r="E185" s="22"/>
      <c r="F185" s="22"/>
      <c r="G185" s="22"/>
    </row>
    <row r="186" spans="1:7" ht="18.75" x14ac:dyDescent="0.25">
      <c r="A186" s="25"/>
      <c r="B186" s="23"/>
      <c r="C186" s="24"/>
      <c r="D186" s="23"/>
      <c r="E186" s="22"/>
      <c r="F186" s="22"/>
      <c r="G186" s="22"/>
    </row>
    <row r="187" spans="1:7" ht="18.75" x14ac:dyDescent="0.25">
      <c r="A187" s="25"/>
      <c r="B187" s="23"/>
      <c r="C187" s="24"/>
      <c r="D187" s="23"/>
      <c r="E187" s="22"/>
      <c r="F187" s="22"/>
      <c r="G187" s="22"/>
    </row>
    <row r="188" spans="1:7" ht="18.75" x14ac:dyDescent="0.25">
      <c r="A188" s="25"/>
      <c r="B188" s="23"/>
      <c r="C188" s="24"/>
      <c r="D188" s="23"/>
      <c r="E188" s="22"/>
      <c r="F188" s="22"/>
      <c r="G188" s="22"/>
    </row>
    <row r="189" spans="1:7" ht="18.75" x14ac:dyDescent="0.25">
      <c r="A189" s="25"/>
      <c r="B189" s="23"/>
      <c r="C189" s="24"/>
      <c r="D189" s="23"/>
      <c r="E189" s="22"/>
      <c r="F189" s="22"/>
      <c r="G189" s="22"/>
    </row>
    <row r="190" spans="1:7" ht="18.75" x14ac:dyDescent="0.25">
      <c r="A190" s="25"/>
      <c r="B190" s="23"/>
      <c r="C190" s="24"/>
      <c r="D190" s="23"/>
      <c r="E190" s="22"/>
      <c r="F190" s="22"/>
      <c r="G190" s="22"/>
    </row>
    <row r="191" spans="1:7" ht="18.75" x14ac:dyDescent="0.25">
      <c r="A191" s="25"/>
      <c r="B191" s="23"/>
      <c r="C191" s="24"/>
      <c r="D191" s="23"/>
      <c r="E191" s="22"/>
      <c r="F191" s="22"/>
      <c r="G191" s="22"/>
    </row>
    <row r="192" spans="1:7" ht="18.75" x14ac:dyDescent="0.25">
      <c r="A192" s="25"/>
      <c r="B192" s="23"/>
      <c r="C192" s="24"/>
      <c r="D192" s="23"/>
      <c r="E192" s="22"/>
      <c r="F192" s="22"/>
      <c r="G192" s="22"/>
    </row>
    <row r="193" spans="1:7" ht="18.75" x14ac:dyDescent="0.25">
      <c r="A193" s="25"/>
      <c r="B193" s="23"/>
      <c r="C193" s="24"/>
      <c r="D193" s="23"/>
      <c r="E193" s="22"/>
      <c r="F193" s="22"/>
      <c r="G193" s="22"/>
    </row>
    <row r="194" spans="1:7" ht="18.75" x14ac:dyDescent="0.25">
      <c r="A194" s="25"/>
      <c r="B194" s="23"/>
      <c r="C194" s="24"/>
      <c r="D194" s="23"/>
      <c r="E194" s="22"/>
      <c r="F194" s="22"/>
      <c r="G194" s="22"/>
    </row>
    <row r="195" spans="1:7" ht="18.75" x14ac:dyDescent="0.25">
      <c r="A195" s="25"/>
      <c r="B195" s="23"/>
      <c r="C195" s="24"/>
      <c r="D195" s="23"/>
      <c r="E195" s="22"/>
      <c r="F195" s="22"/>
      <c r="G195" s="22"/>
    </row>
    <row r="196" spans="1:7" ht="18.75" x14ac:dyDescent="0.25">
      <c r="A196" s="25"/>
      <c r="B196" s="23"/>
      <c r="C196" s="24"/>
      <c r="D196" s="23"/>
      <c r="E196" s="22"/>
      <c r="F196" s="22"/>
      <c r="G196" s="22"/>
    </row>
    <row r="197" spans="1:7" ht="18.75" x14ac:dyDescent="0.25">
      <c r="A197" s="25"/>
      <c r="B197" s="23"/>
      <c r="C197" s="24"/>
      <c r="D197" s="23"/>
      <c r="E197" s="22"/>
      <c r="F197" s="22"/>
      <c r="G197" s="22"/>
    </row>
    <row r="198" spans="1:7" ht="18.75" x14ac:dyDescent="0.25">
      <c r="A198" s="25"/>
      <c r="B198" s="23"/>
      <c r="C198" s="24"/>
      <c r="D198" s="23"/>
      <c r="E198" s="22"/>
      <c r="F198" s="22"/>
      <c r="G198" s="22"/>
    </row>
    <row r="199" spans="1:7" ht="18.75" x14ac:dyDescent="0.25">
      <c r="A199" s="25"/>
      <c r="B199" s="23"/>
      <c r="C199" s="24"/>
      <c r="D199" s="23"/>
      <c r="E199" s="22"/>
      <c r="F199" s="22"/>
      <c r="G199" s="22"/>
    </row>
  </sheetData>
  <mergeCells count="33">
    <mergeCell ref="B109:D109"/>
    <mergeCell ref="A7:D7"/>
    <mergeCell ref="C9:D9"/>
    <mergeCell ref="B121:D121"/>
    <mergeCell ref="B118:D118"/>
    <mergeCell ref="B120:D120"/>
    <mergeCell ref="C69:D69"/>
    <mergeCell ref="A69:B69"/>
    <mergeCell ref="B114:D114"/>
    <mergeCell ref="B111:D111"/>
    <mergeCell ref="A9:B9"/>
    <mergeCell ref="C77:D77"/>
    <mergeCell ref="A110:D110"/>
    <mergeCell ref="A35:B35"/>
    <mergeCell ref="C26:D26"/>
    <mergeCell ref="A26:B26"/>
    <mergeCell ref="C35:D35"/>
    <mergeCell ref="B8:D8"/>
    <mergeCell ref="A30:B30"/>
    <mergeCell ref="B29:D29"/>
    <mergeCell ref="C30:D30"/>
    <mergeCell ref="B96:D96"/>
    <mergeCell ref="B82:D82"/>
    <mergeCell ref="A83:D83"/>
    <mergeCell ref="B84:D84"/>
    <mergeCell ref="A77:B77"/>
    <mergeCell ref="A1:I1"/>
    <mergeCell ref="A2:I2"/>
    <mergeCell ref="A3:I3"/>
    <mergeCell ref="H6:I6"/>
    <mergeCell ref="B6:D6"/>
    <mergeCell ref="A5:D5"/>
    <mergeCell ref="F6:G6"/>
  </mergeCells>
  <phoneticPr fontId="124" type="noConversion"/>
  <pageMargins left="0.39370078740157483" right="0.39370078740157483" top="0.74803149606299213" bottom="0.74803149606299213" header="0.31496062992125984" footer="0.31496062992125984"/>
  <pageSetup paperSize="9" scale="49" fitToHeight="0" orientation="portrait" r:id="rId1"/>
  <rowBreaks count="2" manualBreakCount="2">
    <brk id="50" max="8" man="1"/>
    <brk id="98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F0"/>
    <pageSetUpPr fitToPage="1"/>
  </sheetPr>
  <dimension ref="A1:AC83"/>
  <sheetViews>
    <sheetView view="pageBreakPreview" topLeftCell="A62" zoomScale="60" zoomScaleNormal="55" workbookViewId="0">
      <selection sqref="A1:I1"/>
    </sheetView>
  </sheetViews>
  <sheetFormatPr defaultRowHeight="16.5" x14ac:dyDescent="0.3"/>
  <cols>
    <col min="1" max="1" width="6.375" customWidth="1"/>
    <col min="2" max="2" width="5.125" customWidth="1"/>
    <col min="4" max="4" width="30.25" customWidth="1"/>
    <col min="5" max="5" width="1.5" customWidth="1"/>
    <col min="6" max="6" width="30.75" customWidth="1"/>
    <col min="7" max="7" width="26.75" customWidth="1"/>
    <col min="8" max="8" width="30.75" customWidth="1"/>
    <col min="9" max="9" width="32.125" customWidth="1"/>
    <col min="10" max="10" width="16" bestFit="1" customWidth="1"/>
    <col min="11" max="11" width="8.75" hidden="1" customWidth="1"/>
    <col min="12" max="12" width="21.75" hidden="1" customWidth="1"/>
    <col min="13" max="15" width="30.375" hidden="1" customWidth="1"/>
    <col min="16" max="16" width="17.625" hidden="1" customWidth="1"/>
    <col min="17" max="17" width="18.75" hidden="1" customWidth="1"/>
    <col min="18" max="19" width="15.875" hidden="1" customWidth="1"/>
    <col min="20" max="20" width="8.75" hidden="1" customWidth="1"/>
    <col min="21" max="24" width="16.75" hidden="1" customWidth="1"/>
    <col min="25" max="26" width="8.75" hidden="1" customWidth="1"/>
    <col min="27" max="27" width="12.75" hidden="1" customWidth="1"/>
    <col min="28" max="28" width="8.75" customWidth="1"/>
    <col min="29" max="29" width="14.875" customWidth="1"/>
  </cols>
  <sheetData>
    <row r="1" spans="1:27" ht="56.25" customHeight="1" x14ac:dyDescent="0.3">
      <c r="A1" s="271" t="s">
        <v>1</v>
      </c>
      <c r="B1" s="271"/>
      <c r="C1" s="271"/>
      <c r="D1" s="271"/>
      <c r="E1" s="271"/>
      <c r="F1" s="271"/>
      <c r="G1" s="271"/>
      <c r="H1" s="271"/>
      <c r="I1" s="271"/>
    </row>
    <row r="2" spans="1:27" ht="30" customHeight="1" x14ac:dyDescent="0.3">
      <c r="A2" s="272" t="s">
        <v>503</v>
      </c>
      <c r="B2" s="272"/>
      <c r="C2" s="272"/>
      <c r="D2" s="272"/>
      <c r="E2" s="272"/>
      <c r="F2" s="272"/>
      <c r="G2" s="272"/>
      <c r="H2" s="272"/>
      <c r="I2" s="272"/>
    </row>
    <row r="3" spans="1:27" ht="30" customHeight="1" x14ac:dyDescent="0.3">
      <c r="A3" s="272" t="s">
        <v>504</v>
      </c>
      <c r="B3" s="272"/>
      <c r="C3" s="272"/>
      <c r="D3" s="272"/>
      <c r="E3" s="272"/>
      <c r="F3" s="272"/>
      <c r="G3" s="272"/>
      <c r="H3" s="272"/>
      <c r="I3" s="272"/>
    </row>
    <row r="4" spans="1:27" x14ac:dyDescent="0.3">
      <c r="A4" s="290"/>
      <c r="B4" s="290"/>
      <c r="C4" s="290"/>
      <c r="D4" s="290"/>
      <c r="E4" s="290"/>
      <c r="F4" s="290"/>
      <c r="G4" s="290"/>
    </row>
    <row r="5" spans="1:27" ht="30" customHeight="1" thickBot="1" x14ac:dyDescent="0.35">
      <c r="A5" s="291" t="s">
        <v>155</v>
      </c>
      <c r="B5" s="291"/>
      <c r="C5" s="291"/>
      <c r="D5" s="291"/>
      <c r="E5" s="1"/>
      <c r="F5" s="2"/>
      <c r="G5" s="3"/>
      <c r="I5" s="3" t="s">
        <v>84</v>
      </c>
    </row>
    <row r="6" spans="1:27" ht="51" customHeight="1" x14ac:dyDescent="0.3">
      <c r="A6" s="4" t="s">
        <v>58</v>
      </c>
      <c r="B6" s="275" t="s">
        <v>86</v>
      </c>
      <c r="C6" s="275"/>
      <c r="D6" s="275"/>
      <c r="E6" s="263"/>
      <c r="F6" s="292" t="s">
        <v>304</v>
      </c>
      <c r="G6" s="274"/>
      <c r="H6" s="293" t="s">
        <v>262</v>
      </c>
      <c r="I6" s="294"/>
    </row>
    <row r="7" spans="1:27" ht="31.5" x14ac:dyDescent="0.3">
      <c r="A7" s="5" t="s">
        <v>54</v>
      </c>
      <c r="B7" s="295" t="s">
        <v>43</v>
      </c>
      <c r="C7" s="295"/>
      <c r="D7" s="295"/>
      <c r="E7" s="193"/>
      <c r="F7" s="153"/>
      <c r="G7" s="8">
        <v>2068192612476</v>
      </c>
      <c r="H7" s="150"/>
      <c r="I7" s="203">
        <v>1870727392171</v>
      </c>
      <c r="K7" t="s">
        <v>128</v>
      </c>
      <c r="L7" t="s">
        <v>76</v>
      </c>
      <c r="M7" s="79">
        <f>(G7+G50)/100</f>
        <v>24334807365.799999</v>
      </c>
      <c r="N7" s="79">
        <f>(I7+I50)/100</f>
        <v>23222918821.369999</v>
      </c>
      <c r="O7" s="79">
        <f>M7-N7</f>
        <v>1111888544.4300003</v>
      </c>
      <c r="P7" s="80">
        <f>G7/100</f>
        <v>20681926124.759998</v>
      </c>
      <c r="Q7" s="80">
        <f>I7/100</f>
        <v>18707273921.709999</v>
      </c>
      <c r="U7" s="80">
        <f>F7/100</f>
        <v>0</v>
      </c>
      <c r="V7" s="81">
        <f>G7/100</f>
        <v>20681926124.759998</v>
      </c>
      <c r="W7" s="80">
        <f>H7/100</f>
        <v>0</v>
      </c>
      <c r="X7" s="81">
        <f>I7/100</f>
        <v>18707273921.709999</v>
      </c>
      <c r="Z7" s="80">
        <f>U7-W7</f>
        <v>0</v>
      </c>
      <c r="AA7" s="81">
        <f>V7-X7</f>
        <v>1974652203.0499992</v>
      </c>
    </row>
    <row r="8" spans="1:27" ht="31.5" x14ac:dyDescent="0.3">
      <c r="A8" s="9"/>
      <c r="B8" s="173" t="s">
        <v>52</v>
      </c>
      <c r="C8" s="277" t="s">
        <v>156</v>
      </c>
      <c r="D8" s="277"/>
      <c r="E8" s="171"/>
      <c r="F8" s="11"/>
      <c r="G8" s="12">
        <v>1888104809216</v>
      </c>
      <c r="H8" s="163"/>
      <c r="I8" s="200">
        <v>1777443369313</v>
      </c>
      <c r="K8" t="s">
        <v>108</v>
      </c>
      <c r="L8" s="76" t="s">
        <v>75</v>
      </c>
      <c r="M8" s="79">
        <f>(G17+G24+G65)/100</f>
        <v>31576075822.439999</v>
      </c>
      <c r="N8" s="79">
        <f>(I17+I24+I65)/100</f>
        <v>28395791238.16</v>
      </c>
      <c r="O8" s="79">
        <f>M8-N8</f>
        <v>3180284584.2799988</v>
      </c>
      <c r="P8" s="80">
        <f>F9/100</f>
        <v>15783651915.59</v>
      </c>
      <c r="Q8" s="80">
        <f>H9/100</f>
        <v>14725475654.639999</v>
      </c>
      <c r="U8" s="80">
        <f t="shared" ref="U8:U73" si="0">F8/100</f>
        <v>0</v>
      </c>
      <c r="V8" s="81">
        <f t="shared" ref="V8:V73" si="1">G8/100</f>
        <v>18881048092.16</v>
      </c>
      <c r="W8" s="80">
        <f t="shared" ref="W8:W74" si="2">H8/100</f>
        <v>0</v>
      </c>
      <c r="X8" s="81">
        <f t="shared" ref="X8:X73" si="3">I8/100</f>
        <v>17774433693.130001</v>
      </c>
      <c r="Z8" s="80">
        <f t="shared" ref="Z8:Z73" si="4">U8-W8</f>
        <v>0</v>
      </c>
      <c r="AA8" s="81">
        <f t="shared" ref="AA8:AA73" si="5">V8-X8</f>
        <v>1106614399.0299988</v>
      </c>
    </row>
    <row r="9" spans="1:27" ht="24" x14ac:dyDescent="0.3">
      <c r="A9" s="13"/>
      <c r="B9" s="194"/>
      <c r="C9" s="175" t="s">
        <v>57</v>
      </c>
      <c r="D9" s="267" t="s">
        <v>108</v>
      </c>
      <c r="E9" s="171"/>
      <c r="F9" s="109">
        <v>1578365191559</v>
      </c>
      <c r="G9" s="14"/>
      <c r="H9" s="168">
        <v>1472547565464</v>
      </c>
      <c r="I9" s="201"/>
      <c r="J9" s="21"/>
      <c r="K9" t="s">
        <v>106</v>
      </c>
      <c r="L9" s="76" t="s">
        <v>77</v>
      </c>
      <c r="M9" s="79">
        <f>M7-M8</f>
        <v>-7241268456.6399994</v>
      </c>
      <c r="N9" s="79">
        <f>N7-N8</f>
        <v>-5172872416.7900009</v>
      </c>
      <c r="O9" s="79">
        <f>M9-N9</f>
        <v>-2068396039.8499985</v>
      </c>
      <c r="P9" s="80">
        <f>F10/100</f>
        <v>1935218222.46</v>
      </c>
      <c r="Q9" s="80">
        <f>H10/100</f>
        <v>1974480166.99</v>
      </c>
      <c r="U9" s="80">
        <f t="shared" si="0"/>
        <v>15783651915.59</v>
      </c>
      <c r="V9" s="80">
        <f t="shared" si="1"/>
        <v>0</v>
      </c>
      <c r="W9" s="80">
        <f t="shared" si="2"/>
        <v>14725475654.639999</v>
      </c>
      <c r="X9" s="80">
        <f t="shared" si="3"/>
        <v>0</v>
      </c>
      <c r="Z9" s="83">
        <f t="shared" si="4"/>
        <v>1058176260.9500008</v>
      </c>
      <c r="AA9" s="80">
        <f t="shared" si="5"/>
        <v>0</v>
      </c>
    </row>
    <row r="10" spans="1:27" ht="24" x14ac:dyDescent="0.3">
      <c r="A10" s="13"/>
      <c r="B10" s="194"/>
      <c r="C10" s="175" t="s">
        <v>41</v>
      </c>
      <c r="D10" s="267" t="s">
        <v>106</v>
      </c>
      <c r="E10" s="171"/>
      <c r="F10" s="109">
        <v>193521822246</v>
      </c>
      <c r="G10" s="14"/>
      <c r="H10" s="168">
        <v>197448016699</v>
      </c>
      <c r="I10" s="201"/>
      <c r="K10" t="s">
        <v>112</v>
      </c>
      <c r="P10" s="80">
        <f>F11/100</f>
        <v>1162177954.1099999</v>
      </c>
      <c r="Q10" s="80">
        <f>H11/100</f>
        <v>1074477871.5</v>
      </c>
      <c r="U10" s="80">
        <f t="shared" si="0"/>
        <v>1935218222.46</v>
      </c>
      <c r="V10" s="80">
        <f t="shared" si="1"/>
        <v>0</v>
      </c>
      <c r="W10" s="80">
        <f t="shared" si="2"/>
        <v>1974480166.99</v>
      </c>
      <c r="X10" s="80">
        <f t="shared" si="3"/>
        <v>0</v>
      </c>
      <c r="Z10" s="80">
        <f t="shared" si="4"/>
        <v>-39261944.529999971</v>
      </c>
      <c r="AA10" s="80">
        <f t="shared" si="5"/>
        <v>0</v>
      </c>
    </row>
    <row r="11" spans="1:27" ht="24" x14ac:dyDescent="0.3">
      <c r="A11" s="13"/>
      <c r="B11" s="194"/>
      <c r="C11" s="175" t="s">
        <v>55</v>
      </c>
      <c r="D11" s="267" t="s">
        <v>112</v>
      </c>
      <c r="E11" s="171"/>
      <c r="F11" s="109">
        <v>116217795411</v>
      </c>
      <c r="G11" s="14"/>
      <c r="H11" s="168">
        <v>107447787150</v>
      </c>
      <c r="I11" s="201"/>
      <c r="K11" t="s">
        <v>147</v>
      </c>
      <c r="P11" s="80">
        <f>G12/100</f>
        <v>1800878032.5999999</v>
      </c>
      <c r="Q11" s="80">
        <f>I12/100</f>
        <v>932840228.58000004</v>
      </c>
      <c r="U11" s="80">
        <f t="shared" si="0"/>
        <v>1162177954.1099999</v>
      </c>
      <c r="V11" s="80">
        <f t="shared" si="1"/>
        <v>0</v>
      </c>
      <c r="W11" s="80">
        <f t="shared" si="2"/>
        <v>1074477871.5</v>
      </c>
      <c r="X11" s="80">
        <f t="shared" si="3"/>
        <v>0</v>
      </c>
      <c r="Z11" s="80">
        <f t="shared" si="4"/>
        <v>87700082.609999895</v>
      </c>
      <c r="AA11" s="80">
        <f t="shared" si="5"/>
        <v>0</v>
      </c>
    </row>
    <row r="12" spans="1:27" ht="31.5" x14ac:dyDescent="0.3">
      <c r="A12" s="9"/>
      <c r="B12" s="173" t="s">
        <v>45</v>
      </c>
      <c r="C12" s="288" t="s">
        <v>147</v>
      </c>
      <c r="D12" s="288"/>
      <c r="E12" s="171"/>
      <c r="F12" s="11"/>
      <c r="G12" s="12">
        <v>180087803260</v>
      </c>
      <c r="H12" s="198"/>
      <c r="I12" s="200">
        <v>93284022858</v>
      </c>
      <c r="P12" s="80"/>
      <c r="Q12" s="80"/>
      <c r="U12" s="80">
        <f t="shared" si="0"/>
        <v>0</v>
      </c>
      <c r="V12" s="81">
        <f t="shared" si="1"/>
        <v>1800878032.5999999</v>
      </c>
      <c r="W12" s="80">
        <f t="shared" si="2"/>
        <v>0</v>
      </c>
      <c r="X12" s="82">
        <f t="shared" si="3"/>
        <v>932840228.58000004</v>
      </c>
      <c r="Z12" s="80">
        <f t="shared" si="4"/>
        <v>0</v>
      </c>
      <c r="AA12" s="82">
        <f t="shared" si="5"/>
        <v>868037804.01999986</v>
      </c>
    </row>
    <row r="13" spans="1:27" ht="24" hidden="1" x14ac:dyDescent="0.3">
      <c r="A13" s="13"/>
      <c r="B13" s="194"/>
      <c r="C13" s="175" t="s">
        <v>57</v>
      </c>
      <c r="D13" s="267" t="s">
        <v>108</v>
      </c>
      <c r="E13" s="170"/>
      <c r="F13" s="11">
        <v>0</v>
      </c>
      <c r="G13" s="14"/>
      <c r="H13" s="198">
        <v>0</v>
      </c>
      <c r="I13" s="201"/>
      <c r="K13" t="s">
        <v>129</v>
      </c>
      <c r="P13" s="80">
        <f>G50/100</f>
        <v>3652881241.04</v>
      </c>
      <c r="Q13" s="80">
        <f>I50/100</f>
        <v>4515644899.6599998</v>
      </c>
      <c r="U13" s="80">
        <f t="shared" si="0"/>
        <v>0</v>
      </c>
      <c r="V13" s="80">
        <f t="shared" si="1"/>
        <v>0</v>
      </c>
      <c r="W13" s="80">
        <f t="shared" si="2"/>
        <v>0</v>
      </c>
      <c r="X13" s="80">
        <f t="shared" si="3"/>
        <v>0</v>
      </c>
      <c r="Z13" s="80">
        <f t="shared" si="4"/>
        <v>0</v>
      </c>
      <c r="AA13" s="80">
        <f t="shared" si="5"/>
        <v>0</v>
      </c>
    </row>
    <row r="14" spans="1:27" ht="24" hidden="1" x14ac:dyDescent="0.3">
      <c r="A14" s="13"/>
      <c r="B14" s="194"/>
      <c r="C14" s="175" t="s">
        <v>41</v>
      </c>
      <c r="D14" s="267" t="s">
        <v>106</v>
      </c>
      <c r="E14" s="171"/>
      <c r="F14" s="11">
        <v>0</v>
      </c>
      <c r="G14" s="15"/>
      <c r="H14" s="198">
        <v>0</v>
      </c>
      <c r="I14" s="202"/>
      <c r="K14" t="s">
        <v>138</v>
      </c>
      <c r="P14" s="80">
        <f>F51/100</f>
        <v>152916717.25999999</v>
      </c>
      <c r="Q14" s="80">
        <f>H51/100</f>
        <v>113785632.33</v>
      </c>
      <c r="U14" s="80">
        <f t="shared" si="0"/>
        <v>0</v>
      </c>
      <c r="V14" s="80">
        <f t="shared" si="1"/>
        <v>0</v>
      </c>
      <c r="W14" s="80">
        <f t="shared" si="2"/>
        <v>0</v>
      </c>
      <c r="X14" s="80">
        <f t="shared" si="3"/>
        <v>0</v>
      </c>
      <c r="Z14" s="80">
        <f t="shared" si="4"/>
        <v>0</v>
      </c>
      <c r="AA14" s="80">
        <f t="shared" si="5"/>
        <v>0</v>
      </c>
    </row>
    <row r="15" spans="1:27" ht="24" hidden="1" x14ac:dyDescent="0.3">
      <c r="A15" s="13"/>
      <c r="B15" s="194"/>
      <c r="C15" s="175" t="s">
        <v>55</v>
      </c>
      <c r="D15" s="267" t="s">
        <v>112</v>
      </c>
      <c r="E15" s="171"/>
      <c r="F15" s="11">
        <v>0</v>
      </c>
      <c r="G15" s="15"/>
      <c r="H15" s="198">
        <v>0</v>
      </c>
      <c r="I15" s="202"/>
      <c r="K15" t="s">
        <v>125</v>
      </c>
      <c r="P15" s="80">
        <f>F60/100</f>
        <v>100464996.78</v>
      </c>
      <c r="Q15" s="80">
        <f>H60/100</f>
        <v>552842918.41999996</v>
      </c>
      <c r="U15" s="80">
        <f t="shared" si="0"/>
        <v>0</v>
      </c>
      <c r="V15" s="80">
        <f t="shared" si="1"/>
        <v>0</v>
      </c>
      <c r="W15" s="80">
        <f t="shared" si="2"/>
        <v>0</v>
      </c>
      <c r="X15" s="80">
        <f t="shared" si="3"/>
        <v>0</v>
      </c>
      <c r="Z15" s="80">
        <f t="shared" si="4"/>
        <v>0</v>
      </c>
      <c r="AA15" s="80">
        <f t="shared" si="5"/>
        <v>0</v>
      </c>
    </row>
    <row r="16" spans="1:27" ht="24" customHeight="1" x14ac:dyDescent="0.3">
      <c r="A16" s="13"/>
      <c r="B16" s="194"/>
      <c r="C16" s="277" t="s">
        <v>113</v>
      </c>
      <c r="D16" s="277"/>
      <c r="E16" s="170"/>
      <c r="F16" s="156">
        <v>180087803260</v>
      </c>
      <c r="G16" s="12"/>
      <c r="H16" s="199">
        <v>93284022858</v>
      </c>
      <c r="I16" s="200"/>
      <c r="K16" t="s">
        <v>38</v>
      </c>
      <c r="P16" s="80">
        <f>SUM(F54,F55,F63,F64)/100</f>
        <v>3081967698.4099998</v>
      </c>
      <c r="Q16" s="80" t="e">
        <f>SUM(#REF!,H55,H64,#REF!)/100</f>
        <v>#REF!</v>
      </c>
      <c r="U16" s="80">
        <f t="shared" si="0"/>
        <v>1800878032.5999999</v>
      </c>
      <c r="V16" s="80">
        <f t="shared" si="1"/>
        <v>0</v>
      </c>
      <c r="W16" s="80">
        <f t="shared" si="2"/>
        <v>932840228.58000004</v>
      </c>
      <c r="X16" s="80">
        <f t="shared" si="3"/>
        <v>0</v>
      </c>
      <c r="Z16" s="80">
        <f t="shared" si="4"/>
        <v>868037804.01999986</v>
      </c>
      <c r="AA16" s="80">
        <f t="shared" si="5"/>
        <v>0</v>
      </c>
    </row>
    <row r="17" spans="1:29" ht="31.5" x14ac:dyDescent="0.3">
      <c r="A17" s="5" t="s">
        <v>46</v>
      </c>
      <c r="B17" s="295" t="s">
        <v>152</v>
      </c>
      <c r="C17" s="295"/>
      <c r="D17" s="295"/>
      <c r="E17" s="193"/>
      <c r="F17" s="7"/>
      <c r="G17" s="8">
        <v>2869939304930</v>
      </c>
      <c r="H17" s="155"/>
      <c r="I17" s="203">
        <v>2553455761808</v>
      </c>
      <c r="U17" s="80">
        <f t="shared" si="0"/>
        <v>0</v>
      </c>
      <c r="V17" s="81">
        <f t="shared" si="1"/>
        <v>28699393049.299999</v>
      </c>
      <c r="W17" s="80">
        <f t="shared" si="2"/>
        <v>0</v>
      </c>
      <c r="X17" s="81">
        <f t="shared" si="3"/>
        <v>25534557618.080002</v>
      </c>
      <c r="Y17" s="81"/>
      <c r="Z17" s="80">
        <f t="shared" si="4"/>
        <v>0</v>
      </c>
      <c r="AA17" s="81">
        <f t="shared" si="5"/>
        <v>3164835431.2199974</v>
      </c>
    </row>
    <row r="18" spans="1:29" ht="24" x14ac:dyDescent="0.3">
      <c r="A18" s="9"/>
      <c r="B18" s="173" t="s">
        <v>52</v>
      </c>
      <c r="C18" s="277" t="s">
        <v>148</v>
      </c>
      <c r="D18" s="277"/>
      <c r="E18" s="171"/>
      <c r="F18" s="11">
        <v>2689851501670</v>
      </c>
      <c r="G18" s="12"/>
      <c r="H18" s="198">
        <v>2460171738950</v>
      </c>
      <c r="I18" s="12"/>
      <c r="U18" s="80">
        <f t="shared" si="0"/>
        <v>26898515016.700001</v>
      </c>
      <c r="V18" s="80">
        <f t="shared" si="1"/>
        <v>0</v>
      </c>
      <c r="W18" s="80">
        <f t="shared" si="2"/>
        <v>24601717389.5</v>
      </c>
      <c r="X18" s="80">
        <f t="shared" si="3"/>
        <v>0</v>
      </c>
      <c r="Y18" s="80"/>
      <c r="Z18" s="80">
        <f t="shared" si="4"/>
        <v>2296797627.2000008</v>
      </c>
      <c r="AA18" s="80">
        <f t="shared" si="5"/>
        <v>0</v>
      </c>
    </row>
    <row r="19" spans="1:29" ht="24" x14ac:dyDescent="0.3">
      <c r="A19" s="9"/>
      <c r="B19" s="173" t="s">
        <v>45</v>
      </c>
      <c r="C19" s="277" t="s">
        <v>149</v>
      </c>
      <c r="D19" s="277"/>
      <c r="E19" s="171"/>
      <c r="F19" s="11">
        <v>180087803260</v>
      </c>
      <c r="G19" s="12"/>
      <c r="H19" s="198">
        <v>93284022858</v>
      </c>
      <c r="I19" s="12"/>
      <c r="K19" t="s">
        <v>83</v>
      </c>
      <c r="P19" s="80">
        <f>(G17+G24)/100</f>
        <v>30136843319.68</v>
      </c>
      <c r="Q19" s="80">
        <f>(I17+I24)/100</f>
        <v>27159285361</v>
      </c>
      <c r="U19" s="80">
        <f t="shared" si="0"/>
        <v>1800878032.5999999</v>
      </c>
      <c r="V19" s="80">
        <f t="shared" si="1"/>
        <v>0</v>
      </c>
      <c r="W19" s="80">
        <f t="shared" si="2"/>
        <v>932840228.58000004</v>
      </c>
      <c r="X19" s="80">
        <f t="shared" si="3"/>
        <v>0</v>
      </c>
      <c r="Y19" s="80"/>
      <c r="Z19" s="80">
        <f t="shared" si="4"/>
        <v>868037804.01999986</v>
      </c>
      <c r="AA19" s="80">
        <f t="shared" si="5"/>
        <v>0</v>
      </c>
    </row>
    <row r="20" spans="1:29" ht="31.5" hidden="1" customHeight="1" x14ac:dyDescent="0.3">
      <c r="A20" s="9"/>
      <c r="B20" s="173"/>
      <c r="C20" s="195" t="s">
        <v>57</v>
      </c>
      <c r="D20" s="196" t="s">
        <v>79</v>
      </c>
      <c r="E20" s="197"/>
      <c r="F20" s="77"/>
      <c r="G20" s="78"/>
      <c r="H20" s="164"/>
      <c r="I20" s="78"/>
      <c r="P20" s="80"/>
      <c r="Q20" s="80"/>
      <c r="U20" s="80">
        <f t="shared" si="0"/>
        <v>0</v>
      </c>
      <c r="V20" s="81">
        <f t="shared" si="1"/>
        <v>0</v>
      </c>
      <c r="W20" s="80">
        <f t="shared" si="2"/>
        <v>0</v>
      </c>
      <c r="X20" s="81">
        <f t="shared" si="3"/>
        <v>0</v>
      </c>
      <c r="Y20" s="81"/>
      <c r="Z20" s="80">
        <f t="shared" si="4"/>
        <v>0</v>
      </c>
      <c r="AA20" s="81">
        <f t="shared" si="5"/>
        <v>0</v>
      </c>
    </row>
    <row r="21" spans="1:29" ht="31.5" hidden="1" customHeight="1" x14ac:dyDescent="0.3">
      <c r="A21" s="9"/>
      <c r="B21" s="173"/>
      <c r="C21" s="195" t="s">
        <v>41</v>
      </c>
      <c r="D21" s="196" t="s">
        <v>7</v>
      </c>
      <c r="E21" s="197"/>
      <c r="F21" s="77"/>
      <c r="G21" s="78"/>
      <c r="H21" s="164"/>
      <c r="I21" s="78"/>
      <c r="P21" s="80"/>
      <c r="Q21" s="80"/>
      <c r="U21" s="80">
        <f t="shared" si="0"/>
        <v>0</v>
      </c>
      <c r="V21" s="81">
        <f t="shared" si="1"/>
        <v>0</v>
      </c>
      <c r="W21" s="80">
        <f t="shared" si="2"/>
        <v>0</v>
      </c>
      <c r="X21" s="81">
        <f t="shared" si="3"/>
        <v>0</v>
      </c>
      <c r="Y21" s="81"/>
      <c r="Z21" s="80">
        <f t="shared" si="4"/>
        <v>0</v>
      </c>
      <c r="AA21" s="81">
        <f t="shared" si="5"/>
        <v>0</v>
      </c>
    </row>
    <row r="22" spans="1:29" ht="31.5" hidden="1" customHeight="1" x14ac:dyDescent="0.3">
      <c r="A22" s="9"/>
      <c r="B22" s="173"/>
      <c r="C22" s="195" t="s">
        <v>55</v>
      </c>
      <c r="D22" s="196" t="s">
        <v>80</v>
      </c>
      <c r="E22" s="197"/>
      <c r="F22" s="77"/>
      <c r="G22" s="78"/>
      <c r="H22" s="164"/>
      <c r="I22" s="78"/>
      <c r="P22" s="80"/>
      <c r="Q22" s="80"/>
      <c r="U22" s="80">
        <f t="shared" si="0"/>
        <v>0</v>
      </c>
      <c r="V22" s="81">
        <f t="shared" si="1"/>
        <v>0</v>
      </c>
      <c r="W22" s="80">
        <f t="shared" si="2"/>
        <v>0</v>
      </c>
      <c r="X22" s="81">
        <f t="shared" si="3"/>
        <v>0</v>
      </c>
      <c r="Y22" s="81"/>
      <c r="Z22" s="80">
        <f t="shared" si="4"/>
        <v>0</v>
      </c>
      <c r="AA22" s="81">
        <f t="shared" si="5"/>
        <v>0</v>
      </c>
    </row>
    <row r="23" spans="1:29" ht="31.5" x14ac:dyDescent="0.3">
      <c r="A23" s="5" t="s">
        <v>145</v>
      </c>
      <c r="B23" s="295" t="s">
        <v>87</v>
      </c>
      <c r="C23" s="295"/>
      <c r="D23" s="295"/>
      <c r="E23" s="193"/>
      <c r="F23" s="7"/>
      <c r="G23" s="16">
        <v>-801746692454</v>
      </c>
      <c r="H23" s="155"/>
      <c r="I23" s="204">
        <v>-682728369637</v>
      </c>
      <c r="K23" t="s">
        <v>66</v>
      </c>
      <c r="P23" s="80">
        <f>SUM('#3. 운영사업원가명세서'!F7,F25,F26)/100</f>
        <v>14205490845.73</v>
      </c>
      <c r="Q23" s="80">
        <f>SUM('#3. 운영사업원가명세서'!G8,'#3. 운영사업원가명세서'!G9,'#2. 손익계산서'!H25,'#2. 손익계산서'!H26)/100</f>
        <v>12202405881.959999</v>
      </c>
      <c r="R23" s="56">
        <f>SUM('#3. 운영사업원가명세서'!F7,F25,F26)/100</f>
        <v>14205490845.73</v>
      </c>
      <c r="S23" s="56">
        <f>SUM('#3. 운영사업원가명세서'!G8,'#3. 운영사업원가명세서'!G9,'#2. 손익계산서'!H25,'#2. 손익계산서'!H26)/100</f>
        <v>12202405881.959999</v>
      </c>
      <c r="U23" s="80">
        <f t="shared" si="0"/>
        <v>0</v>
      </c>
      <c r="V23" s="81">
        <f t="shared" si="1"/>
        <v>-8017466924.54</v>
      </c>
      <c r="W23" s="80">
        <f t="shared" si="2"/>
        <v>0</v>
      </c>
      <c r="X23" s="81">
        <f t="shared" si="3"/>
        <v>-6827283696.3699999</v>
      </c>
      <c r="Y23" s="81"/>
      <c r="Z23" s="80">
        <f t="shared" si="4"/>
        <v>0</v>
      </c>
      <c r="AA23" s="81">
        <f t="shared" si="5"/>
        <v>-1190183228.1700001</v>
      </c>
    </row>
    <row r="24" spans="1:29" ht="31.5" x14ac:dyDescent="0.3">
      <c r="A24" s="5" t="s">
        <v>39</v>
      </c>
      <c r="B24" s="295" t="s">
        <v>150</v>
      </c>
      <c r="C24" s="295"/>
      <c r="D24" s="295"/>
      <c r="E24" s="193"/>
      <c r="F24" s="7"/>
      <c r="G24" s="8">
        <v>143745027038</v>
      </c>
      <c r="H24" s="155"/>
      <c r="I24" s="203">
        <v>162472774292</v>
      </c>
      <c r="K24" t="s">
        <v>68</v>
      </c>
      <c r="P24" s="80">
        <f>SUM('#3. 운영사업원가명세서'!F10,'#2. 손익계산서'!F27:F48)/100</f>
        <v>14130474441.35</v>
      </c>
      <c r="Q24" s="80">
        <f>SUM('#3. 운영사업원가명세서'!H10,'#2. 손익계산서'!H27:H48)/100</f>
        <v>14024039250.459999</v>
      </c>
      <c r="R24" s="56">
        <f>SUM('#3. 운영사업원가명세서'!F10,'#2. 손익계산서'!F27:F48)/100</f>
        <v>14130474441.35</v>
      </c>
      <c r="S24" s="56">
        <f>SUM('#3. 운영사업원가명세서'!H10,'#2. 손익계산서'!H27:H48)/100</f>
        <v>14024039250.459999</v>
      </c>
      <c r="U24" s="80">
        <f t="shared" si="0"/>
        <v>0</v>
      </c>
      <c r="V24" s="81">
        <f t="shared" si="1"/>
        <v>1437450270.3800001</v>
      </c>
      <c r="W24" s="80">
        <f t="shared" si="2"/>
        <v>0</v>
      </c>
      <c r="X24" s="81">
        <f t="shared" si="3"/>
        <v>1624727742.9200001</v>
      </c>
      <c r="Y24" s="81"/>
      <c r="Z24" s="80">
        <f t="shared" si="4"/>
        <v>0</v>
      </c>
      <c r="AA24" s="81">
        <f t="shared" si="5"/>
        <v>-187277472.53999996</v>
      </c>
    </row>
    <row r="25" spans="1:29" ht="24" x14ac:dyDescent="0.3">
      <c r="A25" s="9"/>
      <c r="B25" s="173"/>
      <c r="C25" s="277" t="s">
        <v>34</v>
      </c>
      <c r="D25" s="277"/>
      <c r="E25" s="171"/>
      <c r="F25" s="11">
        <v>68940797557</v>
      </c>
      <c r="G25" s="12"/>
      <c r="H25" s="198">
        <v>62563016685</v>
      </c>
      <c r="I25" s="12"/>
      <c r="K25" t="s">
        <v>82</v>
      </c>
      <c r="P25" s="80">
        <f>F19/100</f>
        <v>1800878032.5999999</v>
      </c>
      <c r="Q25" s="80">
        <f>H19/100</f>
        <v>932840228.58000004</v>
      </c>
      <c r="U25" s="80">
        <f t="shared" si="0"/>
        <v>689407975.57000005</v>
      </c>
      <c r="V25" s="80">
        <f t="shared" si="1"/>
        <v>0</v>
      </c>
      <c r="W25" s="80">
        <f t="shared" si="2"/>
        <v>625630166.85000002</v>
      </c>
      <c r="X25" s="80">
        <f t="shared" si="3"/>
        <v>0</v>
      </c>
      <c r="Y25" s="80"/>
      <c r="Z25" s="80">
        <f t="shared" si="4"/>
        <v>63777808.720000029</v>
      </c>
      <c r="AA25" s="80">
        <f t="shared" si="5"/>
        <v>0</v>
      </c>
      <c r="AC25" s="21"/>
    </row>
    <row r="26" spans="1:29" ht="24" x14ac:dyDescent="0.3">
      <c r="A26" s="9"/>
      <c r="B26" s="173"/>
      <c r="C26" s="289" t="s">
        <v>114</v>
      </c>
      <c r="D26" s="289"/>
      <c r="E26" s="171"/>
      <c r="F26" s="11">
        <v>12268689630</v>
      </c>
      <c r="G26" s="12"/>
      <c r="H26" s="198">
        <v>6259269090</v>
      </c>
      <c r="I26" s="12"/>
      <c r="P26" s="80"/>
      <c r="Q26" s="80"/>
      <c r="U26" s="80">
        <f t="shared" si="0"/>
        <v>122686896.3</v>
      </c>
      <c r="V26" s="80">
        <f t="shared" si="1"/>
        <v>0</v>
      </c>
      <c r="W26" s="80">
        <f t="shared" si="2"/>
        <v>62592690.899999999</v>
      </c>
      <c r="X26" s="80">
        <f t="shared" si="3"/>
        <v>0</v>
      </c>
      <c r="Y26" s="80"/>
      <c r="Z26" s="80">
        <f t="shared" si="4"/>
        <v>60094205.399999999</v>
      </c>
      <c r="AA26" s="80">
        <f t="shared" si="5"/>
        <v>0</v>
      </c>
      <c r="AC26" s="21"/>
    </row>
    <row r="27" spans="1:29" ht="24" x14ac:dyDescent="0.3">
      <c r="A27" s="9"/>
      <c r="B27" s="173"/>
      <c r="C27" s="277" t="s">
        <v>109</v>
      </c>
      <c r="D27" s="277"/>
      <c r="E27" s="171"/>
      <c r="F27" s="11">
        <v>9841938088</v>
      </c>
      <c r="G27" s="12"/>
      <c r="H27" s="198">
        <v>10082863973</v>
      </c>
      <c r="I27" s="12"/>
      <c r="K27" t="s">
        <v>154</v>
      </c>
      <c r="P27" s="80">
        <f>G65/100</f>
        <v>1439232502.76</v>
      </c>
      <c r="Q27" s="80">
        <f>I65/100</f>
        <v>1236505877.1600001</v>
      </c>
      <c r="U27" s="80">
        <f t="shared" si="0"/>
        <v>98419380.879999995</v>
      </c>
      <c r="V27" s="80">
        <f t="shared" si="1"/>
        <v>0</v>
      </c>
      <c r="W27" s="80">
        <f t="shared" si="2"/>
        <v>100828639.73</v>
      </c>
      <c r="X27" s="80">
        <f t="shared" si="3"/>
        <v>0</v>
      </c>
      <c r="Y27" s="80"/>
      <c r="Z27" s="80">
        <f t="shared" si="4"/>
        <v>-2409258.8500000089</v>
      </c>
      <c r="AA27" s="80">
        <f t="shared" si="5"/>
        <v>0</v>
      </c>
      <c r="AC27" s="21"/>
    </row>
    <row r="28" spans="1:29" ht="24" x14ac:dyDescent="0.3">
      <c r="A28" s="9"/>
      <c r="B28" s="173"/>
      <c r="C28" s="277" t="s">
        <v>119</v>
      </c>
      <c r="D28" s="277"/>
      <c r="E28" s="171"/>
      <c r="F28" s="11">
        <v>133666778</v>
      </c>
      <c r="G28" s="12"/>
      <c r="H28" s="198">
        <v>91237874</v>
      </c>
      <c r="I28" s="12"/>
      <c r="K28" t="s">
        <v>126</v>
      </c>
      <c r="P28" s="80">
        <f>F66/100</f>
        <v>1305743295.5</v>
      </c>
      <c r="Q28" s="80">
        <f>H66/100</f>
        <v>1053870704.8200001</v>
      </c>
      <c r="U28" s="80">
        <f t="shared" si="0"/>
        <v>1336667.78</v>
      </c>
      <c r="V28" s="80">
        <f t="shared" si="1"/>
        <v>0</v>
      </c>
      <c r="W28" s="80">
        <f t="shared" si="2"/>
        <v>912378.74</v>
      </c>
      <c r="X28" s="80">
        <f t="shared" si="3"/>
        <v>0</v>
      </c>
      <c r="Y28" s="80"/>
      <c r="Z28" s="80">
        <f t="shared" si="4"/>
        <v>424289.04000000004</v>
      </c>
      <c r="AA28" s="80">
        <f t="shared" si="5"/>
        <v>0</v>
      </c>
      <c r="AC28" s="21"/>
    </row>
    <row r="29" spans="1:29" ht="24" customHeight="1" x14ac:dyDescent="0.3">
      <c r="A29" s="9"/>
      <c r="B29" s="173"/>
      <c r="C29" s="277" t="s">
        <v>115</v>
      </c>
      <c r="D29" s="277"/>
      <c r="E29" s="171"/>
      <c r="F29" s="11">
        <v>1983151298</v>
      </c>
      <c r="G29" s="12"/>
      <c r="H29" s="198">
        <v>1428730770</v>
      </c>
      <c r="I29" s="12"/>
      <c r="K29" t="s">
        <v>35</v>
      </c>
      <c r="P29" s="80">
        <f>SUM(F67:F80)/100</f>
        <v>133489207.26000001</v>
      </c>
      <c r="Q29" s="80">
        <f>SUM(H67:H80)/100</f>
        <v>182635172.34</v>
      </c>
      <c r="U29" s="80">
        <f t="shared" si="0"/>
        <v>19831512.98</v>
      </c>
      <c r="V29" s="80">
        <f t="shared" si="1"/>
        <v>0</v>
      </c>
      <c r="W29" s="80">
        <f t="shared" si="2"/>
        <v>14287307.699999999</v>
      </c>
      <c r="X29" s="80">
        <f t="shared" si="3"/>
        <v>0</v>
      </c>
      <c r="Y29" s="80"/>
      <c r="Z29" s="80">
        <f t="shared" si="4"/>
        <v>5544205.2800000012</v>
      </c>
      <c r="AA29" s="80">
        <f t="shared" si="5"/>
        <v>0</v>
      </c>
      <c r="AC29" s="21"/>
    </row>
    <row r="30" spans="1:29" ht="24" x14ac:dyDescent="0.3">
      <c r="A30" s="9"/>
      <c r="B30" s="173"/>
      <c r="C30" s="277" t="s">
        <v>107</v>
      </c>
      <c r="D30" s="277"/>
      <c r="E30" s="171"/>
      <c r="F30" s="11">
        <v>269335206</v>
      </c>
      <c r="G30" s="12"/>
      <c r="H30" s="198">
        <v>273506369</v>
      </c>
      <c r="I30" s="12"/>
      <c r="U30" s="80">
        <f t="shared" si="0"/>
        <v>2693352.06</v>
      </c>
      <c r="V30" s="80">
        <f t="shared" si="1"/>
        <v>0</v>
      </c>
      <c r="W30" s="80">
        <f t="shared" si="2"/>
        <v>2735063.69</v>
      </c>
      <c r="X30" s="80">
        <f t="shared" si="3"/>
        <v>0</v>
      </c>
      <c r="Y30" s="80"/>
      <c r="Z30" s="80">
        <f t="shared" si="4"/>
        <v>-41711.629999999888</v>
      </c>
      <c r="AA30" s="80">
        <f t="shared" si="5"/>
        <v>0</v>
      </c>
      <c r="AC30" s="21"/>
    </row>
    <row r="31" spans="1:29" ht="24" x14ac:dyDescent="0.3">
      <c r="A31" s="9"/>
      <c r="B31" s="173"/>
      <c r="C31" s="277" t="s">
        <v>118</v>
      </c>
      <c r="D31" s="277"/>
      <c r="E31" s="171"/>
      <c r="F31" s="11">
        <v>305343623</v>
      </c>
      <c r="G31" s="12"/>
      <c r="H31" s="198">
        <v>196233500</v>
      </c>
      <c r="I31" s="12"/>
      <c r="U31" s="80">
        <f t="shared" si="0"/>
        <v>3053436.23</v>
      </c>
      <c r="V31" s="80">
        <f t="shared" si="1"/>
        <v>0</v>
      </c>
      <c r="W31" s="80">
        <f t="shared" si="2"/>
        <v>1962335</v>
      </c>
      <c r="X31" s="80">
        <f t="shared" si="3"/>
        <v>0</v>
      </c>
      <c r="Y31" s="80"/>
      <c r="Z31" s="80">
        <f t="shared" si="4"/>
        <v>1091101.23</v>
      </c>
      <c r="AA31" s="80">
        <f t="shared" si="5"/>
        <v>0</v>
      </c>
      <c r="AC31" s="21"/>
    </row>
    <row r="32" spans="1:29" ht="24" x14ac:dyDescent="0.3">
      <c r="A32" s="9"/>
      <c r="B32" s="173"/>
      <c r="C32" s="277" t="s">
        <v>110</v>
      </c>
      <c r="D32" s="277"/>
      <c r="E32" s="171"/>
      <c r="F32" s="11">
        <v>249701176</v>
      </c>
      <c r="G32" s="12"/>
      <c r="H32" s="198">
        <v>249444231</v>
      </c>
      <c r="I32" s="12"/>
      <c r="U32" s="80">
        <f t="shared" si="0"/>
        <v>2497011.7599999998</v>
      </c>
      <c r="V32" s="80">
        <f t="shared" si="1"/>
        <v>0</v>
      </c>
      <c r="W32" s="80">
        <f t="shared" si="2"/>
        <v>2494442.31</v>
      </c>
      <c r="X32" s="80">
        <f t="shared" si="3"/>
        <v>0</v>
      </c>
      <c r="Y32" s="80"/>
      <c r="Z32" s="80">
        <f t="shared" si="4"/>
        <v>2569.4499999997206</v>
      </c>
      <c r="AA32" s="80">
        <f t="shared" si="5"/>
        <v>0</v>
      </c>
      <c r="AC32" s="21"/>
    </row>
    <row r="33" spans="1:29" ht="24" x14ac:dyDescent="0.3">
      <c r="A33" s="9"/>
      <c r="B33" s="173"/>
      <c r="C33" s="277" t="s">
        <v>37</v>
      </c>
      <c r="D33" s="277"/>
      <c r="E33" s="171"/>
      <c r="F33" s="11">
        <v>187335722</v>
      </c>
      <c r="G33" s="12"/>
      <c r="H33" s="198">
        <v>133110533</v>
      </c>
      <c r="I33" s="12"/>
      <c r="U33" s="80">
        <f t="shared" si="0"/>
        <v>1873357.22</v>
      </c>
      <c r="V33" s="80">
        <f t="shared" si="1"/>
        <v>0</v>
      </c>
      <c r="W33" s="80">
        <f t="shared" si="2"/>
        <v>1331105.33</v>
      </c>
      <c r="X33" s="80">
        <f t="shared" si="3"/>
        <v>0</v>
      </c>
      <c r="Y33" s="80"/>
      <c r="Z33" s="80">
        <f t="shared" si="4"/>
        <v>542251.8899999999</v>
      </c>
      <c r="AA33" s="80">
        <f t="shared" si="5"/>
        <v>0</v>
      </c>
      <c r="AC33" s="21"/>
    </row>
    <row r="34" spans="1:29" ht="24" x14ac:dyDescent="0.3">
      <c r="A34" s="9"/>
      <c r="B34" s="173"/>
      <c r="C34" s="277" t="s">
        <v>117</v>
      </c>
      <c r="D34" s="277"/>
      <c r="E34" s="171"/>
      <c r="F34" s="11">
        <v>4685107217</v>
      </c>
      <c r="G34" s="12"/>
      <c r="H34" s="198">
        <v>6598800513</v>
      </c>
      <c r="I34" s="12"/>
      <c r="U34" s="80">
        <f t="shared" si="0"/>
        <v>46851072.170000002</v>
      </c>
      <c r="V34" s="80">
        <f t="shared" si="1"/>
        <v>0</v>
      </c>
      <c r="W34" s="80">
        <f t="shared" si="2"/>
        <v>65988005.130000003</v>
      </c>
      <c r="X34" s="80">
        <f t="shared" si="3"/>
        <v>0</v>
      </c>
      <c r="Y34" s="80"/>
      <c r="Z34" s="80">
        <f t="shared" si="4"/>
        <v>-19136932.960000001</v>
      </c>
      <c r="AA34" s="80">
        <f t="shared" si="5"/>
        <v>0</v>
      </c>
      <c r="AC34" s="21"/>
    </row>
    <row r="35" spans="1:29" ht="24" x14ac:dyDescent="0.3">
      <c r="A35" s="9"/>
      <c r="B35" s="173"/>
      <c r="C35" s="277" t="s">
        <v>111</v>
      </c>
      <c r="D35" s="277"/>
      <c r="E35" s="171"/>
      <c r="F35" s="11">
        <v>1591150385</v>
      </c>
      <c r="G35" s="12"/>
      <c r="H35" s="198">
        <v>2245900427</v>
      </c>
      <c r="I35" s="12"/>
      <c r="U35" s="80">
        <f t="shared" si="0"/>
        <v>15911503.85</v>
      </c>
      <c r="V35" s="80">
        <f t="shared" si="1"/>
        <v>0</v>
      </c>
      <c r="W35" s="80">
        <f t="shared" si="2"/>
        <v>22459004.27</v>
      </c>
      <c r="X35" s="80">
        <f t="shared" si="3"/>
        <v>0</v>
      </c>
      <c r="Y35" s="80"/>
      <c r="Z35" s="80">
        <f t="shared" si="4"/>
        <v>-6547500.4199999999</v>
      </c>
      <c r="AA35" s="80">
        <f t="shared" si="5"/>
        <v>0</v>
      </c>
      <c r="AC35" s="21"/>
    </row>
    <row r="36" spans="1:29" ht="24" x14ac:dyDescent="0.3">
      <c r="A36" s="9"/>
      <c r="B36" s="173"/>
      <c r="C36" s="277" t="s">
        <v>116</v>
      </c>
      <c r="D36" s="277"/>
      <c r="E36" s="171"/>
      <c r="F36" s="11">
        <v>560147885</v>
      </c>
      <c r="G36" s="12"/>
      <c r="H36" s="198">
        <v>542802734</v>
      </c>
      <c r="I36" s="12"/>
      <c r="U36" s="80">
        <f t="shared" si="0"/>
        <v>5601478.8499999996</v>
      </c>
      <c r="V36" s="80">
        <f t="shared" si="1"/>
        <v>0</v>
      </c>
      <c r="W36" s="80">
        <f t="shared" si="2"/>
        <v>5428027.3399999999</v>
      </c>
      <c r="X36" s="80">
        <f t="shared" si="3"/>
        <v>0</v>
      </c>
      <c r="Y36" s="80"/>
      <c r="Z36" s="80">
        <f t="shared" si="4"/>
        <v>173451.50999999978</v>
      </c>
      <c r="AA36" s="80">
        <f t="shared" si="5"/>
        <v>0</v>
      </c>
      <c r="AC36" s="21"/>
    </row>
    <row r="37" spans="1:29" ht="24" x14ac:dyDescent="0.3">
      <c r="A37" s="9"/>
      <c r="B37" s="173"/>
      <c r="C37" s="277" t="s">
        <v>137</v>
      </c>
      <c r="D37" s="277"/>
      <c r="E37" s="171"/>
      <c r="F37" s="11">
        <v>12421398</v>
      </c>
      <c r="G37" s="12"/>
      <c r="H37" s="198">
        <v>16537350</v>
      </c>
      <c r="I37" s="12"/>
      <c r="U37" s="80">
        <f t="shared" si="0"/>
        <v>124213.98</v>
      </c>
      <c r="V37" s="80">
        <f t="shared" si="1"/>
        <v>0</v>
      </c>
      <c r="W37" s="80">
        <f t="shared" si="2"/>
        <v>165373.5</v>
      </c>
      <c r="X37" s="80">
        <f t="shared" si="3"/>
        <v>0</v>
      </c>
      <c r="Y37" s="80"/>
      <c r="Z37" s="80">
        <f t="shared" si="4"/>
        <v>-41159.520000000004</v>
      </c>
      <c r="AA37" s="80">
        <f t="shared" si="5"/>
        <v>0</v>
      </c>
      <c r="AC37" s="21"/>
    </row>
    <row r="38" spans="1:29" ht="24" x14ac:dyDescent="0.3">
      <c r="A38" s="9"/>
      <c r="B38" s="173"/>
      <c r="C38" s="277" t="s">
        <v>36</v>
      </c>
      <c r="D38" s="277"/>
      <c r="E38" s="171"/>
      <c r="F38" s="11">
        <v>12964679</v>
      </c>
      <c r="G38" s="12"/>
      <c r="H38" s="198">
        <v>13347892</v>
      </c>
      <c r="I38" s="12"/>
      <c r="U38" s="80">
        <f t="shared" si="0"/>
        <v>129646.79</v>
      </c>
      <c r="V38" s="80">
        <f t="shared" si="1"/>
        <v>0</v>
      </c>
      <c r="W38" s="80">
        <f t="shared" si="2"/>
        <v>133478.92000000001</v>
      </c>
      <c r="X38" s="80">
        <f t="shared" si="3"/>
        <v>0</v>
      </c>
      <c r="Y38" s="80"/>
      <c r="Z38" s="80">
        <f t="shared" si="4"/>
        <v>-3832.1300000000192</v>
      </c>
      <c r="AA38" s="80">
        <f t="shared" si="5"/>
        <v>0</v>
      </c>
      <c r="AC38" s="21"/>
    </row>
    <row r="39" spans="1:29" ht="24" x14ac:dyDescent="0.3">
      <c r="A39" s="9"/>
      <c r="B39" s="173"/>
      <c r="C39" s="277" t="s">
        <v>120</v>
      </c>
      <c r="D39" s="277"/>
      <c r="E39" s="171"/>
      <c r="F39" s="11">
        <v>11661851506</v>
      </c>
      <c r="G39" s="12"/>
      <c r="H39" s="198">
        <v>10146580085</v>
      </c>
      <c r="I39" s="12"/>
      <c r="U39" s="80">
        <f t="shared" si="0"/>
        <v>116618515.06</v>
      </c>
      <c r="V39" s="80">
        <f t="shared" si="1"/>
        <v>0</v>
      </c>
      <c r="W39" s="80">
        <f t="shared" si="2"/>
        <v>101465800.84999999</v>
      </c>
      <c r="X39" s="80">
        <f t="shared" si="3"/>
        <v>0</v>
      </c>
      <c r="Y39" s="80"/>
      <c r="Z39" s="80">
        <f t="shared" si="4"/>
        <v>15152714.210000008</v>
      </c>
      <c r="AA39" s="80">
        <f t="shared" si="5"/>
        <v>0</v>
      </c>
      <c r="AC39" s="21"/>
    </row>
    <row r="40" spans="1:29" ht="24" x14ac:dyDescent="0.3">
      <c r="A40" s="9"/>
      <c r="B40" s="173"/>
      <c r="C40" s="277" t="s">
        <v>105</v>
      </c>
      <c r="D40" s="277"/>
      <c r="E40" s="171"/>
      <c r="F40" s="11">
        <v>173007037</v>
      </c>
      <c r="G40" s="12"/>
      <c r="H40" s="198">
        <v>153125824</v>
      </c>
      <c r="I40" s="12"/>
      <c r="U40" s="80">
        <f t="shared" si="0"/>
        <v>1730070.37</v>
      </c>
      <c r="V40" s="80">
        <f t="shared" si="1"/>
        <v>0</v>
      </c>
      <c r="W40" s="80">
        <f t="shared" si="2"/>
        <v>1531258.24</v>
      </c>
      <c r="X40" s="80">
        <f t="shared" si="3"/>
        <v>0</v>
      </c>
      <c r="Y40" s="80"/>
      <c r="Z40" s="80">
        <f t="shared" si="4"/>
        <v>198812.13000000012</v>
      </c>
      <c r="AA40" s="80">
        <f t="shared" si="5"/>
        <v>0</v>
      </c>
      <c r="AC40" s="21"/>
    </row>
    <row r="41" spans="1:29" ht="24" x14ac:dyDescent="0.3">
      <c r="A41" s="9"/>
      <c r="B41" s="173"/>
      <c r="C41" s="277" t="s">
        <v>123</v>
      </c>
      <c r="D41" s="277"/>
      <c r="E41" s="171"/>
      <c r="F41" s="11">
        <v>2416041343</v>
      </c>
      <c r="G41" s="12"/>
      <c r="H41" s="198">
        <v>325365504</v>
      </c>
      <c r="I41" s="12"/>
      <c r="U41" s="80">
        <f t="shared" si="0"/>
        <v>24160413.43</v>
      </c>
      <c r="V41" s="80">
        <f t="shared" si="1"/>
        <v>0</v>
      </c>
      <c r="W41" s="80">
        <f t="shared" si="2"/>
        <v>3253655.04</v>
      </c>
      <c r="X41" s="80">
        <f t="shared" si="3"/>
        <v>0</v>
      </c>
      <c r="Y41" s="80"/>
      <c r="Z41" s="80">
        <f t="shared" si="4"/>
        <v>20906758.390000001</v>
      </c>
      <c r="AA41" s="80">
        <f t="shared" si="5"/>
        <v>0</v>
      </c>
      <c r="AC41" s="21"/>
    </row>
    <row r="42" spans="1:29" ht="24" x14ac:dyDescent="0.3">
      <c r="A42" s="9"/>
      <c r="B42" s="173"/>
      <c r="C42" s="277" t="s">
        <v>136</v>
      </c>
      <c r="D42" s="277"/>
      <c r="E42" s="171"/>
      <c r="F42" s="11">
        <v>1241468402</v>
      </c>
      <c r="G42" s="12"/>
      <c r="H42" s="198">
        <v>360007542</v>
      </c>
      <c r="I42" s="12"/>
      <c r="U42" s="80">
        <f t="shared" si="0"/>
        <v>12414684.02</v>
      </c>
      <c r="V42" s="80">
        <f t="shared" si="1"/>
        <v>0</v>
      </c>
      <c r="W42" s="80">
        <f t="shared" si="2"/>
        <v>3600075.42</v>
      </c>
      <c r="X42" s="80">
        <f t="shared" si="3"/>
        <v>0</v>
      </c>
      <c r="Y42" s="80"/>
      <c r="Z42" s="80">
        <f t="shared" si="4"/>
        <v>8814608.5999999996</v>
      </c>
      <c r="AA42" s="80">
        <f t="shared" si="5"/>
        <v>0</v>
      </c>
      <c r="AC42" s="21"/>
    </row>
    <row r="43" spans="1:29" ht="24" x14ac:dyDescent="0.3">
      <c r="A43" s="9"/>
      <c r="B43" s="173"/>
      <c r="C43" s="277" t="s">
        <v>32</v>
      </c>
      <c r="D43" s="277"/>
      <c r="E43" s="171"/>
      <c r="F43" s="11">
        <v>1084103750</v>
      </c>
      <c r="G43" s="12"/>
      <c r="H43" s="198">
        <v>668413695</v>
      </c>
      <c r="I43" s="12"/>
      <c r="U43" s="80">
        <f t="shared" si="0"/>
        <v>10841037.5</v>
      </c>
      <c r="V43" s="80">
        <f t="shared" si="1"/>
        <v>0</v>
      </c>
      <c r="W43" s="80">
        <f t="shared" si="2"/>
        <v>6684136.9500000002</v>
      </c>
      <c r="X43" s="80">
        <f t="shared" si="3"/>
        <v>0</v>
      </c>
      <c r="Y43" s="80"/>
      <c r="Z43" s="80">
        <f t="shared" si="4"/>
        <v>4156900.55</v>
      </c>
      <c r="AA43" s="80">
        <f t="shared" si="5"/>
        <v>0</v>
      </c>
      <c r="AC43" s="21"/>
    </row>
    <row r="44" spans="1:29" ht="24" x14ac:dyDescent="0.3">
      <c r="A44" s="9"/>
      <c r="B44" s="173"/>
      <c r="C44" s="277" t="s">
        <v>124</v>
      </c>
      <c r="D44" s="277"/>
      <c r="E44" s="171"/>
      <c r="F44" s="11">
        <v>1665591231</v>
      </c>
      <c r="G44" s="12"/>
      <c r="H44" s="198">
        <v>1070444425</v>
      </c>
      <c r="I44" s="12"/>
      <c r="U44" s="80">
        <f t="shared" si="0"/>
        <v>16655912.310000001</v>
      </c>
      <c r="V44" s="80">
        <f t="shared" si="1"/>
        <v>0</v>
      </c>
      <c r="W44" s="80">
        <f t="shared" si="2"/>
        <v>10704444.25</v>
      </c>
      <c r="X44" s="80">
        <f t="shared" si="3"/>
        <v>0</v>
      </c>
      <c r="Y44" s="80"/>
      <c r="Z44" s="80">
        <f t="shared" si="4"/>
        <v>5951468.0600000005</v>
      </c>
      <c r="AA44" s="80">
        <f t="shared" si="5"/>
        <v>0</v>
      </c>
      <c r="AC44" s="21"/>
    </row>
    <row r="45" spans="1:29" ht="24" x14ac:dyDescent="0.3">
      <c r="A45" s="9"/>
      <c r="B45" s="173"/>
      <c r="C45" s="277" t="s">
        <v>121</v>
      </c>
      <c r="D45" s="277"/>
      <c r="E45" s="171"/>
      <c r="F45" s="11">
        <v>18846486878</v>
      </c>
      <c r="G45" s="12"/>
      <c r="H45" s="198">
        <v>55921089750</v>
      </c>
      <c r="I45" s="12"/>
      <c r="U45" s="80">
        <f t="shared" si="0"/>
        <v>188464868.78</v>
      </c>
      <c r="V45" s="80">
        <f t="shared" si="1"/>
        <v>0</v>
      </c>
      <c r="W45" s="80">
        <f t="shared" si="2"/>
        <v>559210897.5</v>
      </c>
      <c r="X45" s="80">
        <f t="shared" si="3"/>
        <v>0</v>
      </c>
      <c r="Y45" s="80"/>
      <c r="Z45" s="80">
        <f t="shared" si="4"/>
        <v>-370746028.72000003</v>
      </c>
      <c r="AA45" s="80">
        <f t="shared" si="5"/>
        <v>0</v>
      </c>
      <c r="AC45" s="21"/>
    </row>
    <row r="46" spans="1:29" ht="24" x14ac:dyDescent="0.3">
      <c r="A46" s="9"/>
      <c r="B46" s="173"/>
      <c r="C46" s="277" t="s">
        <v>143</v>
      </c>
      <c r="D46" s="277"/>
      <c r="E46" s="171"/>
      <c r="F46" s="11">
        <v>297691652</v>
      </c>
      <c r="G46" s="12"/>
      <c r="H46" s="198">
        <v>159822282</v>
      </c>
      <c r="I46" s="12"/>
      <c r="U46" s="80">
        <f t="shared" si="0"/>
        <v>2976916.52</v>
      </c>
      <c r="V46" s="80">
        <f t="shared" si="1"/>
        <v>0</v>
      </c>
      <c r="W46" s="80">
        <f t="shared" si="2"/>
        <v>1598222.82</v>
      </c>
      <c r="X46" s="80">
        <f t="shared" si="3"/>
        <v>0</v>
      </c>
      <c r="Y46" s="80"/>
      <c r="Z46" s="80">
        <f t="shared" si="4"/>
        <v>1378693.7</v>
      </c>
      <c r="AA46" s="80">
        <f t="shared" si="5"/>
        <v>0</v>
      </c>
      <c r="AC46" s="21"/>
    </row>
    <row r="47" spans="1:29" ht="24" x14ac:dyDescent="0.3">
      <c r="A47" s="9"/>
      <c r="B47" s="173"/>
      <c r="C47" s="289" t="s">
        <v>89</v>
      </c>
      <c r="D47" s="289"/>
      <c r="E47" s="171"/>
      <c r="F47" s="11">
        <v>4274589285</v>
      </c>
      <c r="G47" s="12"/>
      <c r="H47" s="198">
        <v>1986796846</v>
      </c>
      <c r="I47" s="12"/>
      <c r="U47" s="80">
        <f t="shared" si="0"/>
        <v>42745892.850000001</v>
      </c>
      <c r="V47" s="80">
        <f t="shared" si="1"/>
        <v>0</v>
      </c>
      <c r="W47" s="80">
        <f t="shared" si="2"/>
        <v>19867968.460000001</v>
      </c>
      <c r="X47" s="80">
        <f t="shared" si="3"/>
        <v>0</v>
      </c>
      <c r="Y47" s="80"/>
      <c r="Z47" s="80">
        <f t="shared" si="4"/>
        <v>22877924.390000001</v>
      </c>
      <c r="AA47" s="80">
        <f t="shared" si="5"/>
        <v>0</v>
      </c>
      <c r="AC47" s="21"/>
    </row>
    <row r="48" spans="1:29" ht="24" x14ac:dyDescent="0.3">
      <c r="A48" s="9"/>
      <c r="B48" s="173"/>
      <c r="C48" s="277" t="s">
        <v>30</v>
      </c>
      <c r="D48" s="277"/>
      <c r="E48" s="171"/>
      <c r="F48" s="11">
        <v>1042445312</v>
      </c>
      <c r="G48" s="12"/>
      <c r="H48" s="198">
        <v>986326398</v>
      </c>
      <c r="I48" s="12"/>
      <c r="U48" s="80">
        <f t="shared" si="0"/>
        <v>10424453.119999999</v>
      </c>
      <c r="V48" s="80">
        <f t="shared" si="1"/>
        <v>0</v>
      </c>
      <c r="W48" s="80">
        <f t="shared" si="2"/>
        <v>9863263.9800000004</v>
      </c>
      <c r="X48" s="80">
        <f t="shared" si="3"/>
        <v>0</v>
      </c>
      <c r="Y48" s="80"/>
      <c r="Z48" s="80">
        <f t="shared" si="4"/>
        <v>561189.13999999873</v>
      </c>
      <c r="AA48" s="80">
        <f t="shared" si="5"/>
        <v>0</v>
      </c>
      <c r="AC48" s="21"/>
    </row>
    <row r="49" spans="1:27" ht="31.5" x14ac:dyDescent="0.3">
      <c r="A49" s="5" t="s">
        <v>42</v>
      </c>
      <c r="B49" s="295" t="s">
        <v>85</v>
      </c>
      <c r="C49" s="295"/>
      <c r="D49" s="295"/>
      <c r="E49" s="193"/>
      <c r="F49" s="7"/>
      <c r="G49" s="16">
        <v>-945491719492</v>
      </c>
      <c r="H49" s="155" t="s">
        <v>307</v>
      </c>
      <c r="I49" s="204">
        <v>-845201143929</v>
      </c>
      <c r="U49" s="80">
        <f t="shared" si="0"/>
        <v>0</v>
      </c>
      <c r="V49" s="81">
        <f t="shared" si="1"/>
        <v>-9454917194.9200001</v>
      </c>
      <c r="W49" s="80" t="e">
        <f t="shared" si="2"/>
        <v>#VALUE!</v>
      </c>
      <c r="X49" s="81">
        <f t="shared" si="3"/>
        <v>-8452011439.29</v>
      </c>
      <c r="Y49" s="81"/>
      <c r="Z49" s="80" t="e">
        <f t="shared" si="4"/>
        <v>#VALUE!</v>
      </c>
      <c r="AA49" s="81">
        <f t="shared" si="5"/>
        <v>-1002905755.6300001</v>
      </c>
    </row>
    <row r="50" spans="1:27" ht="31.5" x14ac:dyDescent="0.3">
      <c r="A50" s="5" t="s">
        <v>44</v>
      </c>
      <c r="B50" s="295" t="s">
        <v>129</v>
      </c>
      <c r="C50" s="295"/>
      <c r="D50" s="295"/>
      <c r="E50" s="193"/>
      <c r="F50" s="7"/>
      <c r="G50" s="8">
        <v>365288124104</v>
      </c>
      <c r="H50" s="155"/>
      <c r="I50" s="203">
        <v>451564489966</v>
      </c>
      <c r="U50" s="80">
        <f t="shared" si="0"/>
        <v>0</v>
      </c>
      <c r="V50" s="81">
        <f t="shared" si="1"/>
        <v>3652881241.04</v>
      </c>
      <c r="W50" s="80">
        <f t="shared" si="2"/>
        <v>0</v>
      </c>
      <c r="X50" s="81">
        <f t="shared" si="3"/>
        <v>4515644899.6599998</v>
      </c>
      <c r="Y50" s="81"/>
      <c r="Z50" s="80">
        <f t="shared" si="4"/>
        <v>0</v>
      </c>
      <c r="AA50" s="82">
        <f t="shared" si="5"/>
        <v>-862763658.61999989</v>
      </c>
    </row>
    <row r="51" spans="1:27" ht="24" x14ac:dyDescent="0.3">
      <c r="A51" s="9"/>
      <c r="B51" s="173"/>
      <c r="C51" s="277" t="s">
        <v>138</v>
      </c>
      <c r="D51" s="277"/>
      <c r="E51" s="171"/>
      <c r="F51" s="11">
        <v>15291671726</v>
      </c>
      <c r="G51" s="12"/>
      <c r="H51" s="198">
        <v>11378563233</v>
      </c>
      <c r="I51" s="12"/>
      <c r="U51" s="80">
        <f t="shared" si="0"/>
        <v>152916717.25999999</v>
      </c>
      <c r="V51" s="80">
        <f t="shared" si="1"/>
        <v>0</v>
      </c>
      <c r="W51" s="80">
        <f t="shared" si="2"/>
        <v>113785632.33</v>
      </c>
      <c r="X51" s="80">
        <f t="shared" si="3"/>
        <v>0</v>
      </c>
      <c r="Y51" s="80"/>
      <c r="Z51" s="80">
        <f t="shared" si="4"/>
        <v>39131084.929999992</v>
      </c>
      <c r="AA51" s="80">
        <f t="shared" si="5"/>
        <v>0</v>
      </c>
    </row>
    <row r="52" spans="1:27" ht="24" customHeight="1" x14ac:dyDescent="0.3">
      <c r="A52" s="9"/>
      <c r="B52" s="173"/>
      <c r="C52" s="277" t="s">
        <v>263</v>
      </c>
      <c r="D52" s="277"/>
      <c r="E52" s="171"/>
      <c r="F52" s="11">
        <v>6200000</v>
      </c>
      <c r="G52" s="12"/>
      <c r="H52" s="198">
        <v>256947819</v>
      </c>
      <c r="I52" s="12"/>
      <c r="U52" s="80"/>
      <c r="V52" s="80"/>
      <c r="W52" s="80">
        <f t="shared" si="2"/>
        <v>2569478.19</v>
      </c>
      <c r="X52" s="80"/>
      <c r="Y52" s="80"/>
      <c r="Z52" s="80"/>
      <c r="AA52" s="80"/>
    </row>
    <row r="53" spans="1:27" ht="1.5" customHeight="1" x14ac:dyDescent="0.3">
      <c r="A53" s="9"/>
      <c r="B53" s="173"/>
      <c r="C53" s="277" t="s">
        <v>139</v>
      </c>
      <c r="D53" s="277"/>
      <c r="E53" s="171"/>
      <c r="F53" s="11">
        <v>0</v>
      </c>
      <c r="G53" s="12"/>
      <c r="H53" s="206">
        <v>0</v>
      </c>
      <c r="I53" s="12"/>
      <c r="U53" s="80">
        <f t="shared" si="0"/>
        <v>0</v>
      </c>
      <c r="V53" s="80">
        <f t="shared" si="1"/>
        <v>0</v>
      </c>
      <c r="W53" s="80">
        <f>H54/100</f>
        <v>15441818.76</v>
      </c>
      <c r="X53" s="80">
        <f t="shared" si="3"/>
        <v>0</v>
      </c>
      <c r="Y53" s="80"/>
      <c r="Z53" s="80">
        <f t="shared" si="4"/>
        <v>-15441818.76</v>
      </c>
      <c r="AA53" s="80">
        <f t="shared" si="5"/>
        <v>0</v>
      </c>
    </row>
    <row r="54" spans="1:27" ht="24" x14ac:dyDescent="0.3">
      <c r="A54" s="9"/>
      <c r="B54" s="173"/>
      <c r="C54" s="277" t="s">
        <v>305</v>
      </c>
      <c r="D54" s="277"/>
      <c r="E54" s="171"/>
      <c r="F54" s="11">
        <v>5491625092</v>
      </c>
      <c r="G54" s="12"/>
      <c r="H54" s="198">
        <v>1544181876</v>
      </c>
      <c r="I54" s="12"/>
      <c r="U54" s="80">
        <f t="shared" si="0"/>
        <v>54916250.920000002</v>
      </c>
      <c r="V54" s="80">
        <f t="shared" si="1"/>
        <v>0</v>
      </c>
      <c r="W54" s="80" t="e">
        <f>#REF!/100</f>
        <v>#REF!</v>
      </c>
      <c r="X54" s="80">
        <f t="shared" si="3"/>
        <v>0</v>
      </c>
      <c r="Y54" s="80"/>
      <c r="Z54" s="80" t="e">
        <f t="shared" si="4"/>
        <v>#REF!</v>
      </c>
      <c r="AA54" s="80">
        <f t="shared" si="5"/>
        <v>0</v>
      </c>
    </row>
    <row r="55" spans="1:27" ht="24" x14ac:dyDescent="0.3">
      <c r="A55" s="9"/>
      <c r="B55" s="173"/>
      <c r="C55" s="277" t="s">
        <v>135</v>
      </c>
      <c r="D55" s="277"/>
      <c r="E55" s="171"/>
      <c r="F55" s="11">
        <v>24429538704</v>
      </c>
      <c r="G55" s="12"/>
      <c r="H55" s="198">
        <v>41963725155</v>
      </c>
      <c r="I55" s="12"/>
      <c r="U55" s="80">
        <f t="shared" si="0"/>
        <v>244295387.03999999</v>
      </c>
      <c r="V55" s="80">
        <f t="shared" si="1"/>
        <v>0</v>
      </c>
      <c r="W55" s="80">
        <f t="shared" si="2"/>
        <v>419637251.55000001</v>
      </c>
      <c r="X55" s="80">
        <f t="shared" si="3"/>
        <v>0</v>
      </c>
      <c r="Y55" s="80"/>
      <c r="Z55" s="80">
        <f t="shared" si="4"/>
        <v>-175341864.51000002</v>
      </c>
      <c r="AA55" s="80">
        <f t="shared" si="5"/>
        <v>0</v>
      </c>
    </row>
    <row r="56" spans="1:27" ht="24" hidden="1" customHeight="1" x14ac:dyDescent="0.3">
      <c r="A56" s="9"/>
      <c r="B56" s="173"/>
      <c r="C56" s="277" t="s">
        <v>10</v>
      </c>
      <c r="D56" s="277"/>
      <c r="E56" s="171"/>
      <c r="F56" s="11">
        <v>0</v>
      </c>
      <c r="G56" s="12"/>
      <c r="H56" s="198">
        <v>0</v>
      </c>
      <c r="I56" s="12"/>
      <c r="U56" s="80">
        <f t="shared" si="0"/>
        <v>0</v>
      </c>
      <c r="V56" s="80">
        <f t="shared" si="1"/>
        <v>0</v>
      </c>
      <c r="W56" s="80">
        <f t="shared" si="2"/>
        <v>0</v>
      </c>
      <c r="X56" s="80">
        <f t="shared" si="3"/>
        <v>0</v>
      </c>
      <c r="Y56" s="80"/>
      <c r="Z56" s="80">
        <f t="shared" si="4"/>
        <v>0</v>
      </c>
      <c r="AA56" s="80">
        <f t="shared" si="5"/>
        <v>0</v>
      </c>
    </row>
    <row r="57" spans="1:27" ht="24.75" hidden="1" customHeight="1" x14ac:dyDescent="0.3">
      <c r="A57" s="9"/>
      <c r="B57" s="173"/>
      <c r="C57" s="277" t="s">
        <v>13</v>
      </c>
      <c r="D57" s="277"/>
      <c r="E57" s="171"/>
      <c r="F57" s="11">
        <v>0</v>
      </c>
      <c r="G57" s="12"/>
      <c r="H57" s="198">
        <v>0</v>
      </c>
      <c r="I57" s="12"/>
      <c r="U57" s="80">
        <f t="shared" si="0"/>
        <v>0</v>
      </c>
      <c r="V57" s="80">
        <f t="shared" si="1"/>
        <v>0</v>
      </c>
      <c r="W57" s="80">
        <f t="shared" si="2"/>
        <v>0</v>
      </c>
      <c r="X57" s="80">
        <f t="shared" si="3"/>
        <v>0</v>
      </c>
      <c r="Y57" s="80"/>
      <c r="Z57" s="80">
        <f t="shared" si="4"/>
        <v>0</v>
      </c>
      <c r="AA57" s="80">
        <f t="shared" si="5"/>
        <v>0</v>
      </c>
    </row>
    <row r="58" spans="1:27" ht="24" x14ac:dyDescent="0.3">
      <c r="A58" s="9"/>
      <c r="B58" s="173"/>
      <c r="C58" s="277" t="s">
        <v>14</v>
      </c>
      <c r="D58" s="277"/>
      <c r="E58" s="171"/>
      <c r="F58" s="11">
        <v>1119751101</v>
      </c>
      <c r="G58" s="12"/>
      <c r="H58" s="198">
        <v>50265264613</v>
      </c>
      <c r="I58" s="12"/>
      <c r="U58" s="80">
        <f t="shared" si="0"/>
        <v>11197511.01</v>
      </c>
      <c r="V58" s="80">
        <f t="shared" si="1"/>
        <v>0</v>
      </c>
      <c r="W58" s="80">
        <f t="shared" si="2"/>
        <v>502652646.13</v>
      </c>
      <c r="X58" s="80">
        <f t="shared" si="3"/>
        <v>0</v>
      </c>
      <c r="Y58" s="80"/>
      <c r="Z58" s="80">
        <f t="shared" si="4"/>
        <v>-491455135.12</v>
      </c>
      <c r="AA58" s="80">
        <f t="shared" si="5"/>
        <v>0</v>
      </c>
    </row>
    <row r="59" spans="1:27" ht="24" customHeight="1" x14ac:dyDescent="0.3">
      <c r="A59" s="9"/>
      <c r="B59" s="173"/>
      <c r="C59" s="277" t="s">
        <v>141</v>
      </c>
      <c r="D59" s="277"/>
      <c r="E59" s="171"/>
      <c r="F59" s="11">
        <v>53782497</v>
      </c>
      <c r="G59" s="12"/>
      <c r="H59" s="198">
        <v>1261309354</v>
      </c>
      <c r="I59" s="12"/>
      <c r="U59" s="80">
        <f t="shared" si="0"/>
        <v>537824.97</v>
      </c>
      <c r="V59" s="80">
        <f t="shared" si="1"/>
        <v>0</v>
      </c>
      <c r="W59" s="80">
        <f t="shared" si="2"/>
        <v>12613093.539999999</v>
      </c>
      <c r="X59" s="80">
        <f t="shared" si="3"/>
        <v>0</v>
      </c>
      <c r="Y59" s="80"/>
      <c r="Z59" s="80">
        <f t="shared" si="4"/>
        <v>-12075268.569999998</v>
      </c>
      <c r="AA59" s="80">
        <f t="shared" si="5"/>
        <v>0</v>
      </c>
    </row>
    <row r="60" spans="1:27" ht="24" x14ac:dyDescent="0.3">
      <c r="A60" s="9"/>
      <c r="B60" s="173"/>
      <c r="C60" s="277" t="s">
        <v>125</v>
      </c>
      <c r="D60" s="277"/>
      <c r="E60" s="171"/>
      <c r="F60" s="11">
        <v>10046499678</v>
      </c>
      <c r="G60" s="12"/>
      <c r="H60" s="198">
        <v>55284291842</v>
      </c>
      <c r="I60" s="12"/>
      <c r="U60" s="80">
        <f t="shared" si="0"/>
        <v>100464996.78</v>
      </c>
      <c r="V60" s="80">
        <f t="shared" si="1"/>
        <v>0</v>
      </c>
      <c r="W60" s="80">
        <f t="shared" si="2"/>
        <v>552842918.41999996</v>
      </c>
      <c r="X60" s="80">
        <f t="shared" si="3"/>
        <v>0</v>
      </c>
      <c r="Y60" s="80"/>
      <c r="Z60" s="80">
        <f t="shared" si="4"/>
        <v>-452377921.63999999</v>
      </c>
      <c r="AA60" s="80">
        <f t="shared" si="5"/>
        <v>0</v>
      </c>
    </row>
    <row r="61" spans="1:27" ht="24" hidden="1" customHeight="1" x14ac:dyDescent="0.3">
      <c r="A61" s="9"/>
      <c r="B61" s="173"/>
      <c r="C61" s="277" t="s">
        <v>130</v>
      </c>
      <c r="D61" s="277"/>
      <c r="E61" s="171"/>
      <c r="F61" s="11">
        <v>0</v>
      </c>
      <c r="G61" s="12"/>
      <c r="H61" s="198">
        <v>0</v>
      </c>
      <c r="I61" s="12"/>
      <c r="U61" s="80">
        <f t="shared" si="0"/>
        <v>0</v>
      </c>
      <c r="V61" s="80">
        <f t="shared" si="1"/>
        <v>0</v>
      </c>
      <c r="W61" s="80">
        <f t="shared" si="2"/>
        <v>0</v>
      </c>
      <c r="X61" s="80">
        <f t="shared" si="3"/>
        <v>0</v>
      </c>
      <c r="Y61" s="80"/>
      <c r="Z61" s="80">
        <f t="shared" si="4"/>
        <v>0</v>
      </c>
      <c r="AA61" s="80">
        <f t="shared" si="5"/>
        <v>0</v>
      </c>
    </row>
    <row r="62" spans="1:27" ht="24" customHeight="1" x14ac:dyDescent="0.3">
      <c r="A62" s="9"/>
      <c r="B62" s="173"/>
      <c r="C62" s="288" t="s">
        <v>122</v>
      </c>
      <c r="D62" s="288"/>
      <c r="E62" s="171"/>
      <c r="F62" s="11">
        <v>30573449261</v>
      </c>
      <c r="G62" s="12"/>
      <c r="H62" s="198">
        <v>10704093214</v>
      </c>
      <c r="I62" s="12"/>
      <c r="U62" s="80">
        <f t="shared" si="0"/>
        <v>305734492.61000001</v>
      </c>
      <c r="V62" s="80">
        <f t="shared" si="1"/>
        <v>0</v>
      </c>
      <c r="W62" s="80">
        <f t="shared" si="2"/>
        <v>107040932.14</v>
      </c>
      <c r="X62" s="80">
        <f t="shared" si="3"/>
        <v>0</v>
      </c>
      <c r="Y62" s="80"/>
      <c r="Z62" s="80">
        <f t="shared" si="4"/>
        <v>198693560.47000003</v>
      </c>
      <c r="AA62" s="80">
        <f t="shared" si="5"/>
        <v>0</v>
      </c>
    </row>
    <row r="63" spans="1:27" ht="24" x14ac:dyDescent="0.3">
      <c r="A63" s="9"/>
      <c r="B63" s="173"/>
      <c r="C63" s="277" t="s">
        <v>31</v>
      </c>
      <c r="D63" s="277"/>
      <c r="E63" s="171"/>
      <c r="F63" s="11">
        <v>230000000000</v>
      </c>
      <c r="G63" s="12"/>
      <c r="H63" s="198">
        <v>210001662000</v>
      </c>
      <c r="I63" s="12"/>
      <c r="U63" s="80">
        <f t="shared" si="0"/>
        <v>2300000000</v>
      </c>
      <c r="V63" s="80">
        <f t="shared" si="1"/>
        <v>0</v>
      </c>
      <c r="W63" s="80">
        <f>H63/100</f>
        <v>2100016620</v>
      </c>
      <c r="X63" s="80">
        <f t="shared" si="3"/>
        <v>0</v>
      </c>
      <c r="Y63" s="80"/>
      <c r="Z63" s="80">
        <f t="shared" si="4"/>
        <v>199983380</v>
      </c>
      <c r="AA63" s="80">
        <f t="shared" si="5"/>
        <v>0</v>
      </c>
    </row>
    <row r="64" spans="1:27" ht="24" x14ac:dyDescent="0.3">
      <c r="A64" s="9"/>
      <c r="B64" s="173"/>
      <c r="C64" s="289" t="s">
        <v>38</v>
      </c>
      <c r="D64" s="289"/>
      <c r="E64" s="171"/>
      <c r="F64" s="11">
        <v>48275606045</v>
      </c>
      <c r="G64" s="12"/>
      <c r="H64" s="198">
        <v>68904450860</v>
      </c>
      <c r="I64" s="12"/>
      <c r="U64" s="80">
        <f t="shared" si="0"/>
        <v>482756060.44999999</v>
      </c>
      <c r="V64" s="80">
        <f t="shared" si="1"/>
        <v>0</v>
      </c>
      <c r="W64" s="80">
        <f>H64/100</f>
        <v>689044508.60000002</v>
      </c>
      <c r="X64" s="80">
        <f t="shared" si="3"/>
        <v>0</v>
      </c>
      <c r="Y64" s="80"/>
      <c r="Z64" s="80">
        <f t="shared" si="4"/>
        <v>-206288448.15000004</v>
      </c>
      <c r="AA64" s="80">
        <f t="shared" si="5"/>
        <v>0</v>
      </c>
    </row>
    <row r="65" spans="1:27" ht="31.5" x14ac:dyDescent="0.3">
      <c r="A65" s="5" t="s">
        <v>144</v>
      </c>
      <c r="B65" s="295" t="s">
        <v>154</v>
      </c>
      <c r="C65" s="295"/>
      <c r="D65" s="295"/>
      <c r="E65" s="193"/>
      <c r="F65" s="7"/>
      <c r="G65" s="8">
        <v>143923250276</v>
      </c>
      <c r="H65" s="155"/>
      <c r="I65" s="203">
        <v>123650587716</v>
      </c>
      <c r="U65" s="80">
        <f t="shared" si="0"/>
        <v>0</v>
      </c>
      <c r="V65" s="81">
        <f t="shared" si="1"/>
        <v>1439232502.76</v>
      </c>
      <c r="W65" s="80">
        <f t="shared" si="2"/>
        <v>0</v>
      </c>
      <c r="X65" s="81">
        <f t="shared" si="3"/>
        <v>1236505877.1600001</v>
      </c>
      <c r="Y65" s="81"/>
      <c r="Z65" s="80">
        <f t="shared" si="4"/>
        <v>0</v>
      </c>
      <c r="AA65" s="81">
        <f t="shared" si="5"/>
        <v>202726625.5999999</v>
      </c>
    </row>
    <row r="66" spans="1:27" ht="24" x14ac:dyDescent="0.3">
      <c r="A66" s="9"/>
      <c r="B66" s="173"/>
      <c r="C66" s="277" t="s">
        <v>126</v>
      </c>
      <c r="D66" s="277"/>
      <c r="E66" s="171"/>
      <c r="F66" s="11">
        <v>130574329550</v>
      </c>
      <c r="G66" s="12"/>
      <c r="H66" s="198">
        <v>105387070482</v>
      </c>
      <c r="I66" s="12"/>
      <c r="U66" s="80">
        <f t="shared" si="0"/>
        <v>1305743295.5</v>
      </c>
      <c r="V66" s="80">
        <f t="shared" si="1"/>
        <v>0</v>
      </c>
      <c r="W66" s="80">
        <f t="shared" si="2"/>
        <v>1053870704.8200001</v>
      </c>
      <c r="X66" s="80">
        <f t="shared" si="3"/>
        <v>0</v>
      </c>
      <c r="Y66" s="80"/>
      <c r="Z66" s="80">
        <f t="shared" si="4"/>
        <v>251872590.67999995</v>
      </c>
      <c r="AA66" s="80">
        <f t="shared" si="5"/>
        <v>0</v>
      </c>
    </row>
    <row r="67" spans="1:27" ht="24" hidden="1" customHeight="1" x14ac:dyDescent="0.3">
      <c r="A67" s="9"/>
      <c r="B67" s="173"/>
      <c r="C67" s="277" t="s">
        <v>12</v>
      </c>
      <c r="D67" s="277"/>
      <c r="E67" s="171"/>
      <c r="F67" s="11">
        <v>0</v>
      </c>
      <c r="G67" s="12"/>
      <c r="H67" s="198">
        <v>0</v>
      </c>
      <c r="I67" s="12"/>
      <c r="U67" s="80">
        <f t="shared" si="0"/>
        <v>0</v>
      </c>
      <c r="V67" s="80">
        <f t="shared" si="1"/>
        <v>0</v>
      </c>
      <c r="W67" s="80">
        <f t="shared" si="2"/>
        <v>0</v>
      </c>
      <c r="X67" s="80">
        <f t="shared" si="3"/>
        <v>0</v>
      </c>
      <c r="Y67" s="80"/>
      <c r="Z67" s="80">
        <f t="shared" si="4"/>
        <v>0</v>
      </c>
      <c r="AA67" s="80">
        <f t="shared" si="5"/>
        <v>0</v>
      </c>
    </row>
    <row r="68" spans="1:27" ht="24" x14ac:dyDescent="0.3">
      <c r="A68" s="9"/>
      <c r="B68" s="173"/>
      <c r="C68" s="277" t="s">
        <v>15</v>
      </c>
      <c r="D68" s="277"/>
      <c r="E68" s="171"/>
      <c r="F68" s="11">
        <v>906076787</v>
      </c>
      <c r="G68" s="12"/>
      <c r="H68" s="198">
        <v>89937432</v>
      </c>
      <c r="I68" s="12"/>
      <c r="U68" s="80">
        <f t="shared" si="0"/>
        <v>9060767.8699999992</v>
      </c>
      <c r="V68" s="80">
        <f t="shared" si="1"/>
        <v>0</v>
      </c>
      <c r="W68" s="80">
        <f t="shared" si="2"/>
        <v>899374.32</v>
      </c>
      <c r="X68" s="80">
        <f t="shared" si="3"/>
        <v>0</v>
      </c>
      <c r="Y68" s="80"/>
      <c r="Z68" s="80">
        <f t="shared" si="4"/>
        <v>8161393.5499999989</v>
      </c>
      <c r="AA68" s="80">
        <f t="shared" si="5"/>
        <v>0</v>
      </c>
    </row>
    <row r="69" spans="1:27" ht="24" x14ac:dyDescent="0.3">
      <c r="A69" s="9"/>
      <c r="B69" s="173"/>
      <c r="C69" s="277" t="s">
        <v>33</v>
      </c>
      <c r="D69" s="277"/>
      <c r="E69" s="171"/>
      <c r="F69" s="11">
        <v>72000000</v>
      </c>
      <c r="G69" s="12"/>
      <c r="H69" s="198">
        <v>66000000</v>
      </c>
      <c r="I69" s="12"/>
      <c r="U69" s="80">
        <f t="shared" si="0"/>
        <v>720000</v>
      </c>
      <c r="V69" s="80">
        <f t="shared" si="1"/>
        <v>0</v>
      </c>
      <c r="W69" s="80">
        <f t="shared" si="2"/>
        <v>660000</v>
      </c>
      <c r="X69" s="80">
        <f t="shared" si="3"/>
        <v>0</v>
      </c>
      <c r="Y69" s="80"/>
      <c r="Z69" s="80">
        <f t="shared" si="4"/>
        <v>60000</v>
      </c>
      <c r="AA69" s="80">
        <f t="shared" si="5"/>
        <v>0</v>
      </c>
    </row>
    <row r="70" spans="1:27" ht="24" customHeight="1" x14ac:dyDescent="0.3">
      <c r="A70" s="9"/>
      <c r="B70" s="173"/>
      <c r="C70" s="296" t="s">
        <v>308</v>
      </c>
      <c r="D70" s="296"/>
      <c r="E70" s="171"/>
      <c r="F70" s="11">
        <v>9581798</v>
      </c>
      <c r="G70" s="12"/>
      <c r="H70" s="198">
        <v>0</v>
      </c>
      <c r="I70" s="12"/>
      <c r="U70" s="80"/>
      <c r="V70" s="80"/>
      <c r="W70" s="80">
        <f t="shared" si="2"/>
        <v>0</v>
      </c>
      <c r="X70" s="80"/>
      <c r="Y70" s="80"/>
      <c r="Z70" s="80"/>
      <c r="AA70" s="80"/>
    </row>
    <row r="71" spans="1:27" ht="24" customHeight="1" x14ac:dyDescent="0.3">
      <c r="A71" s="9"/>
      <c r="B71" s="173"/>
      <c r="C71" s="277" t="s">
        <v>16</v>
      </c>
      <c r="D71" s="277"/>
      <c r="E71" s="171"/>
      <c r="F71" s="11">
        <v>0</v>
      </c>
      <c r="G71" s="12"/>
      <c r="H71" s="198">
        <v>8157119177</v>
      </c>
      <c r="I71" s="12"/>
      <c r="U71" s="80">
        <f t="shared" si="0"/>
        <v>0</v>
      </c>
      <c r="V71" s="80">
        <f t="shared" si="1"/>
        <v>0</v>
      </c>
      <c r="W71" s="80">
        <f t="shared" si="2"/>
        <v>81571191.769999996</v>
      </c>
      <c r="X71" s="80">
        <f t="shared" si="3"/>
        <v>0</v>
      </c>
      <c r="Y71" s="80"/>
      <c r="Z71" s="80">
        <f t="shared" si="4"/>
        <v>-81571191.769999996</v>
      </c>
      <c r="AA71" s="80">
        <f t="shared" si="5"/>
        <v>0</v>
      </c>
    </row>
    <row r="72" spans="1:27" ht="24" hidden="1" x14ac:dyDescent="0.3">
      <c r="A72" s="9"/>
      <c r="B72" s="173"/>
      <c r="C72" s="277" t="s">
        <v>8</v>
      </c>
      <c r="D72" s="277"/>
      <c r="E72" s="171"/>
      <c r="F72" s="11">
        <v>0</v>
      </c>
      <c r="G72" s="12"/>
      <c r="H72" s="198">
        <v>0</v>
      </c>
      <c r="I72" s="12"/>
      <c r="U72" s="80">
        <f t="shared" si="0"/>
        <v>0</v>
      </c>
      <c r="V72" s="80">
        <f t="shared" si="1"/>
        <v>0</v>
      </c>
      <c r="W72" s="80">
        <f t="shared" si="2"/>
        <v>0</v>
      </c>
      <c r="X72" s="80">
        <f t="shared" si="3"/>
        <v>0</v>
      </c>
      <c r="Y72" s="80"/>
      <c r="Z72" s="80">
        <f t="shared" si="4"/>
        <v>0</v>
      </c>
      <c r="AA72" s="80">
        <f t="shared" si="5"/>
        <v>0</v>
      </c>
    </row>
    <row r="73" spans="1:27" ht="24" x14ac:dyDescent="0.3">
      <c r="A73" s="9"/>
      <c r="B73" s="173"/>
      <c r="C73" s="277" t="s">
        <v>9</v>
      </c>
      <c r="D73" s="277"/>
      <c r="E73" s="171"/>
      <c r="F73" s="11">
        <v>10069617539</v>
      </c>
      <c r="G73" s="12"/>
      <c r="H73" s="198">
        <v>5338018664</v>
      </c>
      <c r="I73" s="12"/>
      <c r="U73" s="80">
        <f t="shared" si="0"/>
        <v>100696175.39</v>
      </c>
      <c r="V73" s="80">
        <f t="shared" si="1"/>
        <v>0</v>
      </c>
      <c r="W73" s="80">
        <f t="shared" si="2"/>
        <v>53380186.640000001</v>
      </c>
      <c r="X73" s="80">
        <f t="shared" si="3"/>
        <v>0</v>
      </c>
      <c r="Y73" s="80"/>
      <c r="Z73" s="80">
        <f t="shared" si="4"/>
        <v>47315988.75</v>
      </c>
      <c r="AA73" s="80">
        <f t="shared" si="5"/>
        <v>0</v>
      </c>
    </row>
    <row r="74" spans="1:27" ht="24" hidden="1" customHeight="1" x14ac:dyDescent="0.3">
      <c r="A74" s="9"/>
      <c r="B74" s="173"/>
      <c r="C74" s="277" t="s">
        <v>261</v>
      </c>
      <c r="D74" s="277"/>
      <c r="E74" s="171"/>
      <c r="F74" s="11">
        <v>0</v>
      </c>
      <c r="G74" s="12"/>
      <c r="H74" s="198">
        <v>0</v>
      </c>
      <c r="I74" s="12"/>
      <c r="U74" s="80"/>
      <c r="V74" s="80"/>
      <c r="W74" s="80">
        <f t="shared" si="2"/>
        <v>0</v>
      </c>
      <c r="X74" s="80"/>
      <c r="Y74" s="80"/>
      <c r="Z74" s="80"/>
      <c r="AA74" s="80"/>
    </row>
    <row r="75" spans="1:27" ht="24" hidden="1" x14ac:dyDescent="0.3">
      <c r="A75" s="9"/>
      <c r="B75" s="173"/>
      <c r="C75" s="277" t="s">
        <v>17</v>
      </c>
      <c r="D75" s="277"/>
      <c r="E75" s="171"/>
      <c r="F75" s="11">
        <v>0</v>
      </c>
      <c r="G75" s="12"/>
      <c r="H75" s="198">
        <v>0</v>
      </c>
      <c r="I75" s="12"/>
      <c r="U75" s="80">
        <f t="shared" ref="U75:U83" si="6">F75/100</f>
        <v>0</v>
      </c>
      <c r="V75" s="80">
        <f t="shared" ref="V75:V83" si="7">G75/100</f>
        <v>0</v>
      </c>
      <c r="W75" s="80">
        <f t="shared" ref="W75:W83" si="8">H75/100</f>
        <v>0</v>
      </c>
      <c r="X75" s="80">
        <f t="shared" ref="X75:X83" si="9">I75/100</f>
        <v>0</v>
      </c>
      <c r="Y75" s="80"/>
      <c r="Z75" s="80">
        <f t="shared" ref="Z75:Z83" si="10">U75-W75</f>
        <v>0</v>
      </c>
      <c r="AA75" s="80">
        <f t="shared" ref="AA75:AA83" si="11">V75-X75</f>
        <v>0</v>
      </c>
    </row>
    <row r="76" spans="1:27" ht="24" x14ac:dyDescent="0.3">
      <c r="A76" s="9"/>
      <c r="B76" s="173"/>
      <c r="C76" s="277" t="s">
        <v>260</v>
      </c>
      <c r="D76" s="277"/>
      <c r="E76" s="171"/>
      <c r="F76" s="11">
        <v>3577948</v>
      </c>
      <c r="G76" s="12"/>
      <c r="H76" s="198">
        <v>29613333</v>
      </c>
      <c r="I76" s="12"/>
      <c r="U76" s="80"/>
      <c r="V76" s="80"/>
      <c r="W76" s="80">
        <f t="shared" si="8"/>
        <v>296133.33</v>
      </c>
      <c r="X76" s="80"/>
      <c r="Y76" s="80"/>
      <c r="Z76" s="80"/>
      <c r="AA76" s="80"/>
    </row>
    <row r="77" spans="1:27" ht="24" x14ac:dyDescent="0.3">
      <c r="A77" s="9"/>
      <c r="B77" s="173"/>
      <c r="C77" s="277" t="s">
        <v>11</v>
      </c>
      <c r="D77" s="277"/>
      <c r="E77" s="171"/>
      <c r="F77" s="11">
        <v>747139713</v>
      </c>
      <c r="G77" s="12"/>
      <c r="H77" s="198">
        <v>982475148</v>
      </c>
      <c r="I77" s="12"/>
      <c r="U77" s="80">
        <f t="shared" si="6"/>
        <v>7471397.1299999999</v>
      </c>
      <c r="V77" s="80">
        <f t="shared" si="7"/>
        <v>0</v>
      </c>
      <c r="W77" s="80">
        <f t="shared" si="8"/>
        <v>9824751.4800000004</v>
      </c>
      <c r="X77" s="80">
        <f t="shared" si="9"/>
        <v>0</v>
      </c>
      <c r="Y77" s="80"/>
      <c r="Z77" s="80">
        <f t="shared" si="10"/>
        <v>-2353354.3500000006</v>
      </c>
      <c r="AA77" s="80">
        <f t="shared" si="11"/>
        <v>0</v>
      </c>
    </row>
    <row r="78" spans="1:27" ht="24" customHeight="1" x14ac:dyDescent="0.3">
      <c r="A78" s="9"/>
      <c r="B78" s="173"/>
      <c r="C78" s="288" t="s">
        <v>131</v>
      </c>
      <c r="D78" s="288"/>
      <c r="E78" s="171"/>
      <c r="F78" s="11">
        <v>0</v>
      </c>
      <c r="G78" s="12"/>
      <c r="H78" s="198">
        <v>331464495</v>
      </c>
      <c r="I78" s="12"/>
      <c r="U78" s="80">
        <f t="shared" si="6"/>
        <v>0</v>
      </c>
      <c r="V78" s="80">
        <f t="shared" si="7"/>
        <v>0</v>
      </c>
      <c r="W78" s="80">
        <f t="shared" si="8"/>
        <v>3314644.95</v>
      </c>
      <c r="X78" s="80">
        <f t="shared" si="9"/>
        <v>0</v>
      </c>
      <c r="Y78" s="80"/>
      <c r="Z78" s="80">
        <f t="shared" si="10"/>
        <v>-3314644.95</v>
      </c>
      <c r="AA78" s="80">
        <f t="shared" si="11"/>
        <v>0</v>
      </c>
    </row>
    <row r="79" spans="1:27" ht="24" hidden="1" customHeight="1" x14ac:dyDescent="0.3">
      <c r="A79" s="9"/>
      <c r="B79" s="173"/>
      <c r="C79" s="277" t="s">
        <v>134</v>
      </c>
      <c r="D79" s="277"/>
      <c r="E79" s="171"/>
      <c r="F79" s="11">
        <v>0</v>
      </c>
      <c r="G79" s="12"/>
      <c r="H79" s="198">
        <v>0</v>
      </c>
      <c r="I79" s="12"/>
      <c r="U79" s="80">
        <f t="shared" si="6"/>
        <v>0</v>
      </c>
      <c r="V79" s="80">
        <f t="shared" si="7"/>
        <v>0</v>
      </c>
      <c r="W79" s="80">
        <f t="shared" si="8"/>
        <v>0</v>
      </c>
      <c r="X79" s="80">
        <f t="shared" si="9"/>
        <v>0</v>
      </c>
      <c r="Y79" s="80"/>
      <c r="Z79" s="80">
        <f t="shared" si="10"/>
        <v>0</v>
      </c>
      <c r="AA79" s="80">
        <f t="shared" si="11"/>
        <v>0</v>
      </c>
    </row>
    <row r="80" spans="1:27" ht="24" x14ac:dyDescent="0.3">
      <c r="A80" s="9"/>
      <c r="B80" s="173"/>
      <c r="C80" s="277" t="s">
        <v>35</v>
      </c>
      <c r="D80" s="277"/>
      <c r="E80" s="171"/>
      <c r="F80" s="11">
        <v>1540926941</v>
      </c>
      <c r="G80" s="12"/>
      <c r="H80" s="198">
        <v>3268888985</v>
      </c>
      <c r="I80" s="12"/>
      <c r="U80" s="80">
        <f t="shared" si="6"/>
        <v>15409269.41</v>
      </c>
      <c r="V80" s="80">
        <f t="shared" si="7"/>
        <v>0</v>
      </c>
      <c r="W80" s="80">
        <f t="shared" si="8"/>
        <v>32688889.850000001</v>
      </c>
      <c r="X80" s="80">
        <f t="shared" si="9"/>
        <v>0</v>
      </c>
      <c r="Y80" s="80"/>
      <c r="Z80" s="80">
        <f t="shared" si="10"/>
        <v>-17279620.440000001</v>
      </c>
      <c r="AA80" s="80">
        <f t="shared" si="11"/>
        <v>0</v>
      </c>
    </row>
    <row r="81" spans="1:29" ht="31.5" x14ac:dyDescent="0.3">
      <c r="A81" s="5" t="s">
        <v>151</v>
      </c>
      <c r="B81" s="295" t="s">
        <v>0</v>
      </c>
      <c r="C81" s="295"/>
      <c r="D81" s="295"/>
      <c r="E81" s="193"/>
      <c r="F81" s="7"/>
      <c r="G81" s="16">
        <v>-724126845664</v>
      </c>
      <c r="H81" s="155"/>
      <c r="I81" s="204">
        <v>-517287241679</v>
      </c>
      <c r="U81" s="80">
        <f t="shared" si="6"/>
        <v>0</v>
      </c>
      <c r="V81" s="81">
        <f t="shared" si="7"/>
        <v>-7241268456.6400003</v>
      </c>
      <c r="W81" s="80">
        <f t="shared" si="8"/>
        <v>0</v>
      </c>
      <c r="X81" s="81">
        <f t="shared" si="9"/>
        <v>-5172872416.79</v>
      </c>
      <c r="Y81" s="81"/>
      <c r="Z81" s="80">
        <f t="shared" si="10"/>
        <v>0</v>
      </c>
      <c r="AA81" s="81">
        <f t="shared" si="11"/>
        <v>-2068396039.8500004</v>
      </c>
      <c r="AC81" s="86"/>
    </row>
    <row r="82" spans="1:29" ht="24" x14ac:dyDescent="0.3">
      <c r="A82" s="5" t="s">
        <v>51</v>
      </c>
      <c r="B82" s="295" t="s">
        <v>127</v>
      </c>
      <c r="C82" s="295"/>
      <c r="D82" s="295"/>
      <c r="E82" s="193"/>
      <c r="F82" s="7"/>
      <c r="G82" s="8">
        <v>0</v>
      </c>
      <c r="H82" s="155"/>
      <c r="I82" s="8">
        <v>0</v>
      </c>
      <c r="U82" s="80">
        <f t="shared" si="6"/>
        <v>0</v>
      </c>
      <c r="V82" s="80">
        <f t="shared" si="7"/>
        <v>0</v>
      </c>
      <c r="W82" s="80">
        <f t="shared" si="8"/>
        <v>0</v>
      </c>
      <c r="X82" s="80">
        <f t="shared" si="9"/>
        <v>0</v>
      </c>
      <c r="Y82" s="80"/>
      <c r="Z82" s="80">
        <f t="shared" si="10"/>
        <v>0</v>
      </c>
      <c r="AA82" s="80">
        <f t="shared" si="11"/>
        <v>0</v>
      </c>
    </row>
    <row r="83" spans="1:29" ht="32.25" thickBot="1" x14ac:dyDescent="0.35">
      <c r="A83" s="17" t="s">
        <v>47</v>
      </c>
      <c r="B83" s="297" t="s">
        <v>88</v>
      </c>
      <c r="C83" s="297"/>
      <c r="D83" s="297"/>
      <c r="E83" s="18"/>
      <c r="F83" s="19"/>
      <c r="G83" s="20">
        <v>-724126845664</v>
      </c>
      <c r="H83" s="151"/>
      <c r="I83" s="205">
        <v>-517287241679</v>
      </c>
      <c r="U83" s="80">
        <f t="shared" si="6"/>
        <v>0</v>
      </c>
      <c r="V83" s="81">
        <f t="shared" si="7"/>
        <v>-7241268456.6400003</v>
      </c>
      <c r="W83" s="80">
        <f t="shared" si="8"/>
        <v>0</v>
      </c>
      <c r="X83" s="81">
        <f t="shared" si="9"/>
        <v>-5172872416.79</v>
      </c>
      <c r="Y83" s="81"/>
      <c r="Z83" s="80">
        <f t="shared" si="10"/>
        <v>0</v>
      </c>
      <c r="AA83" s="81">
        <f t="shared" si="11"/>
        <v>-2068396039.8500004</v>
      </c>
    </row>
  </sheetData>
  <mergeCells count="76">
    <mergeCell ref="B83:D83"/>
    <mergeCell ref="C73:D73"/>
    <mergeCell ref="C75:D75"/>
    <mergeCell ref="C77:D77"/>
    <mergeCell ref="C78:D78"/>
    <mergeCell ref="C79:D79"/>
    <mergeCell ref="C80:D80"/>
    <mergeCell ref="B81:D81"/>
    <mergeCell ref="B82:D82"/>
    <mergeCell ref="C76:D76"/>
    <mergeCell ref="C74:D74"/>
    <mergeCell ref="C72:D72"/>
    <mergeCell ref="C60:D60"/>
    <mergeCell ref="C61:D61"/>
    <mergeCell ref="C62:D62"/>
    <mergeCell ref="C64:D64"/>
    <mergeCell ref="B65:D65"/>
    <mergeCell ref="C66:D66"/>
    <mergeCell ref="C67:D67"/>
    <mergeCell ref="C68:D68"/>
    <mergeCell ref="C69:D69"/>
    <mergeCell ref="C71:D71"/>
    <mergeCell ref="C63:D63"/>
    <mergeCell ref="C70:D70"/>
    <mergeCell ref="C59:D59"/>
    <mergeCell ref="B49:D49"/>
    <mergeCell ref="B50:D50"/>
    <mergeCell ref="C51:D51"/>
    <mergeCell ref="C53:D53"/>
    <mergeCell ref="C54:D54"/>
    <mergeCell ref="C55:D55"/>
    <mergeCell ref="C56:D56"/>
    <mergeCell ref="C57:D57"/>
    <mergeCell ref="C58:D58"/>
    <mergeCell ref="C52:D52"/>
    <mergeCell ref="C46:D46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18:D18"/>
    <mergeCell ref="C34:D34"/>
    <mergeCell ref="B23:D23"/>
    <mergeCell ref="B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6:D16"/>
    <mergeCell ref="C47:D47"/>
    <mergeCell ref="C48:D48"/>
    <mergeCell ref="C19:D19"/>
    <mergeCell ref="A1:I1"/>
    <mergeCell ref="A2:I2"/>
    <mergeCell ref="A3:I3"/>
    <mergeCell ref="A4:G4"/>
    <mergeCell ref="A5:D5"/>
    <mergeCell ref="B6:D6"/>
    <mergeCell ref="F6:G6"/>
    <mergeCell ref="H6:I6"/>
    <mergeCell ref="B7:D7"/>
    <mergeCell ref="C8:D8"/>
    <mergeCell ref="C12:D12"/>
    <mergeCell ref="B17:D17"/>
  </mergeCells>
  <phoneticPr fontId="124" type="noConversion"/>
  <pageMargins left="0.25" right="0.25" top="0.75" bottom="0.75" header="0.3" footer="0.3"/>
  <pageSetup paperSize="9" scale="5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F0"/>
    <pageSetUpPr fitToPage="1"/>
  </sheetPr>
  <dimension ref="A1:V36"/>
  <sheetViews>
    <sheetView view="pageBreakPreview" topLeftCell="A7" zoomScale="60" zoomScaleNormal="70" workbookViewId="0">
      <selection activeCell="U35" sqref="U35"/>
    </sheetView>
  </sheetViews>
  <sheetFormatPr defaultRowHeight="16.5" x14ac:dyDescent="0.3"/>
  <cols>
    <col min="1" max="1" width="5" bestFit="1" customWidth="1"/>
    <col min="2" max="2" width="4.75" customWidth="1"/>
    <col min="3" max="3" width="35.625" customWidth="1"/>
    <col min="4" max="4" width="3.5" customWidth="1"/>
    <col min="5" max="8" width="26.375" customWidth="1"/>
    <col min="9" max="9" width="14.875" hidden="1" customWidth="1"/>
    <col min="10" max="11" width="9" hidden="1" customWidth="1"/>
    <col min="12" max="12" width="14.875" hidden="1" customWidth="1"/>
    <col min="13" max="13" width="16" hidden="1" customWidth="1"/>
    <col min="14" max="14" width="14.875" hidden="1" customWidth="1"/>
    <col min="15" max="15" width="16" hidden="1" customWidth="1"/>
    <col min="16" max="16" width="9" hidden="1" customWidth="1"/>
    <col min="17" max="17" width="13.25" hidden="1" customWidth="1"/>
    <col min="18" max="18" width="12.125" hidden="1" customWidth="1"/>
    <col min="19" max="19" width="9" customWidth="1"/>
    <col min="20" max="20" width="16" bestFit="1" customWidth="1"/>
  </cols>
  <sheetData>
    <row r="1" spans="1:22" ht="39" x14ac:dyDescent="0.3">
      <c r="A1" s="271" t="s">
        <v>22</v>
      </c>
      <c r="B1" s="271"/>
      <c r="C1" s="271"/>
      <c r="D1" s="271"/>
      <c r="E1" s="271"/>
      <c r="F1" s="271"/>
      <c r="G1" s="271"/>
      <c r="H1" s="271"/>
    </row>
    <row r="2" spans="1:22" ht="20.25" x14ac:dyDescent="0.3">
      <c r="A2" s="272" t="s">
        <v>503</v>
      </c>
      <c r="B2" s="272"/>
      <c r="C2" s="272"/>
      <c r="D2" s="272"/>
      <c r="E2" s="272"/>
      <c r="F2" s="272"/>
      <c r="G2" s="272"/>
      <c r="H2" s="272"/>
      <c r="I2" s="69"/>
    </row>
    <row r="3" spans="1:22" ht="20.25" x14ac:dyDescent="0.3">
      <c r="A3" s="272" t="s">
        <v>504</v>
      </c>
      <c r="B3" s="272"/>
      <c r="C3" s="272"/>
      <c r="D3" s="272"/>
      <c r="E3" s="272"/>
      <c r="F3" s="272"/>
      <c r="G3" s="272"/>
      <c r="H3" s="272"/>
      <c r="I3" s="69"/>
    </row>
    <row r="4" spans="1:22" x14ac:dyDescent="0.3">
      <c r="A4" s="290"/>
      <c r="B4" s="290"/>
      <c r="C4" s="290"/>
      <c r="D4" s="290"/>
      <c r="E4" s="290"/>
    </row>
    <row r="5" spans="1:22" ht="21" thickBot="1" x14ac:dyDescent="0.35">
      <c r="A5" s="291" t="s">
        <v>155</v>
      </c>
      <c r="B5" s="291"/>
      <c r="C5" s="291"/>
      <c r="D5" s="1"/>
      <c r="E5" s="3"/>
      <c r="H5" s="3" t="s">
        <v>84</v>
      </c>
    </row>
    <row r="6" spans="1:22" ht="53.25" customHeight="1" thickBot="1" x14ac:dyDescent="0.35">
      <c r="A6" s="68" t="s">
        <v>58</v>
      </c>
      <c r="B6" s="304" t="s">
        <v>104</v>
      </c>
      <c r="C6" s="304"/>
      <c r="D6" s="270"/>
      <c r="E6" s="292" t="s">
        <v>304</v>
      </c>
      <c r="F6" s="274"/>
      <c r="G6" s="292" t="s">
        <v>262</v>
      </c>
      <c r="H6" s="274"/>
    </row>
    <row r="7" spans="1:22" ht="27.95" customHeight="1" x14ac:dyDescent="0.3">
      <c r="A7" s="67" t="s">
        <v>54</v>
      </c>
      <c r="B7" s="302" t="s">
        <v>66</v>
      </c>
      <c r="C7" s="302"/>
      <c r="D7" s="66"/>
      <c r="E7" s="65"/>
      <c r="F7" s="64">
        <v>1339339597386</v>
      </c>
      <c r="G7" s="161"/>
      <c r="H7" s="64">
        <v>1151418302421</v>
      </c>
      <c r="I7" s="21">
        <f>H7-F7</f>
        <v>-187921294965</v>
      </c>
      <c r="L7" s="80">
        <f>E7/100</f>
        <v>0</v>
      </c>
      <c r="M7" s="81">
        <f>F7/100</f>
        <v>13393395973.860001</v>
      </c>
      <c r="N7" s="80">
        <f>G7/100</f>
        <v>0</v>
      </c>
      <c r="O7" s="81">
        <f>H7/100</f>
        <v>11514183024.209999</v>
      </c>
      <c r="Q7" s="80">
        <f>L7-N7</f>
        <v>0</v>
      </c>
      <c r="R7" s="81">
        <f>M7-O7</f>
        <v>1879212949.6500015</v>
      </c>
      <c r="T7" s="21"/>
      <c r="V7" s="21"/>
    </row>
    <row r="8" spans="1:22" ht="27.95" customHeight="1" x14ac:dyDescent="0.3">
      <c r="A8" s="9"/>
      <c r="B8" s="298" t="s">
        <v>34</v>
      </c>
      <c r="C8" s="298"/>
      <c r="D8" s="10"/>
      <c r="E8" s="149">
        <v>1128985933406</v>
      </c>
      <c r="F8" s="12"/>
      <c r="G8" s="149">
        <v>1059469985632</v>
      </c>
      <c r="H8" s="143"/>
      <c r="L8" s="80">
        <f t="shared" ref="L8:L33" si="0">E8/100</f>
        <v>11289859334.059999</v>
      </c>
      <c r="M8" s="80">
        <f t="shared" ref="M8:M33" si="1">F8/100</f>
        <v>0</v>
      </c>
      <c r="N8" s="80">
        <f t="shared" ref="N8:N33" si="2">G8/100</f>
        <v>10594699856.32</v>
      </c>
      <c r="O8" s="80">
        <f t="shared" ref="O8:O33" si="3">H8/100</f>
        <v>0</v>
      </c>
      <c r="Q8" s="80">
        <f t="shared" ref="Q8:Q33" si="4">L8-N8</f>
        <v>695159477.73999977</v>
      </c>
      <c r="R8" s="80">
        <f t="shared" ref="R8:R33" si="5">M8-O8</f>
        <v>0</v>
      </c>
      <c r="V8" s="21"/>
    </row>
    <row r="9" spans="1:22" ht="27.95" customHeight="1" x14ac:dyDescent="0.3">
      <c r="A9" s="13"/>
      <c r="B9" s="298" t="s">
        <v>114</v>
      </c>
      <c r="C9" s="298"/>
      <c r="D9" s="10"/>
      <c r="E9" s="149">
        <v>210353663980</v>
      </c>
      <c r="F9" s="12"/>
      <c r="G9" s="149">
        <v>91948316789</v>
      </c>
      <c r="H9" s="143"/>
      <c r="L9" s="80">
        <f t="shared" si="0"/>
        <v>2103536639.8</v>
      </c>
      <c r="M9" s="80">
        <f t="shared" si="1"/>
        <v>0</v>
      </c>
      <c r="N9" s="80">
        <f t="shared" si="2"/>
        <v>919483167.88999999</v>
      </c>
      <c r="O9" s="80">
        <f t="shared" si="3"/>
        <v>0</v>
      </c>
      <c r="Q9" s="80">
        <f t="shared" si="4"/>
        <v>1184053471.9099998</v>
      </c>
      <c r="R9" s="80">
        <f t="shared" si="5"/>
        <v>0</v>
      </c>
    </row>
    <row r="10" spans="1:22" ht="27.75" customHeight="1" x14ac:dyDescent="0.3">
      <c r="A10" s="5" t="s">
        <v>46</v>
      </c>
      <c r="B10" s="303" t="s">
        <v>68</v>
      </c>
      <c r="C10" s="303"/>
      <c r="D10" s="6"/>
      <c r="E10" s="63"/>
      <c r="F10" s="8">
        <v>1350511904284</v>
      </c>
      <c r="G10" s="162"/>
      <c r="H10" s="8">
        <v>1308753436529</v>
      </c>
      <c r="L10" s="80">
        <f t="shared" si="0"/>
        <v>0</v>
      </c>
      <c r="M10" s="81">
        <f t="shared" si="1"/>
        <v>13505119042.84</v>
      </c>
      <c r="N10" s="80">
        <f t="shared" si="2"/>
        <v>0</v>
      </c>
      <c r="O10" s="81">
        <f t="shared" si="3"/>
        <v>13087534365.290001</v>
      </c>
      <c r="Q10" s="80">
        <f t="shared" si="4"/>
        <v>0</v>
      </c>
      <c r="R10" s="81">
        <f t="shared" si="5"/>
        <v>417584677.54999924</v>
      </c>
      <c r="T10" s="21"/>
    </row>
    <row r="11" spans="1:22" ht="27.95" customHeight="1" x14ac:dyDescent="0.3">
      <c r="A11" s="9"/>
      <c r="B11" s="300" t="s">
        <v>109</v>
      </c>
      <c r="C11" s="300"/>
      <c r="D11" s="10"/>
      <c r="E11" s="149">
        <v>168192205387</v>
      </c>
      <c r="F11" s="12"/>
      <c r="G11" s="149">
        <v>166252147644</v>
      </c>
      <c r="H11" s="143"/>
      <c r="L11" s="80">
        <f t="shared" si="0"/>
        <v>1681922053.8699999</v>
      </c>
      <c r="M11" s="80">
        <f t="shared" si="1"/>
        <v>0</v>
      </c>
      <c r="N11" s="80">
        <f t="shared" si="2"/>
        <v>1662521476.4400001</v>
      </c>
      <c r="O11" s="80">
        <f t="shared" si="3"/>
        <v>0</v>
      </c>
      <c r="Q11" s="80">
        <f t="shared" si="4"/>
        <v>19400577.429999828</v>
      </c>
      <c r="R11" s="80">
        <f t="shared" si="5"/>
        <v>0</v>
      </c>
    </row>
    <row r="12" spans="1:22" ht="27.95" customHeight="1" x14ac:dyDescent="0.3">
      <c r="A12" s="9"/>
      <c r="B12" s="298" t="s">
        <v>119</v>
      </c>
      <c r="C12" s="298"/>
      <c r="D12" s="10"/>
      <c r="E12" s="149">
        <v>591416117</v>
      </c>
      <c r="F12" s="12"/>
      <c r="G12" s="149">
        <v>730818818</v>
      </c>
      <c r="H12" s="143"/>
      <c r="L12" s="80">
        <f t="shared" si="0"/>
        <v>5914161.1699999999</v>
      </c>
      <c r="M12" s="80">
        <f t="shared" si="1"/>
        <v>0</v>
      </c>
      <c r="N12" s="80">
        <f t="shared" si="2"/>
        <v>7308188.1799999997</v>
      </c>
      <c r="O12" s="80">
        <f t="shared" si="3"/>
        <v>0</v>
      </c>
      <c r="Q12" s="80">
        <f t="shared" si="4"/>
        <v>-1394027.0099999998</v>
      </c>
      <c r="R12" s="80">
        <f t="shared" si="5"/>
        <v>0</v>
      </c>
    </row>
    <row r="13" spans="1:22" ht="27.95" customHeight="1" x14ac:dyDescent="0.3">
      <c r="A13" s="5"/>
      <c r="B13" s="298" t="s">
        <v>107</v>
      </c>
      <c r="C13" s="298"/>
      <c r="D13" s="6"/>
      <c r="E13" s="149">
        <v>264169534539</v>
      </c>
      <c r="F13" s="12"/>
      <c r="G13" s="149">
        <v>247053866681</v>
      </c>
      <c r="H13" s="143"/>
      <c r="L13" s="80">
        <f t="shared" si="0"/>
        <v>2641695345.3899999</v>
      </c>
      <c r="M13" s="80">
        <f t="shared" si="1"/>
        <v>0</v>
      </c>
      <c r="N13" s="80">
        <f t="shared" si="2"/>
        <v>2470538666.8099999</v>
      </c>
      <c r="O13" s="80">
        <f t="shared" si="3"/>
        <v>0</v>
      </c>
      <c r="Q13" s="80">
        <f t="shared" si="4"/>
        <v>171156678.57999992</v>
      </c>
      <c r="R13" s="80">
        <f t="shared" si="5"/>
        <v>0</v>
      </c>
    </row>
    <row r="14" spans="1:22" ht="27.95" customHeight="1" x14ac:dyDescent="0.3">
      <c r="A14" s="5"/>
      <c r="B14" s="298" t="s">
        <v>115</v>
      </c>
      <c r="C14" s="298"/>
      <c r="D14" s="6"/>
      <c r="E14" s="149">
        <v>13899481677</v>
      </c>
      <c r="F14" s="12"/>
      <c r="G14" s="149">
        <v>14395425045</v>
      </c>
      <c r="H14" s="143"/>
      <c r="L14" s="80">
        <f t="shared" si="0"/>
        <v>138994816.77000001</v>
      </c>
      <c r="M14" s="80">
        <f t="shared" si="1"/>
        <v>0</v>
      </c>
      <c r="N14" s="80">
        <f t="shared" si="2"/>
        <v>143954250.44999999</v>
      </c>
      <c r="O14" s="80">
        <f t="shared" si="3"/>
        <v>0</v>
      </c>
      <c r="Q14" s="80">
        <f t="shared" si="4"/>
        <v>-4959433.6799999774</v>
      </c>
      <c r="R14" s="80">
        <f t="shared" si="5"/>
        <v>0</v>
      </c>
    </row>
    <row r="15" spans="1:22" ht="27.95" customHeight="1" x14ac:dyDescent="0.3">
      <c r="A15" s="9"/>
      <c r="B15" s="298" t="s">
        <v>118</v>
      </c>
      <c r="C15" s="298"/>
      <c r="D15" s="10"/>
      <c r="E15" s="149">
        <v>3859390106</v>
      </c>
      <c r="F15" s="12"/>
      <c r="G15" s="149">
        <v>3991945879</v>
      </c>
      <c r="H15" s="143"/>
      <c r="L15" s="80">
        <f t="shared" si="0"/>
        <v>38593901.060000002</v>
      </c>
      <c r="M15" s="80">
        <f t="shared" si="1"/>
        <v>0</v>
      </c>
      <c r="N15" s="80">
        <f t="shared" si="2"/>
        <v>39919458.789999999</v>
      </c>
      <c r="O15" s="80">
        <f t="shared" si="3"/>
        <v>0</v>
      </c>
      <c r="Q15" s="80">
        <f t="shared" si="4"/>
        <v>-1325557.7299999967</v>
      </c>
      <c r="R15" s="80">
        <f t="shared" si="5"/>
        <v>0</v>
      </c>
    </row>
    <row r="16" spans="1:22" ht="27.95" customHeight="1" x14ac:dyDescent="0.3">
      <c r="A16" s="9"/>
      <c r="B16" s="298" t="s">
        <v>110</v>
      </c>
      <c r="C16" s="298"/>
      <c r="D16" s="10"/>
      <c r="E16" s="149">
        <v>884357785</v>
      </c>
      <c r="F16" s="12"/>
      <c r="G16" s="149">
        <v>536195758</v>
      </c>
      <c r="H16" s="143"/>
      <c r="L16" s="80">
        <f t="shared" si="0"/>
        <v>8843577.8499999996</v>
      </c>
      <c r="M16" s="80">
        <f t="shared" si="1"/>
        <v>0</v>
      </c>
      <c r="N16" s="80">
        <f t="shared" si="2"/>
        <v>5361957.58</v>
      </c>
      <c r="O16" s="80">
        <f t="shared" si="3"/>
        <v>0</v>
      </c>
      <c r="Q16" s="80">
        <f t="shared" si="4"/>
        <v>3481620.2699999996</v>
      </c>
      <c r="R16" s="80">
        <f t="shared" si="5"/>
        <v>0</v>
      </c>
    </row>
    <row r="17" spans="1:18" ht="27.95" customHeight="1" x14ac:dyDescent="0.3">
      <c r="A17" s="9"/>
      <c r="B17" s="298" t="s">
        <v>37</v>
      </c>
      <c r="C17" s="298"/>
      <c r="D17" s="10"/>
      <c r="E17" s="149">
        <v>3761044542</v>
      </c>
      <c r="F17" s="12"/>
      <c r="G17" s="149">
        <v>2988602113</v>
      </c>
      <c r="H17" s="143"/>
      <c r="L17" s="80">
        <f t="shared" si="0"/>
        <v>37610445.420000002</v>
      </c>
      <c r="M17" s="80">
        <f t="shared" si="1"/>
        <v>0</v>
      </c>
      <c r="N17" s="80">
        <f t="shared" si="2"/>
        <v>29886021.129999999</v>
      </c>
      <c r="O17" s="80">
        <f t="shared" si="3"/>
        <v>0</v>
      </c>
      <c r="Q17" s="80">
        <f t="shared" si="4"/>
        <v>7724424.2900000028</v>
      </c>
      <c r="R17" s="80">
        <f t="shared" si="5"/>
        <v>0</v>
      </c>
    </row>
    <row r="18" spans="1:18" ht="27.95" customHeight="1" x14ac:dyDescent="0.3">
      <c r="A18" s="9"/>
      <c r="B18" s="299" t="s">
        <v>117</v>
      </c>
      <c r="C18" s="299"/>
      <c r="D18" s="88"/>
      <c r="E18" s="149">
        <v>407905262268</v>
      </c>
      <c r="F18" s="12"/>
      <c r="G18" s="149">
        <v>396934908549</v>
      </c>
      <c r="H18" s="143"/>
      <c r="L18" s="80">
        <f t="shared" si="0"/>
        <v>4079052622.6799998</v>
      </c>
      <c r="M18" s="80">
        <f t="shared" si="1"/>
        <v>0</v>
      </c>
      <c r="N18" s="80">
        <f t="shared" si="2"/>
        <v>3969349085.4899998</v>
      </c>
      <c r="O18" s="80">
        <f t="shared" si="3"/>
        <v>0</v>
      </c>
      <c r="Q18" s="80">
        <f t="shared" si="4"/>
        <v>109703537.19000006</v>
      </c>
      <c r="R18" s="80">
        <f t="shared" si="5"/>
        <v>0</v>
      </c>
    </row>
    <row r="19" spans="1:18" ht="27.95" customHeight="1" x14ac:dyDescent="0.3">
      <c r="A19" s="9"/>
      <c r="B19" s="299" t="s">
        <v>111</v>
      </c>
      <c r="C19" s="299"/>
      <c r="D19" s="88"/>
      <c r="E19" s="149">
        <v>3878191407</v>
      </c>
      <c r="F19" s="12"/>
      <c r="G19" s="149">
        <v>3952048455</v>
      </c>
      <c r="H19" s="143"/>
      <c r="L19" s="80">
        <f t="shared" si="0"/>
        <v>38781914.07</v>
      </c>
      <c r="M19" s="80">
        <f t="shared" si="1"/>
        <v>0</v>
      </c>
      <c r="N19" s="80">
        <f t="shared" si="2"/>
        <v>39520484.549999997</v>
      </c>
      <c r="O19" s="80">
        <f t="shared" si="3"/>
        <v>0</v>
      </c>
      <c r="Q19" s="80">
        <f t="shared" si="4"/>
        <v>-738570.47999999672</v>
      </c>
      <c r="R19" s="80">
        <f t="shared" si="5"/>
        <v>0</v>
      </c>
    </row>
    <row r="20" spans="1:18" ht="27.95" customHeight="1" x14ac:dyDescent="0.3">
      <c r="A20" s="9"/>
      <c r="B20" s="299" t="s">
        <v>116</v>
      </c>
      <c r="C20" s="299"/>
      <c r="D20" s="88"/>
      <c r="E20" s="149">
        <v>55344351138</v>
      </c>
      <c r="F20" s="12"/>
      <c r="G20" s="149">
        <v>82374892029</v>
      </c>
      <c r="H20" s="143"/>
      <c r="L20" s="80">
        <f t="shared" si="0"/>
        <v>553443511.38</v>
      </c>
      <c r="M20" s="80">
        <f t="shared" si="1"/>
        <v>0</v>
      </c>
      <c r="N20" s="80">
        <f t="shared" si="2"/>
        <v>823748920.28999996</v>
      </c>
      <c r="O20" s="80">
        <f t="shared" si="3"/>
        <v>0</v>
      </c>
      <c r="Q20" s="80">
        <f t="shared" si="4"/>
        <v>-270305408.90999997</v>
      </c>
      <c r="R20" s="80">
        <f t="shared" si="5"/>
        <v>0</v>
      </c>
    </row>
    <row r="21" spans="1:18" ht="27.95" customHeight="1" x14ac:dyDescent="0.3">
      <c r="A21" s="9"/>
      <c r="B21" s="298" t="s">
        <v>137</v>
      </c>
      <c r="C21" s="298"/>
      <c r="D21" s="10"/>
      <c r="E21" s="149">
        <v>311657922</v>
      </c>
      <c r="F21" s="12"/>
      <c r="G21" s="149">
        <v>324476991</v>
      </c>
      <c r="H21" s="143"/>
      <c r="L21" s="80">
        <f t="shared" si="0"/>
        <v>3116579.22</v>
      </c>
      <c r="M21" s="80">
        <f t="shared" si="1"/>
        <v>0</v>
      </c>
      <c r="N21" s="80">
        <f t="shared" si="2"/>
        <v>3244769.91</v>
      </c>
      <c r="O21" s="80">
        <f t="shared" si="3"/>
        <v>0</v>
      </c>
      <c r="Q21" s="80">
        <f t="shared" si="4"/>
        <v>-128190.68999999994</v>
      </c>
      <c r="R21" s="80">
        <f t="shared" si="5"/>
        <v>0</v>
      </c>
    </row>
    <row r="22" spans="1:18" ht="27.95" customHeight="1" x14ac:dyDescent="0.3">
      <c r="A22" s="9"/>
      <c r="B22" s="298" t="s">
        <v>36</v>
      </c>
      <c r="C22" s="298"/>
      <c r="D22" s="10"/>
      <c r="E22" s="149">
        <v>1287353287</v>
      </c>
      <c r="F22" s="12"/>
      <c r="G22" s="149">
        <v>1297750084</v>
      </c>
      <c r="H22" s="143"/>
      <c r="L22" s="80">
        <f t="shared" si="0"/>
        <v>12873532.869999999</v>
      </c>
      <c r="M22" s="80">
        <f t="shared" si="1"/>
        <v>0</v>
      </c>
      <c r="N22" s="80">
        <f t="shared" si="2"/>
        <v>12977500.84</v>
      </c>
      <c r="O22" s="80">
        <f t="shared" si="3"/>
        <v>0</v>
      </c>
      <c r="Q22" s="80">
        <f t="shared" si="4"/>
        <v>-103967.97000000067</v>
      </c>
      <c r="R22" s="80">
        <f t="shared" si="5"/>
        <v>0</v>
      </c>
    </row>
    <row r="23" spans="1:18" ht="27.95" customHeight="1" x14ac:dyDescent="0.3">
      <c r="A23" s="9"/>
      <c r="B23" s="298" t="s">
        <v>120</v>
      </c>
      <c r="C23" s="298"/>
      <c r="D23" s="10"/>
      <c r="E23" s="149">
        <v>354379428583</v>
      </c>
      <c r="F23" s="12"/>
      <c r="G23" s="149">
        <v>317169462000</v>
      </c>
      <c r="H23" s="143"/>
      <c r="L23" s="80">
        <f t="shared" si="0"/>
        <v>3543794285.8299999</v>
      </c>
      <c r="M23" s="80">
        <f t="shared" si="1"/>
        <v>0</v>
      </c>
      <c r="N23" s="80">
        <f t="shared" si="2"/>
        <v>3171694620</v>
      </c>
      <c r="O23" s="80">
        <f t="shared" si="3"/>
        <v>0</v>
      </c>
      <c r="Q23" s="80">
        <f t="shared" si="4"/>
        <v>372099665.82999992</v>
      </c>
      <c r="R23" s="80">
        <f t="shared" si="5"/>
        <v>0</v>
      </c>
    </row>
    <row r="24" spans="1:18" ht="27.75" customHeight="1" x14ac:dyDescent="0.3">
      <c r="A24" s="9"/>
      <c r="B24" s="298" t="s">
        <v>105</v>
      </c>
      <c r="C24" s="298"/>
      <c r="D24" s="10"/>
      <c r="E24" s="149">
        <v>9816862</v>
      </c>
      <c r="F24" s="12"/>
      <c r="G24" s="149">
        <v>2115600</v>
      </c>
      <c r="H24" s="143"/>
      <c r="L24" s="80">
        <f t="shared" si="0"/>
        <v>98168.62</v>
      </c>
      <c r="M24" s="80">
        <f t="shared" si="1"/>
        <v>0</v>
      </c>
      <c r="N24" s="80">
        <f t="shared" si="2"/>
        <v>21156</v>
      </c>
      <c r="O24" s="80">
        <f t="shared" si="3"/>
        <v>0</v>
      </c>
      <c r="Q24" s="80">
        <f t="shared" si="4"/>
        <v>77012.62</v>
      </c>
      <c r="R24" s="80">
        <f t="shared" si="5"/>
        <v>0</v>
      </c>
    </row>
    <row r="25" spans="1:18" ht="27.95" customHeight="1" x14ac:dyDescent="0.3">
      <c r="A25" s="9"/>
      <c r="B25" s="298" t="s">
        <v>123</v>
      </c>
      <c r="C25" s="298"/>
      <c r="D25" s="10"/>
      <c r="E25" s="149">
        <v>1500000</v>
      </c>
      <c r="F25" s="12"/>
      <c r="G25" s="149">
        <v>0</v>
      </c>
      <c r="H25" s="143"/>
      <c r="L25" s="80">
        <f t="shared" si="0"/>
        <v>15000</v>
      </c>
      <c r="M25" s="80">
        <f t="shared" si="1"/>
        <v>0</v>
      </c>
      <c r="N25" s="80">
        <f t="shared" si="2"/>
        <v>0</v>
      </c>
      <c r="O25" s="80">
        <f t="shared" si="3"/>
        <v>0</v>
      </c>
      <c r="Q25" s="80">
        <f t="shared" si="4"/>
        <v>15000</v>
      </c>
      <c r="R25" s="80">
        <f t="shared" si="5"/>
        <v>0</v>
      </c>
    </row>
    <row r="26" spans="1:18" ht="27.95" customHeight="1" x14ac:dyDescent="0.3">
      <c r="A26" s="9"/>
      <c r="B26" s="298" t="s">
        <v>136</v>
      </c>
      <c r="C26" s="298"/>
      <c r="D26" s="10"/>
      <c r="E26" s="149">
        <v>6967369141</v>
      </c>
      <c r="F26" s="12"/>
      <c r="G26" s="149">
        <v>5031767835</v>
      </c>
      <c r="H26" s="143"/>
      <c r="L26" s="80">
        <f t="shared" si="0"/>
        <v>69673691.409999996</v>
      </c>
      <c r="M26" s="80">
        <f t="shared" si="1"/>
        <v>0</v>
      </c>
      <c r="N26" s="80">
        <f t="shared" si="2"/>
        <v>50317678.350000001</v>
      </c>
      <c r="O26" s="80">
        <f t="shared" si="3"/>
        <v>0</v>
      </c>
      <c r="Q26" s="80">
        <f t="shared" si="4"/>
        <v>19356013.059999995</v>
      </c>
      <c r="R26" s="80">
        <f t="shared" si="5"/>
        <v>0</v>
      </c>
    </row>
    <row r="27" spans="1:18" ht="27.95" customHeight="1" x14ac:dyDescent="0.3">
      <c r="A27" s="9"/>
      <c r="B27" s="298" t="s">
        <v>32</v>
      </c>
      <c r="C27" s="298"/>
      <c r="D27" s="10"/>
      <c r="E27" s="149">
        <v>0</v>
      </c>
      <c r="F27" s="12"/>
      <c r="G27" s="149">
        <v>491609719</v>
      </c>
      <c r="H27" s="143"/>
      <c r="L27" s="80">
        <f t="shared" si="0"/>
        <v>0</v>
      </c>
      <c r="M27" s="80">
        <f t="shared" si="1"/>
        <v>0</v>
      </c>
      <c r="N27" s="80">
        <f t="shared" si="2"/>
        <v>4916097.1900000004</v>
      </c>
      <c r="O27" s="80">
        <f t="shared" si="3"/>
        <v>0</v>
      </c>
      <c r="Q27" s="80">
        <f t="shared" si="4"/>
        <v>-4916097.1900000004</v>
      </c>
      <c r="R27" s="80">
        <f t="shared" si="5"/>
        <v>0</v>
      </c>
    </row>
    <row r="28" spans="1:18" ht="27.95" hidden="1" customHeight="1" x14ac:dyDescent="0.3">
      <c r="A28" s="9"/>
      <c r="B28" s="298" t="s">
        <v>124</v>
      </c>
      <c r="C28" s="298"/>
      <c r="D28" s="10"/>
      <c r="E28" s="149">
        <v>0</v>
      </c>
      <c r="F28" s="12"/>
      <c r="G28" s="149">
        <v>0</v>
      </c>
      <c r="H28" s="143"/>
      <c r="L28" s="80">
        <f t="shared" si="0"/>
        <v>0</v>
      </c>
      <c r="M28" s="80">
        <f t="shared" si="1"/>
        <v>0</v>
      </c>
      <c r="N28" s="80">
        <f t="shared" si="2"/>
        <v>0</v>
      </c>
      <c r="O28" s="80">
        <f t="shared" si="3"/>
        <v>0</v>
      </c>
      <c r="Q28" s="80">
        <f t="shared" si="4"/>
        <v>0</v>
      </c>
      <c r="R28" s="80">
        <f t="shared" si="5"/>
        <v>0</v>
      </c>
    </row>
    <row r="29" spans="1:18" ht="27.95" customHeight="1" x14ac:dyDescent="0.3">
      <c r="A29" s="9"/>
      <c r="B29" s="298" t="s">
        <v>121</v>
      </c>
      <c r="C29" s="298"/>
      <c r="D29" s="10"/>
      <c r="E29" s="149">
        <v>214192090</v>
      </c>
      <c r="F29" s="12"/>
      <c r="G29" s="149">
        <v>100388698</v>
      </c>
      <c r="H29" s="143"/>
      <c r="L29" s="80">
        <f t="shared" si="0"/>
        <v>2141920.9</v>
      </c>
      <c r="M29" s="80">
        <f t="shared" si="1"/>
        <v>0</v>
      </c>
      <c r="N29" s="80">
        <f t="shared" si="2"/>
        <v>1003886.98</v>
      </c>
      <c r="O29" s="80">
        <f t="shared" si="3"/>
        <v>0</v>
      </c>
      <c r="Q29" s="80">
        <f t="shared" si="4"/>
        <v>1138033.92</v>
      </c>
      <c r="R29" s="80">
        <f t="shared" si="5"/>
        <v>0</v>
      </c>
    </row>
    <row r="30" spans="1:18" ht="27.95" customHeight="1" x14ac:dyDescent="0.3">
      <c r="A30" s="9"/>
      <c r="B30" s="298" t="s">
        <v>143</v>
      </c>
      <c r="C30" s="298"/>
      <c r="D30" s="10"/>
      <c r="E30" s="149">
        <v>426606431</v>
      </c>
      <c r="F30" s="12"/>
      <c r="G30" s="149">
        <v>813040678</v>
      </c>
      <c r="H30" s="143"/>
      <c r="L30" s="80">
        <f t="shared" si="0"/>
        <v>4266064.3099999996</v>
      </c>
      <c r="M30" s="80">
        <f t="shared" si="1"/>
        <v>0</v>
      </c>
      <c r="N30" s="80">
        <f t="shared" si="2"/>
        <v>8130406.7800000003</v>
      </c>
      <c r="O30" s="80">
        <f t="shared" si="3"/>
        <v>0</v>
      </c>
      <c r="Q30" s="80">
        <f t="shared" si="4"/>
        <v>-3864342.4700000007</v>
      </c>
      <c r="R30" s="80">
        <f t="shared" si="5"/>
        <v>0</v>
      </c>
    </row>
    <row r="31" spans="1:18" ht="27.95" customHeight="1" x14ac:dyDescent="0.3">
      <c r="A31" s="9"/>
      <c r="B31" s="300" t="s">
        <v>140</v>
      </c>
      <c r="C31" s="300"/>
      <c r="D31" s="10"/>
      <c r="E31" s="149">
        <v>40764893852</v>
      </c>
      <c r="F31" s="12"/>
      <c r="G31" s="149">
        <v>43505048847</v>
      </c>
      <c r="H31" s="143"/>
      <c r="L31" s="80">
        <f t="shared" si="0"/>
        <v>407648938.51999998</v>
      </c>
      <c r="M31" s="80">
        <f t="shared" si="1"/>
        <v>0</v>
      </c>
      <c r="N31" s="80">
        <f t="shared" si="2"/>
        <v>435050488.47000003</v>
      </c>
      <c r="O31" s="80">
        <f t="shared" si="3"/>
        <v>0</v>
      </c>
      <c r="Q31" s="80">
        <f t="shared" si="4"/>
        <v>-27401549.950000048</v>
      </c>
      <c r="R31" s="80">
        <f t="shared" si="5"/>
        <v>0</v>
      </c>
    </row>
    <row r="32" spans="1:18" ht="27.95" customHeight="1" thickBot="1" x14ac:dyDescent="0.35">
      <c r="A32" s="59"/>
      <c r="B32" s="301" t="s">
        <v>30</v>
      </c>
      <c r="C32" s="301"/>
      <c r="D32" s="58"/>
      <c r="E32" s="149">
        <v>23663851150</v>
      </c>
      <c r="F32" s="60"/>
      <c r="G32" s="149">
        <v>20806925106</v>
      </c>
      <c r="H32" s="144"/>
      <c r="L32" s="80">
        <f t="shared" si="0"/>
        <v>236638511.5</v>
      </c>
      <c r="M32" s="80">
        <f t="shared" si="1"/>
        <v>0</v>
      </c>
      <c r="N32" s="80">
        <f t="shared" si="2"/>
        <v>208069251.06</v>
      </c>
      <c r="O32" s="80">
        <f t="shared" si="3"/>
        <v>0</v>
      </c>
      <c r="Q32" s="80">
        <f t="shared" si="4"/>
        <v>28569260.439999998</v>
      </c>
      <c r="R32" s="80">
        <f t="shared" si="5"/>
        <v>0</v>
      </c>
    </row>
    <row r="33" spans="1:18" ht="27.95" customHeight="1" thickBot="1" x14ac:dyDescent="0.35">
      <c r="A33" s="59"/>
      <c r="B33" s="287" t="s">
        <v>70</v>
      </c>
      <c r="C33" s="287"/>
      <c r="D33" s="58"/>
      <c r="E33" s="74"/>
      <c r="F33" s="57">
        <v>2689851501670</v>
      </c>
      <c r="G33" s="74"/>
      <c r="H33" s="57">
        <v>2460171738950</v>
      </c>
      <c r="I33" s="32">
        <f>H33-F33</f>
        <v>-229679762720</v>
      </c>
      <c r="L33" s="80">
        <f t="shared" si="0"/>
        <v>0</v>
      </c>
      <c r="M33" s="81">
        <f t="shared" si="1"/>
        <v>26898515016.700001</v>
      </c>
      <c r="N33" s="80">
        <f t="shared" si="2"/>
        <v>0</v>
      </c>
      <c r="O33" s="81">
        <f t="shared" si="3"/>
        <v>24601717389.5</v>
      </c>
      <c r="Q33" s="80">
        <f t="shared" si="4"/>
        <v>0</v>
      </c>
      <c r="R33" s="81">
        <f t="shared" si="5"/>
        <v>2296797627.2000008</v>
      </c>
    </row>
    <row r="36" spans="1:18" s="145" customFormat="1" x14ac:dyDescent="0.3">
      <c r="F36" s="147"/>
      <c r="G36" s="146"/>
      <c r="H36" s="147"/>
    </row>
  </sheetData>
  <mergeCells count="35">
    <mergeCell ref="G6:H6"/>
    <mergeCell ref="A1:H1"/>
    <mergeCell ref="A3:H3"/>
    <mergeCell ref="A2:H2"/>
    <mergeCell ref="A4:E4"/>
    <mergeCell ref="A5:C5"/>
    <mergeCell ref="B6:C6"/>
    <mergeCell ref="E6:F6"/>
    <mergeCell ref="B7:C7"/>
    <mergeCell ref="B8:C8"/>
    <mergeCell ref="B12:C12"/>
    <mergeCell ref="B10:C10"/>
    <mergeCell ref="B11:C11"/>
    <mergeCell ref="B17:C17"/>
    <mergeCell ref="B33:C33"/>
    <mergeCell ref="B9:C9"/>
    <mergeCell ref="B31:C31"/>
    <mergeCell ref="B32:C32"/>
    <mergeCell ref="B25:C25"/>
    <mergeCell ref="B26:C26"/>
    <mergeCell ref="B27:C27"/>
    <mergeCell ref="B28:C28"/>
    <mergeCell ref="B29:C29"/>
    <mergeCell ref="B18:C18"/>
    <mergeCell ref="B13:C13"/>
    <mergeCell ref="B14:C14"/>
    <mergeCell ref="B15:C15"/>
    <mergeCell ref="B16:C16"/>
    <mergeCell ref="B30:C30"/>
    <mergeCell ref="B24:C24"/>
    <mergeCell ref="B19:C19"/>
    <mergeCell ref="B20:C20"/>
    <mergeCell ref="B21:C21"/>
    <mergeCell ref="B22:C22"/>
    <mergeCell ref="B23:C23"/>
  </mergeCells>
  <phoneticPr fontId="124" type="noConversion"/>
  <pageMargins left="0.69999998807907104" right="0.69999998807907104" top="0.75" bottom="0.75" header="0.30000001192092896" footer="0.30000001192092896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F0"/>
    <pageSetUpPr fitToPage="1"/>
  </sheetPr>
  <dimension ref="A1:H40"/>
  <sheetViews>
    <sheetView view="pageBreakPreview" zoomScale="60" zoomScaleNormal="70" workbookViewId="0">
      <selection sqref="A1:H1"/>
    </sheetView>
  </sheetViews>
  <sheetFormatPr defaultRowHeight="16.5" x14ac:dyDescent="0.3"/>
  <cols>
    <col min="1" max="1" width="5" bestFit="1" customWidth="1"/>
    <col min="2" max="2" width="4.75" bestFit="1" customWidth="1"/>
    <col min="3" max="3" width="35.625" customWidth="1"/>
    <col min="4" max="4" width="3.5" customWidth="1"/>
    <col min="5" max="8" width="26" customWidth="1"/>
  </cols>
  <sheetData>
    <row r="1" spans="1:8" ht="52.5" customHeight="1" x14ac:dyDescent="0.3">
      <c r="A1" s="271" t="s">
        <v>21</v>
      </c>
      <c r="B1" s="271"/>
      <c r="C1" s="271"/>
      <c r="D1" s="271"/>
      <c r="E1" s="271"/>
      <c r="F1" s="271"/>
      <c r="G1" s="271"/>
      <c r="H1" s="271"/>
    </row>
    <row r="2" spans="1:8" ht="20.25" x14ac:dyDescent="0.3">
      <c r="A2" s="272" t="s">
        <v>503</v>
      </c>
      <c r="B2" s="272"/>
      <c r="C2" s="272"/>
      <c r="D2" s="272"/>
      <c r="E2" s="272"/>
      <c r="F2" s="272"/>
      <c r="G2" s="272"/>
      <c r="H2" s="272"/>
    </row>
    <row r="3" spans="1:8" ht="20.25" x14ac:dyDescent="0.3">
      <c r="A3" s="272" t="s">
        <v>504</v>
      </c>
      <c r="B3" s="272"/>
      <c r="C3" s="272"/>
      <c r="D3" s="272"/>
      <c r="E3" s="272"/>
      <c r="F3" s="272"/>
      <c r="G3" s="272"/>
      <c r="H3" s="272"/>
    </row>
    <row r="4" spans="1:8" x14ac:dyDescent="0.3">
      <c r="A4" s="290"/>
      <c r="B4" s="290"/>
      <c r="C4" s="290"/>
      <c r="D4" s="290"/>
      <c r="E4" s="290"/>
    </row>
    <row r="5" spans="1:8" ht="21" thickBot="1" x14ac:dyDescent="0.35">
      <c r="A5" s="291" t="s">
        <v>155</v>
      </c>
      <c r="B5" s="291"/>
      <c r="C5" s="291"/>
      <c r="D5" s="1"/>
      <c r="E5" s="3"/>
      <c r="H5" s="3" t="s">
        <v>84</v>
      </c>
    </row>
    <row r="6" spans="1:8" ht="51" customHeight="1" thickBot="1" x14ac:dyDescent="0.35">
      <c r="A6" s="68" t="s">
        <v>58</v>
      </c>
      <c r="B6" s="304" t="s">
        <v>210</v>
      </c>
      <c r="C6" s="304"/>
      <c r="D6" s="270"/>
      <c r="E6" s="292" t="s">
        <v>304</v>
      </c>
      <c r="F6" s="274"/>
      <c r="G6" s="292" t="s">
        <v>262</v>
      </c>
      <c r="H6" s="274"/>
    </row>
    <row r="7" spans="1:8" ht="27.95" customHeight="1" x14ac:dyDescent="0.3">
      <c r="A7" s="67" t="s">
        <v>54</v>
      </c>
      <c r="B7" s="302" t="s">
        <v>66</v>
      </c>
      <c r="C7" s="302"/>
      <c r="D7" s="66"/>
      <c r="E7" s="65"/>
      <c r="F7" s="64">
        <v>61291597869</v>
      </c>
      <c r="G7" s="161"/>
      <c r="H7" s="64">
        <v>39612077686</v>
      </c>
    </row>
    <row r="8" spans="1:8" ht="27.95" customHeight="1" x14ac:dyDescent="0.3">
      <c r="A8" s="9"/>
      <c r="B8" s="298" t="s">
        <v>34</v>
      </c>
      <c r="C8" s="298"/>
      <c r="D8" s="10"/>
      <c r="E8" s="62">
        <v>55953770530</v>
      </c>
      <c r="F8" s="12"/>
      <c r="G8" s="149">
        <v>36112407740</v>
      </c>
      <c r="H8" s="143"/>
    </row>
    <row r="9" spans="1:8" ht="27.75" customHeight="1" x14ac:dyDescent="0.3">
      <c r="A9" s="13"/>
      <c r="B9" s="298" t="s">
        <v>114</v>
      </c>
      <c r="C9" s="298"/>
      <c r="D9" s="10"/>
      <c r="E9" s="62">
        <v>5337827339</v>
      </c>
      <c r="F9" s="12"/>
      <c r="G9" s="149">
        <v>3499669946</v>
      </c>
      <c r="H9" s="143"/>
    </row>
    <row r="10" spans="1:8" ht="27.75" customHeight="1" x14ac:dyDescent="0.3">
      <c r="A10" s="5" t="s">
        <v>46</v>
      </c>
      <c r="B10" s="303" t="s">
        <v>68</v>
      </c>
      <c r="C10" s="303"/>
      <c r="D10" s="6"/>
      <c r="E10" s="63"/>
      <c r="F10" s="8">
        <v>118796205391</v>
      </c>
      <c r="G10" s="165"/>
      <c r="H10" s="8">
        <v>53671945172</v>
      </c>
    </row>
    <row r="11" spans="1:8" ht="27.95" customHeight="1" x14ac:dyDescent="0.3">
      <c r="A11" s="9"/>
      <c r="B11" s="298" t="s">
        <v>109</v>
      </c>
      <c r="C11" s="298"/>
      <c r="D11" s="10"/>
      <c r="E11" s="62">
        <v>9915877299</v>
      </c>
      <c r="F11" s="12"/>
      <c r="G11" s="149">
        <v>6795295451</v>
      </c>
      <c r="H11" s="143"/>
    </row>
    <row r="12" spans="1:8" ht="27.95" customHeight="1" x14ac:dyDescent="0.3">
      <c r="A12" s="9"/>
      <c r="B12" s="298" t="s">
        <v>119</v>
      </c>
      <c r="C12" s="298"/>
      <c r="D12" s="10"/>
      <c r="E12" s="62">
        <v>31810195</v>
      </c>
      <c r="F12" s="12"/>
      <c r="G12" s="149">
        <v>17986497</v>
      </c>
      <c r="H12" s="143"/>
    </row>
    <row r="13" spans="1:8" ht="27.95" customHeight="1" x14ac:dyDescent="0.3">
      <c r="A13" s="5"/>
      <c r="B13" s="298" t="s">
        <v>107</v>
      </c>
      <c r="C13" s="298"/>
      <c r="D13" s="6"/>
      <c r="E13" s="62">
        <v>13419811576</v>
      </c>
      <c r="F13" s="12"/>
      <c r="G13" s="149">
        <v>12021733866</v>
      </c>
      <c r="H13" s="143"/>
    </row>
    <row r="14" spans="1:8" ht="27.95" customHeight="1" x14ac:dyDescent="0.3">
      <c r="A14" s="5"/>
      <c r="B14" s="298" t="s">
        <v>115</v>
      </c>
      <c r="C14" s="298"/>
      <c r="D14" s="6"/>
      <c r="E14" s="62">
        <v>931311144</v>
      </c>
      <c r="F14" s="12"/>
      <c r="G14" s="149">
        <v>696475553</v>
      </c>
      <c r="H14" s="143"/>
    </row>
    <row r="15" spans="1:8" ht="27.95" customHeight="1" x14ac:dyDescent="0.3">
      <c r="A15" s="9"/>
      <c r="B15" s="298" t="s">
        <v>118</v>
      </c>
      <c r="C15" s="298"/>
      <c r="D15" s="10"/>
      <c r="E15" s="62">
        <v>3843697567</v>
      </c>
      <c r="F15" s="12"/>
      <c r="G15" s="149">
        <v>693368874</v>
      </c>
      <c r="H15" s="143"/>
    </row>
    <row r="16" spans="1:8" ht="27.95" customHeight="1" x14ac:dyDescent="0.3">
      <c r="A16" s="9"/>
      <c r="B16" s="298" t="s">
        <v>110</v>
      </c>
      <c r="C16" s="298"/>
      <c r="D16" s="10"/>
      <c r="E16" s="62">
        <v>44656877</v>
      </c>
      <c r="F16" s="12"/>
      <c r="G16" s="149">
        <v>32261702</v>
      </c>
      <c r="H16" s="143"/>
    </row>
    <row r="17" spans="1:8" ht="27.75" customHeight="1" x14ac:dyDescent="0.3">
      <c r="A17" s="9"/>
      <c r="B17" s="298" t="s">
        <v>37</v>
      </c>
      <c r="C17" s="298"/>
      <c r="D17" s="10"/>
      <c r="E17" s="62">
        <v>740617237</v>
      </c>
      <c r="F17" s="12"/>
      <c r="G17" s="149">
        <v>510255562</v>
      </c>
      <c r="H17" s="143"/>
    </row>
    <row r="18" spans="1:8" ht="27.75" customHeight="1" x14ac:dyDescent="0.3">
      <c r="A18" s="9"/>
      <c r="B18" s="299" t="s">
        <v>117</v>
      </c>
      <c r="C18" s="299"/>
      <c r="D18" s="10"/>
      <c r="E18" s="62">
        <v>0</v>
      </c>
      <c r="F18" s="12"/>
      <c r="G18" s="149">
        <v>0</v>
      </c>
      <c r="H18" s="143"/>
    </row>
    <row r="19" spans="1:8" ht="27.75" hidden="1" customHeight="1" x14ac:dyDescent="0.3">
      <c r="A19" s="9"/>
      <c r="B19" s="298" t="s">
        <v>111</v>
      </c>
      <c r="C19" s="298"/>
      <c r="D19" s="10"/>
      <c r="E19" s="62">
        <v>0</v>
      </c>
      <c r="F19" s="12"/>
      <c r="G19" s="149">
        <v>0</v>
      </c>
      <c r="H19" s="143"/>
    </row>
    <row r="20" spans="1:8" ht="27.95" customHeight="1" x14ac:dyDescent="0.3">
      <c r="A20" s="9"/>
      <c r="B20" s="298" t="s">
        <v>116</v>
      </c>
      <c r="C20" s="298"/>
      <c r="D20" s="10"/>
      <c r="E20" s="62">
        <v>4800600711</v>
      </c>
      <c r="F20" s="12"/>
      <c r="G20" s="149">
        <v>5726938672</v>
      </c>
      <c r="H20" s="143"/>
    </row>
    <row r="21" spans="1:8" ht="27.95" customHeight="1" x14ac:dyDescent="0.3">
      <c r="A21" s="9"/>
      <c r="B21" s="298" t="s">
        <v>137</v>
      </c>
      <c r="C21" s="298"/>
      <c r="D21" s="10"/>
      <c r="E21" s="62">
        <v>8597323</v>
      </c>
      <c r="F21" s="12"/>
      <c r="G21" s="149">
        <v>5965391</v>
      </c>
      <c r="H21" s="143"/>
    </row>
    <row r="22" spans="1:8" ht="27.95" customHeight="1" x14ac:dyDescent="0.3">
      <c r="A22" s="9"/>
      <c r="B22" s="298" t="s">
        <v>36</v>
      </c>
      <c r="C22" s="298"/>
      <c r="D22" s="10"/>
      <c r="E22" s="62">
        <v>1302986873</v>
      </c>
      <c r="F22" s="12"/>
      <c r="G22" s="149">
        <v>1377569025</v>
      </c>
      <c r="H22" s="143"/>
    </row>
    <row r="23" spans="1:8" ht="27.75" customHeight="1" x14ac:dyDescent="0.3">
      <c r="A23" s="9"/>
      <c r="B23" s="298" t="s">
        <v>120</v>
      </c>
      <c r="C23" s="298"/>
      <c r="D23" s="10"/>
      <c r="E23" s="62">
        <v>82392703175</v>
      </c>
      <c r="F23" s="12"/>
      <c r="G23" s="149">
        <v>22612896235</v>
      </c>
      <c r="H23" s="143"/>
    </row>
    <row r="24" spans="1:8" ht="27.95" customHeight="1" x14ac:dyDescent="0.3">
      <c r="A24" s="9"/>
      <c r="B24" s="298" t="s">
        <v>105</v>
      </c>
      <c r="C24" s="298"/>
      <c r="D24" s="10"/>
      <c r="E24" s="62">
        <v>7967190</v>
      </c>
      <c r="F24" s="12"/>
      <c r="G24" s="149">
        <v>6456200</v>
      </c>
      <c r="H24" s="143"/>
    </row>
    <row r="25" spans="1:8" ht="23.25" customHeight="1" x14ac:dyDescent="0.3">
      <c r="A25" s="9"/>
      <c r="B25" s="298" t="s">
        <v>123</v>
      </c>
      <c r="C25" s="298"/>
      <c r="D25" s="10"/>
      <c r="E25" s="62">
        <v>0</v>
      </c>
      <c r="F25" s="12"/>
      <c r="G25" s="149">
        <v>1334500</v>
      </c>
      <c r="H25" s="143"/>
    </row>
    <row r="26" spans="1:8" ht="27.95" customHeight="1" x14ac:dyDescent="0.3">
      <c r="A26" s="9"/>
      <c r="B26" s="298" t="s">
        <v>136</v>
      </c>
      <c r="C26" s="298"/>
      <c r="D26" s="10"/>
      <c r="E26" s="62">
        <v>312712389</v>
      </c>
      <c r="F26" s="12"/>
      <c r="G26" s="149">
        <v>147180012</v>
      </c>
      <c r="H26" s="143"/>
    </row>
    <row r="27" spans="1:8" ht="26.25" customHeight="1" x14ac:dyDescent="0.3">
      <c r="A27" s="9"/>
      <c r="B27" s="298" t="s">
        <v>32</v>
      </c>
      <c r="C27" s="298"/>
      <c r="D27" s="10"/>
      <c r="E27" s="62">
        <v>8621727</v>
      </c>
      <c r="F27" s="12"/>
      <c r="G27" s="149">
        <v>13288015</v>
      </c>
      <c r="H27" s="143"/>
    </row>
    <row r="28" spans="1:8" ht="24" customHeight="1" x14ac:dyDescent="0.3">
      <c r="A28" s="9"/>
      <c r="B28" s="298" t="s">
        <v>124</v>
      </c>
      <c r="C28" s="298"/>
      <c r="D28" s="10"/>
      <c r="E28" s="62">
        <v>5500000</v>
      </c>
      <c r="F28" s="12"/>
      <c r="G28" s="149">
        <v>6271100</v>
      </c>
      <c r="H28" s="143"/>
    </row>
    <row r="29" spans="1:8" ht="21.75" customHeight="1" x14ac:dyDescent="0.3">
      <c r="A29" s="9"/>
      <c r="B29" s="298" t="s">
        <v>121</v>
      </c>
      <c r="C29" s="298"/>
      <c r="D29" s="10"/>
      <c r="E29" s="62">
        <v>128132606</v>
      </c>
      <c r="F29" s="12"/>
      <c r="G29" s="149">
        <v>2252147390</v>
      </c>
      <c r="H29" s="143"/>
    </row>
    <row r="30" spans="1:8" ht="15" hidden="1" customHeight="1" x14ac:dyDescent="0.3">
      <c r="A30" s="9"/>
      <c r="B30" s="298" t="s">
        <v>143</v>
      </c>
      <c r="C30" s="298"/>
      <c r="D30" s="10"/>
      <c r="E30" s="62">
        <v>0</v>
      </c>
      <c r="F30" s="12"/>
      <c r="G30" s="149">
        <v>0</v>
      </c>
      <c r="H30" s="143"/>
    </row>
    <row r="31" spans="1:8" ht="1.5" hidden="1" customHeight="1" x14ac:dyDescent="0.3">
      <c r="A31" s="9"/>
      <c r="B31" s="298" t="s">
        <v>140</v>
      </c>
      <c r="C31" s="298"/>
      <c r="D31" s="10"/>
      <c r="E31" s="62">
        <v>0</v>
      </c>
      <c r="F31" s="12"/>
      <c r="G31" s="149">
        <v>0</v>
      </c>
      <c r="H31" s="143"/>
    </row>
    <row r="32" spans="1:8" ht="27.75" customHeight="1" x14ac:dyDescent="0.3">
      <c r="A32" s="9"/>
      <c r="B32" s="298" t="s">
        <v>30</v>
      </c>
      <c r="C32" s="298"/>
      <c r="D32" s="10"/>
      <c r="E32" s="62">
        <v>900601502</v>
      </c>
      <c r="F32" s="12"/>
      <c r="G32" s="149">
        <v>754521127</v>
      </c>
      <c r="H32" s="143"/>
    </row>
    <row r="33" spans="1:8" ht="26.25" hidden="1" customHeight="1" x14ac:dyDescent="0.3">
      <c r="A33" s="9"/>
      <c r="B33" s="298" t="s">
        <v>142</v>
      </c>
      <c r="C33" s="298"/>
      <c r="D33" s="10"/>
      <c r="E33" s="149">
        <v>0</v>
      </c>
      <c r="F33" s="12"/>
      <c r="G33" s="62">
        <v>0</v>
      </c>
      <c r="H33" s="12"/>
    </row>
    <row r="34" spans="1:8" ht="1.5" customHeight="1" thickBot="1" x14ac:dyDescent="0.35">
      <c r="A34" s="59"/>
      <c r="B34" s="301" t="s">
        <v>133</v>
      </c>
      <c r="C34" s="301"/>
      <c r="D34" s="58"/>
      <c r="E34" s="149">
        <v>0</v>
      </c>
      <c r="F34" s="60"/>
      <c r="G34" s="61">
        <v>0</v>
      </c>
      <c r="H34" s="60"/>
    </row>
    <row r="35" spans="1:8" ht="27.95" customHeight="1" thickBot="1" x14ac:dyDescent="0.35">
      <c r="A35" s="70"/>
      <c r="B35" s="305" t="s">
        <v>70</v>
      </c>
      <c r="C35" s="305"/>
      <c r="D35" s="71"/>
      <c r="E35" s="72"/>
      <c r="F35" s="73">
        <v>180087803260</v>
      </c>
      <c r="G35" s="72"/>
      <c r="H35" s="73">
        <v>93284022858</v>
      </c>
    </row>
    <row r="37" spans="1:8" x14ac:dyDescent="0.3">
      <c r="F37" s="148"/>
      <c r="G37" s="145"/>
      <c r="H37" s="148"/>
    </row>
    <row r="38" spans="1:8" x14ac:dyDescent="0.3">
      <c r="F38" s="148"/>
      <c r="G38" s="145"/>
      <c r="H38" s="145"/>
    </row>
    <row r="39" spans="1:8" hidden="1" x14ac:dyDescent="0.3">
      <c r="F39" s="145" t="b">
        <f>F35='#2. 손익계산서'!F19</f>
        <v>1</v>
      </c>
      <c r="G39" s="145"/>
      <c r="H39" s="145" t="b">
        <f>H35='#2. 손익계산서'!H19</f>
        <v>1</v>
      </c>
    </row>
    <row r="40" spans="1:8" x14ac:dyDescent="0.3">
      <c r="F40" s="145"/>
      <c r="G40" s="145"/>
      <c r="H40" s="145"/>
    </row>
  </sheetData>
  <mergeCells count="37">
    <mergeCell ref="B6:C6"/>
    <mergeCell ref="E6:F6"/>
    <mergeCell ref="G6:H6"/>
    <mergeCell ref="A1:H1"/>
    <mergeCell ref="A2:H2"/>
    <mergeCell ref="A3:H3"/>
    <mergeCell ref="A4:E4"/>
    <mergeCell ref="A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</mergeCells>
  <phoneticPr fontId="124" type="noConversion"/>
  <pageMargins left="0.69999998807907104" right="0.69999998807907104" top="0.75" bottom="0.75" header="0.30000001192092896" footer="0.30000001192092896"/>
  <pageSetup paperSize="9" scale="5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F0"/>
    <pageSetUpPr fitToPage="1"/>
  </sheetPr>
  <dimension ref="A1:P39"/>
  <sheetViews>
    <sheetView view="pageBreakPreview" zoomScale="55" zoomScaleNormal="70" zoomScaleSheetLayoutView="55" workbookViewId="0">
      <selection activeCell="Q14" sqref="Q14"/>
    </sheetView>
  </sheetViews>
  <sheetFormatPr defaultRowHeight="16.5" x14ac:dyDescent="0.3"/>
  <cols>
    <col min="1" max="1" width="5" bestFit="1" customWidth="1"/>
    <col min="2" max="2" width="4.75" bestFit="1" customWidth="1"/>
    <col min="3" max="3" width="35.625" customWidth="1"/>
    <col min="4" max="4" width="3.5" customWidth="1"/>
    <col min="5" max="8" width="26.375" customWidth="1"/>
    <col min="9" max="9" width="0.25" customWidth="1"/>
    <col min="10" max="10" width="14.875" hidden="1" customWidth="1"/>
    <col min="11" max="11" width="16.125" hidden="1" customWidth="1"/>
    <col min="12" max="12" width="8.625" hidden="1" customWidth="1"/>
    <col min="13" max="16" width="9" customWidth="1"/>
  </cols>
  <sheetData>
    <row r="1" spans="1:16" ht="48.75" customHeight="1" x14ac:dyDescent="0.3">
      <c r="A1" s="271" t="s">
        <v>6</v>
      </c>
      <c r="B1" s="271"/>
      <c r="C1" s="271"/>
      <c r="D1" s="271"/>
      <c r="E1" s="271"/>
      <c r="F1" s="271"/>
      <c r="G1" s="271"/>
      <c r="H1" s="271"/>
    </row>
    <row r="2" spans="1:16" ht="20.25" x14ac:dyDescent="0.3">
      <c r="A2" s="272" t="s">
        <v>503</v>
      </c>
      <c r="B2" s="272"/>
      <c r="C2" s="272"/>
      <c r="D2" s="272"/>
      <c r="E2" s="272"/>
      <c r="F2" s="272"/>
      <c r="G2" s="272"/>
      <c r="H2" s="272"/>
      <c r="I2" s="69"/>
    </row>
    <row r="3" spans="1:16" ht="20.25" x14ac:dyDescent="0.3">
      <c r="A3" s="272" t="s">
        <v>504</v>
      </c>
      <c r="B3" s="272"/>
      <c r="C3" s="272"/>
      <c r="D3" s="272"/>
      <c r="E3" s="272"/>
      <c r="F3" s="272"/>
      <c r="G3" s="272"/>
      <c r="H3" s="272"/>
      <c r="I3" s="69"/>
    </row>
    <row r="4" spans="1:16" x14ac:dyDescent="0.3">
      <c r="A4" s="290"/>
      <c r="B4" s="290"/>
      <c r="C4" s="290"/>
      <c r="D4" s="290"/>
      <c r="E4" s="290"/>
    </row>
    <row r="5" spans="1:16" ht="21" thickBot="1" x14ac:dyDescent="0.35">
      <c r="A5" s="291" t="s">
        <v>155</v>
      </c>
      <c r="B5" s="291"/>
      <c r="C5" s="291"/>
      <c r="D5" s="1"/>
      <c r="E5" s="3"/>
      <c r="H5" s="3" t="s">
        <v>84</v>
      </c>
    </row>
    <row r="6" spans="1:16" ht="53.25" customHeight="1" thickBot="1" x14ac:dyDescent="0.35">
      <c r="A6" s="68" t="s">
        <v>58</v>
      </c>
      <c r="B6" s="304" t="s">
        <v>104</v>
      </c>
      <c r="C6" s="304"/>
      <c r="D6" s="270"/>
      <c r="E6" s="292" t="s">
        <v>304</v>
      </c>
      <c r="F6" s="274"/>
      <c r="G6" s="292" t="s">
        <v>262</v>
      </c>
      <c r="H6" s="274"/>
    </row>
    <row r="7" spans="1:16" ht="27.95" customHeight="1" x14ac:dyDescent="0.3">
      <c r="A7" s="67" t="s">
        <v>54</v>
      </c>
      <c r="B7" s="302" t="s">
        <v>66</v>
      </c>
      <c r="C7" s="302"/>
      <c r="D7" s="66"/>
      <c r="E7" s="65"/>
      <c r="F7" s="64">
        <v>1420549084573</v>
      </c>
      <c r="G7" s="166"/>
      <c r="H7" s="64">
        <v>1220240588196</v>
      </c>
      <c r="I7" s="21"/>
      <c r="J7" s="21"/>
      <c r="M7" s="80"/>
      <c r="N7" s="108"/>
      <c r="O7" s="80"/>
      <c r="P7" s="108"/>
    </row>
    <row r="8" spans="1:16" ht="27.95" customHeight="1" x14ac:dyDescent="0.3">
      <c r="A8" s="9"/>
      <c r="B8" s="298" t="s">
        <v>34</v>
      </c>
      <c r="C8" s="298"/>
      <c r="D8" s="10"/>
      <c r="E8" s="62">
        <v>1197926730963</v>
      </c>
      <c r="F8" s="12"/>
      <c r="G8" s="62">
        <v>1122033002317</v>
      </c>
      <c r="H8" s="12"/>
      <c r="J8" s="21"/>
      <c r="M8" s="80"/>
      <c r="N8" s="80"/>
      <c r="O8" s="80"/>
      <c r="P8" s="80"/>
    </row>
    <row r="9" spans="1:16" ht="27.95" customHeight="1" x14ac:dyDescent="0.3">
      <c r="A9" s="13"/>
      <c r="B9" s="298" t="s">
        <v>114</v>
      </c>
      <c r="C9" s="298"/>
      <c r="D9" s="10"/>
      <c r="E9" s="62">
        <v>222622353610</v>
      </c>
      <c r="F9" s="12"/>
      <c r="G9" s="62">
        <v>98207585879</v>
      </c>
      <c r="H9" s="12"/>
      <c r="J9" s="21"/>
      <c r="K9" s="21"/>
      <c r="M9" s="80"/>
      <c r="N9" s="80"/>
      <c r="O9" s="80"/>
      <c r="P9" s="80"/>
    </row>
    <row r="10" spans="1:16" ht="27.95" customHeight="1" x14ac:dyDescent="0.3">
      <c r="A10" s="5" t="s">
        <v>46</v>
      </c>
      <c r="B10" s="303" t="s">
        <v>68</v>
      </c>
      <c r="C10" s="303"/>
      <c r="D10" s="6"/>
      <c r="E10" s="63"/>
      <c r="F10" s="8">
        <v>1593135247395</v>
      </c>
      <c r="G10" s="167"/>
      <c r="H10" s="8">
        <v>1495687947904</v>
      </c>
      <c r="M10" s="80"/>
      <c r="N10" s="108"/>
      <c r="O10" s="80"/>
      <c r="P10" s="108"/>
    </row>
    <row r="11" spans="1:16" ht="27.95" customHeight="1" x14ac:dyDescent="0.3">
      <c r="A11" s="9"/>
      <c r="B11" s="300" t="s">
        <v>109</v>
      </c>
      <c r="C11" s="300"/>
      <c r="D11" s="10"/>
      <c r="E11" s="62">
        <v>178034143475</v>
      </c>
      <c r="F11" s="12"/>
      <c r="G11" s="149">
        <v>176335011617</v>
      </c>
      <c r="H11" s="12"/>
      <c r="I11" s="84"/>
      <c r="J11" s="85"/>
      <c r="K11" s="298"/>
      <c r="L11" s="298"/>
      <c r="M11" s="80"/>
      <c r="N11" s="80"/>
      <c r="O11" s="80"/>
      <c r="P11" s="80"/>
    </row>
    <row r="12" spans="1:16" ht="27.95" customHeight="1" x14ac:dyDescent="0.3">
      <c r="A12" s="9"/>
      <c r="B12" s="298" t="s">
        <v>119</v>
      </c>
      <c r="C12" s="298"/>
      <c r="D12" s="10"/>
      <c r="E12" s="62">
        <v>725082895</v>
      </c>
      <c r="F12" s="12"/>
      <c r="G12" s="149">
        <v>822056692</v>
      </c>
      <c r="H12" s="12"/>
      <c r="I12" s="298"/>
      <c r="J12" s="298"/>
      <c r="K12" s="298"/>
      <c r="L12" s="298"/>
      <c r="M12" s="80"/>
      <c r="N12" s="80"/>
      <c r="O12" s="80"/>
      <c r="P12" s="80"/>
    </row>
    <row r="13" spans="1:16" ht="27.95" customHeight="1" x14ac:dyDescent="0.3">
      <c r="A13" s="5"/>
      <c r="B13" s="300" t="s">
        <v>107</v>
      </c>
      <c r="C13" s="300"/>
      <c r="D13" s="6"/>
      <c r="E13" s="62">
        <v>264438869745</v>
      </c>
      <c r="F13" s="12"/>
      <c r="G13" s="149">
        <v>247327373050</v>
      </c>
      <c r="H13" s="12"/>
      <c r="I13" s="307"/>
      <c r="J13" s="307"/>
      <c r="K13" s="307"/>
      <c r="L13" s="307"/>
      <c r="M13" s="80"/>
      <c r="N13" s="80"/>
      <c r="O13" s="80"/>
      <c r="P13" s="80"/>
    </row>
    <row r="14" spans="1:16" ht="27.95" customHeight="1" x14ac:dyDescent="0.3">
      <c r="A14" s="5"/>
      <c r="B14" s="298" t="s">
        <v>115</v>
      </c>
      <c r="C14" s="298"/>
      <c r="D14" s="6"/>
      <c r="E14" s="62">
        <v>15882632975</v>
      </c>
      <c r="F14" s="12"/>
      <c r="G14" s="149">
        <v>15824155815</v>
      </c>
      <c r="H14" s="12"/>
      <c r="I14" s="307"/>
      <c r="J14" s="307"/>
      <c r="K14" s="307"/>
      <c r="L14" s="307"/>
      <c r="M14" s="80"/>
      <c r="N14" s="80"/>
      <c r="O14" s="80"/>
      <c r="P14" s="80"/>
    </row>
    <row r="15" spans="1:16" ht="27.95" customHeight="1" x14ac:dyDescent="0.3">
      <c r="A15" s="9"/>
      <c r="B15" s="300" t="s">
        <v>118</v>
      </c>
      <c r="C15" s="300"/>
      <c r="D15" s="10"/>
      <c r="E15" s="62">
        <v>4164733729</v>
      </c>
      <c r="F15" s="12"/>
      <c r="G15" s="149">
        <v>4188179379</v>
      </c>
      <c r="H15" s="12"/>
      <c r="I15" s="298"/>
      <c r="J15" s="298"/>
      <c r="K15" s="298"/>
      <c r="L15" s="298"/>
      <c r="M15" s="80"/>
      <c r="N15" s="80"/>
      <c r="O15" s="80"/>
      <c r="P15" s="80"/>
    </row>
    <row r="16" spans="1:16" ht="27.95" customHeight="1" x14ac:dyDescent="0.3">
      <c r="A16" s="9"/>
      <c r="B16" s="298" t="s">
        <v>110</v>
      </c>
      <c r="C16" s="298"/>
      <c r="D16" s="10"/>
      <c r="E16" s="62">
        <v>1134058961</v>
      </c>
      <c r="F16" s="12"/>
      <c r="G16" s="149">
        <v>785639989</v>
      </c>
      <c r="H16" s="12"/>
      <c r="I16" s="298"/>
      <c r="J16" s="298"/>
      <c r="K16" s="298"/>
      <c r="L16" s="298"/>
      <c r="M16" s="80"/>
      <c r="N16" s="80"/>
      <c r="O16" s="80"/>
      <c r="P16" s="80"/>
    </row>
    <row r="17" spans="1:16" ht="27.95" customHeight="1" x14ac:dyDescent="0.3">
      <c r="A17" s="9"/>
      <c r="B17" s="298" t="s">
        <v>37</v>
      </c>
      <c r="C17" s="298"/>
      <c r="D17" s="10"/>
      <c r="E17" s="62">
        <v>3948380264</v>
      </c>
      <c r="F17" s="12"/>
      <c r="G17" s="149">
        <v>3121712646</v>
      </c>
      <c r="H17" s="12"/>
      <c r="I17" s="298"/>
      <c r="J17" s="298"/>
      <c r="K17" s="298"/>
      <c r="L17" s="298"/>
      <c r="M17" s="80"/>
      <c r="N17" s="80"/>
      <c r="O17" s="80"/>
      <c r="P17" s="80"/>
    </row>
    <row r="18" spans="1:16" ht="27.95" customHeight="1" x14ac:dyDescent="0.3">
      <c r="A18" s="9"/>
      <c r="B18" s="300" t="s">
        <v>117</v>
      </c>
      <c r="C18" s="300"/>
      <c r="D18" s="10"/>
      <c r="E18" s="62">
        <v>412590369485</v>
      </c>
      <c r="F18" s="12"/>
      <c r="G18" s="149">
        <v>403533709062</v>
      </c>
      <c r="H18" s="12"/>
      <c r="I18" s="298"/>
      <c r="J18" s="298"/>
      <c r="K18" s="298"/>
      <c r="L18" s="298"/>
      <c r="M18" s="80"/>
      <c r="N18" s="80"/>
      <c r="O18" s="80"/>
      <c r="P18" s="80"/>
    </row>
    <row r="19" spans="1:16" ht="27.95" customHeight="1" x14ac:dyDescent="0.3">
      <c r="A19" s="9"/>
      <c r="B19" s="298" t="s">
        <v>111</v>
      </c>
      <c r="C19" s="298"/>
      <c r="D19" s="10"/>
      <c r="E19" s="62">
        <v>5469341792</v>
      </c>
      <c r="F19" s="12"/>
      <c r="G19" s="149">
        <v>6197948882</v>
      </c>
      <c r="H19" s="12"/>
      <c r="I19" s="298"/>
      <c r="J19" s="298"/>
      <c r="K19" s="298"/>
      <c r="L19" s="298"/>
      <c r="M19" s="80"/>
      <c r="N19" s="80"/>
      <c r="O19" s="80"/>
      <c r="P19" s="80"/>
    </row>
    <row r="20" spans="1:16" ht="27.95" customHeight="1" x14ac:dyDescent="0.3">
      <c r="A20" s="9"/>
      <c r="B20" s="300" t="s">
        <v>116</v>
      </c>
      <c r="C20" s="300"/>
      <c r="D20" s="10"/>
      <c r="E20" s="62">
        <v>55904499023</v>
      </c>
      <c r="F20" s="12"/>
      <c r="G20" s="149">
        <v>82917694763</v>
      </c>
      <c r="H20" s="12"/>
      <c r="I20" s="298"/>
      <c r="J20" s="298"/>
      <c r="K20" s="298"/>
      <c r="L20" s="298"/>
      <c r="M20" s="80"/>
      <c r="N20" s="80"/>
      <c r="O20" s="80"/>
      <c r="P20" s="80"/>
    </row>
    <row r="21" spans="1:16" ht="27.95" customHeight="1" x14ac:dyDescent="0.3">
      <c r="A21" s="9"/>
      <c r="B21" s="298" t="s">
        <v>137</v>
      </c>
      <c r="C21" s="298"/>
      <c r="D21" s="10"/>
      <c r="E21" s="62">
        <v>324079320</v>
      </c>
      <c r="F21" s="12"/>
      <c r="G21" s="149">
        <v>341014341</v>
      </c>
      <c r="H21" s="12"/>
      <c r="I21" s="298"/>
      <c r="J21" s="298"/>
      <c r="K21" s="298"/>
      <c r="L21" s="298"/>
      <c r="M21" s="80"/>
      <c r="N21" s="80"/>
      <c r="O21" s="80"/>
      <c r="P21" s="80"/>
    </row>
    <row r="22" spans="1:16" ht="27.95" customHeight="1" x14ac:dyDescent="0.3">
      <c r="A22" s="9"/>
      <c r="B22" s="298" t="s">
        <v>36</v>
      </c>
      <c r="C22" s="298"/>
      <c r="D22" s="10"/>
      <c r="E22" s="62">
        <v>1300317966</v>
      </c>
      <c r="F22" s="12"/>
      <c r="G22" s="149">
        <v>1311097976</v>
      </c>
      <c r="H22" s="12"/>
      <c r="I22" s="298"/>
      <c r="J22" s="298"/>
      <c r="K22" s="298"/>
      <c r="L22" s="298"/>
      <c r="M22" s="80"/>
      <c r="N22" s="80"/>
      <c r="O22" s="80"/>
      <c r="P22" s="80"/>
    </row>
    <row r="23" spans="1:16" ht="27.95" customHeight="1" x14ac:dyDescent="0.3">
      <c r="A23" s="9"/>
      <c r="B23" s="300" t="s">
        <v>120</v>
      </c>
      <c r="C23" s="300"/>
      <c r="D23" s="10"/>
      <c r="E23" s="62">
        <v>366041280089</v>
      </c>
      <c r="F23" s="12"/>
      <c r="G23" s="149">
        <v>327316042085</v>
      </c>
      <c r="H23" s="12"/>
      <c r="I23" s="298"/>
      <c r="J23" s="298"/>
      <c r="K23" s="298"/>
      <c r="L23" s="298"/>
      <c r="M23" s="80"/>
      <c r="N23" s="80"/>
      <c r="O23" s="80"/>
      <c r="P23" s="80"/>
    </row>
    <row r="24" spans="1:16" ht="27.75" customHeight="1" x14ac:dyDescent="0.3">
      <c r="A24" s="9"/>
      <c r="B24" s="298" t="s">
        <v>105</v>
      </c>
      <c r="C24" s="298"/>
      <c r="D24" s="10"/>
      <c r="E24" s="62">
        <v>182823899</v>
      </c>
      <c r="F24" s="12"/>
      <c r="G24" s="149">
        <v>155241424</v>
      </c>
      <c r="H24" s="12"/>
      <c r="I24" s="298"/>
      <c r="J24" s="298"/>
      <c r="K24" s="298"/>
      <c r="L24" s="298"/>
      <c r="M24" s="80"/>
      <c r="N24" s="80"/>
      <c r="O24" s="80"/>
      <c r="P24" s="80"/>
    </row>
    <row r="25" spans="1:16" ht="27.95" customHeight="1" x14ac:dyDescent="0.3">
      <c r="A25" s="9"/>
      <c r="B25" s="298" t="s">
        <v>123</v>
      </c>
      <c r="C25" s="298"/>
      <c r="D25" s="10"/>
      <c r="E25" s="62">
        <v>2417541343</v>
      </c>
      <c r="F25" s="12"/>
      <c r="G25" s="198">
        <v>325365504</v>
      </c>
      <c r="H25" s="12"/>
      <c r="I25" s="298"/>
      <c r="J25" s="298"/>
      <c r="K25" s="298"/>
      <c r="L25" s="298"/>
      <c r="M25" s="80"/>
      <c r="N25" s="80"/>
      <c r="O25" s="80"/>
      <c r="P25" s="80"/>
    </row>
    <row r="26" spans="1:16" ht="27.95" customHeight="1" x14ac:dyDescent="0.3">
      <c r="A26" s="9"/>
      <c r="B26" s="298" t="s">
        <v>136</v>
      </c>
      <c r="C26" s="298"/>
      <c r="D26" s="10"/>
      <c r="E26" s="62">
        <v>8208837543</v>
      </c>
      <c r="F26" s="12"/>
      <c r="G26" s="149">
        <v>5391775377</v>
      </c>
      <c r="H26" s="12"/>
      <c r="I26" s="298"/>
      <c r="J26" s="298"/>
      <c r="K26" s="298"/>
      <c r="L26" s="298"/>
      <c r="M26" s="80"/>
      <c r="N26" s="80"/>
      <c r="O26" s="80"/>
      <c r="P26" s="80"/>
    </row>
    <row r="27" spans="1:16" ht="27.95" customHeight="1" x14ac:dyDescent="0.3">
      <c r="A27" s="9"/>
      <c r="B27" s="298" t="s">
        <v>32</v>
      </c>
      <c r="C27" s="298"/>
      <c r="D27" s="10"/>
      <c r="E27" s="62">
        <v>1084103750</v>
      </c>
      <c r="F27" s="12"/>
      <c r="G27" s="149">
        <v>1160023414</v>
      </c>
      <c r="H27" s="12"/>
      <c r="I27" s="298"/>
      <c r="J27" s="298"/>
      <c r="K27" s="298"/>
      <c r="L27" s="298"/>
      <c r="M27" s="80"/>
      <c r="N27" s="80"/>
      <c r="O27" s="80"/>
      <c r="P27" s="80"/>
    </row>
    <row r="28" spans="1:16" ht="27.95" customHeight="1" x14ac:dyDescent="0.3">
      <c r="A28" s="9"/>
      <c r="B28" s="298" t="s">
        <v>124</v>
      </c>
      <c r="C28" s="298"/>
      <c r="D28" s="10"/>
      <c r="E28" s="62">
        <v>1665591231</v>
      </c>
      <c r="F28" s="12"/>
      <c r="G28" s="198">
        <v>1070444425</v>
      </c>
      <c r="H28" s="12"/>
      <c r="I28" s="298"/>
      <c r="J28" s="298"/>
      <c r="K28" s="298"/>
      <c r="L28" s="298"/>
      <c r="M28" s="80"/>
      <c r="N28" s="80"/>
      <c r="O28" s="80"/>
      <c r="P28" s="80"/>
    </row>
    <row r="29" spans="1:16" ht="27.95" customHeight="1" x14ac:dyDescent="0.3">
      <c r="A29" s="9"/>
      <c r="B29" s="298" t="s">
        <v>121</v>
      </c>
      <c r="C29" s="298"/>
      <c r="D29" s="10"/>
      <c r="E29" s="62">
        <v>19060678968</v>
      </c>
      <c r="F29" s="12"/>
      <c r="G29" s="149">
        <v>56021478448</v>
      </c>
      <c r="H29" s="12"/>
      <c r="I29" s="298"/>
      <c r="J29" s="298"/>
      <c r="K29" s="298"/>
      <c r="L29" s="298"/>
      <c r="M29" s="80"/>
      <c r="N29" s="80"/>
      <c r="O29" s="80"/>
      <c r="P29" s="80"/>
    </row>
    <row r="30" spans="1:16" ht="27.95" customHeight="1" x14ac:dyDescent="0.3">
      <c r="A30" s="9"/>
      <c r="B30" s="298" t="s">
        <v>143</v>
      </c>
      <c r="C30" s="298"/>
      <c r="D30" s="10"/>
      <c r="E30" s="62">
        <v>724298083</v>
      </c>
      <c r="F30" s="12"/>
      <c r="G30" s="149">
        <v>972862960</v>
      </c>
      <c r="H30" s="12"/>
      <c r="I30" s="298"/>
      <c r="J30" s="298"/>
      <c r="K30" s="298"/>
      <c r="L30" s="298"/>
      <c r="M30" s="80"/>
      <c r="N30" s="80"/>
      <c r="O30" s="80"/>
      <c r="P30" s="80"/>
    </row>
    <row r="31" spans="1:16" ht="27.95" customHeight="1" x14ac:dyDescent="0.3">
      <c r="A31" s="9"/>
      <c r="B31" s="298" t="s">
        <v>140</v>
      </c>
      <c r="C31" s="298"/>
      <c r="D31" s="10"/>
      <c r="E31" s="62">
        <v>40764893852</v>
      </c>
      <c r="F31" s="12"/>
      <c r="G31" s="149">
        <v>43505048847</v>
      </c>
      <c r="H31" s="12"/>
      <c r="I31" s="298"/>
      <c r="J31" s="298"/>
      <c r="K31" s="298"/>
      <c r="L31" s="298"/>
      <c r="M31" s="80"/>
      <c r="N31" s="80"/>
      <c r="O31" s="80"/>
      <c r="P31" s="80"/>
    </row>
    <row r="32" spans="1:16" ht="27.75" customHeight="1" x14ac:dyDescent="0.3">
      <c r="A32" s="9"/>
      <c r="B32" s="298" t="s">
        <v>89</v>
      </c>
      <c r="C32" s="298"/>
      <c r="D32" s="10"/>
      <c r="E32" s="62">
        <v>4274589285</v>
      </c>
      <c r="F32" s="12"/>
      <c r="G32" s="198">
        <v>1986796846</v>
      </c>
      <c r="H32" s="12"/>
      <c r="I32" s="75"/>
      <c r="J32" s="75"/>
      <c r="K32" s="75"/>
      <c r="L32" s="75"/>
      <c r="M32" s="80"/>
      <c r="N32" s="80"/>
      <c r="O32" s="80"/>
      <c r="P32" s="80"/>
    </row>
    <row r="33" spans="1:16" ht="27.95" customHeight="1" x14ac:dyDescent="0.3">
      <c r="A33" s="9"/>
      <c r="B33" s="298" t="s">
        <v>30</v>
      </c>
      <c r="C33" s="298"/>
      <c r="D33" s="10"/>
      <c r="E33" s="62">
        <v>24706296462</v>
      </c>
      <c r="F33" s="12"/>
      <c r="G33" s="149">
        <v>21793251504</v>
      </c>
      <c r="H33" s="12"/>
      <c r="I33" s="308"/>
      <c r="J33" s="298"/>
      <c r="K33" s="298"/>
      <c r="L33" s="298"/>
      <c r="M33" s="80"/>
      <c r="N33" s="80"/>
      <c r="O33" s="80"/>
      <c r="P33" s="80"/>
    </row>
    <row r="34" spans="1:16" ht="27.95" customHeight="1" thickBot="1" x14ac:dyDescent="0.35">
      <c r="A34" s="59"/>
      <c r="B34" s="306" t="s">
        <v>149</v>
      </c>
      <c r="C34" s="306"/>
      <c r="D34" s="58"/>
      <c r="E34" s="62">
        <v>180087803260</v>
      </c>
      <c r="F34" s="60"/>
      <c r="G34" s="198">
        <v>93284022858</v>
      </c>
      <c r="H34" s="60"/>
      <c r="M34" s="107"/>
      <c r="N34" s="80"/>
      <c r="O34" s="107"/>
      <c r="P34" s="80"/>
    </row>
    <row r="35" spans="1:16" ht="27.95" customHeight="1" thickBot="1" x14ac:dyDescent="0.35">
      <c r="A35" s="59"/>
      <c r="B35" s="287" t="s">
        <v>70</v>
      </c>
      <c r="C35" s="287"/>
      <c r="D35" s="58"/>
      <c r="E35" s="74"/>
      <c r="F35" s="57">
        <v>3013684331968</v>
      </c>
      <c r="G35" s="74"/>
      <c r="H35" s="57">
        <v>2715928536100</v>
      </c>
      <c r="M35" s="80"/>
      <c r="N35" s="108"/>
      <c r="O35" s="80"/>
      <c r="P35" s="108"/>
    </row>
    <row r="36" spans="1:16" ht="16.5" customHeight="1" x14ac:dyDescent="0.3"/>
    <row r="37" spans="1:16" x14ac:dyDescent="0.3">
      <c r="F37" s="148"/>
    </row>
    <row r="38" spans="1:16" x14ac:dyDescent="0.3">
      <c r="F38" s="148"/>
      <c r="G38" s="145"/>
      <c r="H38" s="148"/>
    </row>
    <row r="39" spans="1:16" x14ac:dyDescent="0.3">
      <c r="F39" s="145"/>
      <c r="G39" s="145"/>
      <c r="H39" s="145"/>
    </row>
  </sheetData>
  <mergeCells count="80">
    <mergeCell ref="K30:L30"/>
    <mergeCell ref="K31:L31"/>
    <mergeCell ref="K33:L33"/>
    <mergeCell ref="B32:C32"/>
    <mergeCell ref="K25:L25"/>
    <mergeCell ref="K26:L26"/>
    <mergeCell ref="K27:L27"/>
    <mergeCell ref="K28:L28"/>
    <mergeCell ref="K29:L29"/>
    <mergeCell ref="I31:J31"/>
    <mergeCell ref="I33:J33"/>
    <mergeCell ref="I27:J27"/>
    <mergeCell ref="I28:J28"/>
    <mergeCell ref="I29:J29"/>
    <mergeCell ref="I30:J30"/>
    <mergeCell ref="B31:C31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2:L22"/>
    <mergeCell ref="K23:L23"/>
    <mergeCell ref="K24:L24"/>
    <mergeCell ref="I26:J26"/>
    <mergeCell ref="I21:J21"/>
    <mergeCell ref="I22:J22"/>
    <mergeCell ref="I23:J23"/>
    <mergeCell ref="I24:J24"/>
    <mergeCell ref="I25:J25"/>
    <mergeCell ref="I17:J17"/>
    <mergeCell ref="I18:J18"/>
    <mergeCell ref="I19:J19"/>
    <mergeCell ref="I20:J20"/>
    <mergeCell ref="K21:L21"/>
    <mergeCell ref="I12:J12"/>
    <mergeCell ref="I13:J13"/>
    <mergeCell ref="I14:J14"/>
    <mergeCell ref="I15:J15"/>
    <mergeCell ref="I16:J16"/>
    <mergeCell ref="B12:C12"/>
    <mergeCell ref="A1:H1"/>
    <mergeCell ref="A2:H2"/>
    <mergeCell ref="A3:H3"/>
    <mergeCell ref="A4:E4"/>
    <mergeCell ref="A5:C5"/>
    <mergeCell ref="B6:C6"/>
    <mergeCell ref="E6:F6"/>
    <mergeCell ref="G6:H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4:C34"/>
    <mergeCell ref="B35:C35"/>
    <mergeCell ref="B33:C33"/>
    <mergeCell ref="B25:C25"/>
    <mergeCell ref="B26:C26"/>
    <mergeCell ref="B27:C27"/>
    <mergeCell ref="B28:C28"/>
    <mergeCell ref="B29:C29"/>
    <mergeCell ref="B30:C30"/>
  </mergeCells>
  <phoneticPr fontId="124" type="noConversion"/>
  <pageMargins left="0.69999998807907104" right="0.69999998807907104" top="0.75" bottom="0.75" header="0.30000001192092896" footer="0.30000001192092896"/>
  <pageSetup paperSize="9" scale="5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23"/>
  <sheetViews>
    <sheetView view="pageBreakPreview" zoomScale="70" zoomScaleNormal="55" zoomScaleSheetLayoutView="70" workbookViewId="0">
      <selection sqref="A1:E1"/>
    </sheetView>
  </sheetViews>
  <sheetFormatPr defaultRowHeight="16.5" x14ac:dyDescent="0.3"/>
  <cols>
    <col min="1" max="1" width="35.875" style="207" customWidth="1"/>
    <col min="2" max="2" width="27.875" style="207" bestFit="1" customWidth="1"/>
    <col min="3" max="3" width="26.25" style="207" bestFit="1" customWidth="1"/>
    <col min="4" max="4" width="28.875" style="207" bestFit="1" customWidth="1"/>
    <col min="5" max="5" width="26.25" style="207" bestFit="1" customWidth="1"/>
    <col min="6" max="16384" width="9" style="207"/>
  </cols>
  <sheetData>
    <row r="1" spans="1:5" ht="39" x14ac:dyDescent="0.3">
      <c r="A1" s="309" t="s">
        <v>322</v>
      </c>
      <c r="B1" s="309"/>
      <c r="C1" s="309"/>
      <c r="D1" s="309"/>
      <c r="E1" s="309"/>
    </row>
    <row r="2" spans="1:5" ht="20.25" customHeight="1" x14ac:dyDescent="0.3">
      <c r="A2" s="310" t="s">
        <v>464</v>
      </c>
      <c r="B2" s="310"/>
      <c r="C2" s="310"/>
      <c r="D2" s="310"/>
      <c r="E2" s="310"/>
    </row>
    <row r="3" spans="1:5" ht="20.25" customHeight="1" x14ac:dyDescent="0.3">
      <c r="A3" s="310" t="s">
        <v>321</v>
      </c>
      <c r="B3" s="310"/>
      <c r="C3" s="310"/>
      <c r="D3" s="310"/>
      <c r="E3" s="310"/>
    </row>
    <row r="4" spans="1:5" ht="21" thickBot="1" x14ac:dyDescent="0.4">
      <c r="A4" s="217" t="s">
        <v>155</v>
      </c>
      <c r="B4" s="216"/>
      <c r="C4" s="216"/>
      <c r="D4" s="216"/>
      <c r="E4" s="215" t="s">
        <v>84</v>
      </c>
    </row>
    <row r="5" spans="1:5" ht="24" x14ac:dyDescent="0.3">
      <c r="A5" s="214" t="s">
        <v>320</v>
      </c>
      <c r="B5" s="213" t="s">
        <v>319</v>
      </c>
      <c r="C5" s="213" t="s">
        <v>90</v>
      </c>
      <c r="D5" s="213" t="s">
        <v>318</v>
      </c>
      <c r="E5" s="212" t="s">
        <v>317</v>
      </c>
    </row>
    <row r="6" spans="1:5" ht="24" x14ac:dyDescent="0.3">
      <c r="A6" s="210" t="s">
        <v>456</v>
      </c>
      <c r="B6" s="257">
        <v>23275822952094</v>
      </c>
      <c r="C6" s="257">
        <v>3270662709428</v>
      </c>
      <c r="D6" s="209">
        <v>-17680766273939</v>
      </c>
      <c r="E6" s="257">
        <v>8865719387583</v>
      </c>
    </row>
    <row r="7" spans="1:5" s="211" customFormat="1" ht="24" x14ac:dyDescent="0.3">
      <c r="A7" s="210" t="s">
        <v>316</v>
      </c>
      <c r="B7" s="209">
        <v>554095949000</v>
      </c>
      <c r="C7" s="209" t="s">
        <v>74</v>
      </c>
      <c r="D7" s="209" t="s">
        <v>74</v>
      </c>
      <c r="E7" s="209">
        <v>554095949000</v>
      </c>
    </row>
    <row r="8" spans="1:5" s="211" customFormat="1" ht="24" x14ac:dyDescent="0.3">
      <c r="A8" s="210" t="s">
        <v>315</v>
      </c>
      <c r="B8" s="209" t="s">
        <v>74</v>
      </c>
      <c r="C8" s="209" t="s">
        <v>74</v>
      </c>
      <c r="D8" s="209" t="s">
        <v>74</v>
      </c>
      <c r="E8" s="209" t="s">
        <v>74</v>
      </c>
    </row>
    <row r="9" spans="1:5" s="211" customFormat="1" ht="24" x14ac:dyDescent="0.3">
      <c r="A9" s="210" t="s">
        <v>314</v>
      </c>
      <c r="B9" s="209" t="s">
        <v>74</v>
      </c>
      <c r="C9" s="209">
        <v>-67138954347</v>
      </c>
      <c r="D9" s="209" t="s">
        <v>74</v>
      </c>
      <c r="E9" s="209">
        <v>-67138954347</v>
      </c>
    </row>
    <row r="10" spans="1:5" ht="24" x14ac:dyDescent="0.3">
      <c r="A10" s="210" t="s">
        <v>313</v>
      </c>
      <c r="B10" s="209" t="s">
        <v>74</v>
      </c>
      <c r="C10" s="209">
        <v>21409840</v>
      </c>
      <c r="D10" s="209" t="s">
        <v>74</v>
      </c>
      <c r="E10" s="209">
        <v>21409840</v>
      </c>
    </row>
    <row r="11" spans="1:5" ht="24" x14ac:dyDescent="0.3">
      <c r="A11" s="210" t="s">
        <v>312</v>
      </c>
      <c r="B11" s="209" t="s">
        <v>74</v>
      </c>
      <c r="C11" s="209">
        <v>304764</v>
      </c>
      <c r="D11" s="209" t="s">
        <v>74</v>
      </c>
      <c r="E11" s="209">
        <v>304764</v>
      </c>
    </row>
    <row r="12" spans="1:5" ht="24" x14ac:dyDescent="0.3">
      <c r="A12" s="210" t="s">
        <v>311</v>
      </c>
      <c r="B12" s="209" t="s">
        <v>74</v>
      </c>
      <c r="C12" s="209" t="s">
        <v>74</v>
      </c>
      <c r="D12" s="209">
        <v>-517287241679</v>
      </c>
      <c r="E12" s="209">
        <v>-517287241679</v>
      </c>
    </row>
    <row r="13" spans="1:5" ht="24" x14ac:dyDescent="0.3">
      <c r="A13" s="210" t="s">
        <v>457</v>
      </c>
      <c r="B13" s="209">
        <v>23829918901094</v>
      </c>
      <c r="C13" s="209">
        <v>3203545469685</v>
      </c>
      <c r="D13" s="209">
        <v>-18198053515618</v>
      </c>
      <c r="E13" s="209">
        <v>8835410855161</v>
      </c>
    </row>
    <row r="14" spans="1:5" ht="24" x14ac:dyDescent="0.3">
      <c r="A14" s="210" t="s">
        <v>458</v>
      </c>
      <c r="B14" s="209">
        <v>23829918901094</v>
      </c>
      <c r="C14" s="209">
        <v>3203545469685</v>
      </c>
      <c r="D14" s="209">
        <v>-18198053515618</v>
      </c>
      <c r="E14" s="209">
        <v>8835410855161</v>
      </c>
    </row>
    <row r="15" spans="1:5" ht="24" x14ac:dyDescent="0.3">
      <c r="A15" s="210" t="s">
        <v>316</v>
      </c>
      <c r="B15" s="209">
        <v>345331953000</v>
      </c>
      <c r="C15" s="209" t="s">
        <v>74</v>
      </c>
      <c r="D15" s="209" t="s">
        <v>74</v>
      </c>
      <c r="E15" s="209">
        <v>345331953000</v>
      </c>
    </row>
    <row r="16" spans="1:5" ht="24" x14ac:dyDescent="0.3">
      <c r="A16" s="210" t="s">
        <v>459</v>
      </c>
      <c r="B16" s="209" t="s">
        <v>74</v>
      </c>
      <c r="C16" s="209">
        <v>-370897236</v>
      </c>
      <c r="D16" s="209" t="s">
        <v>74</v>
      </c>
      <c r="E16" s="209">
        <v>-370897236</v>
      </c>
    </row>
    <row r="17" spans="1:5" ht="24" x14ac:dyDescent="0.3">
      <c r="A17" s="210" t="s">
        <v>460</v>
      </c>
      <c r="B17" s="209" t="s">
        <v>74</v>
      </c>
      <c r="C17" s="209">
        <v>24428620</v>
      </c>
      <c r="D17" s="209" t="s">
        <v>74</v>
      </c>
      <c r="E17" s="209">
        <v>24428620</v>
      </c>
    </row>
    <row r="18" spans="1:5" ht="24" x14ac:dyDescent="0.3">
      <c r="A18" s="210" t="s">
        <v>461</v>
      </c>
      <c r="B18" s="209" t="s">
        <v>74</v>
      </c>
      <c r="C18" s="209">
        <v>111672</v>
      </c>
      <c r="D18" s="209" t="s">
        <v>74</v>
      </c>
      <c r="E18" s="209">
        <v>111672</v>
      </c>
    </row>
    <row r="19" spans="1:5" ht="24" x14ac:dyDescent="0.3">
      <c r="A19" s="210" t="s">
        <v>462</v>
      </c>
      <c r="B19" s="209" t="s">
        <v>74</v>
      </c>
      <c r="C19" s="209" t="s">
        <v>74</v>
      </c>
      <c r="D19" s="209">
        <v>-724126845664</v>
      </c>
      <c r="E19" s="209">
        <v>-724126845664</v>
      </c>
    </row>
    <row r="20" spans="1:5" ht="24" x14ac:dyDescent="0.3">
      <c r="A20" s="258" t="s">
        <v>463</v>
      </c>
      <c r="B20" s="259">
        <v>24175250854094</v>
      </c>
      <c r="C20" s="259">
        <v>3203199112741</v>
      </c>
      <c r="D20" s="259">
        <v>-18922180361282</v>
      </c>
      <c r="E20" s="260">
        <v>8456269605553</v>
      </c>
    </row>
    <row r="22" spans="1:5" x14ac:dyDescent="0.3">
      <c r="E22" s="208"/>
    </row>
    <row r="23" spans="1:5" x14ac:dyDescent="0.3">
      <c r="E23" s="208"/>
    </row>
  </sheetData>
  <mergeCells count="3">
    <mergeCell ref="A1:E1"/>
    <mergeCell ref="A2:E2"/>
    <mergeCell ref="A3:E3"/>
  </mergeCells>
  <phoneticPr fontId="124" type="noConversion"/>
  <pageMargins left="0.7" right="0.7" top="0.75" bottom="0.75" header="0.3" footer="0.3"/>
  <pageSetup paperSize="9" scale="55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90"/>
  <sheetViews>
    <sheetView view="pageBreakPreview" zoomScale="60" zoomScaleNormal="55" workbookViewId="0">
      <selection sqref="A1:E1"/>
    </sheetView>
  </sheetViews>
  <sheetFormatPr defaultRowHeight="16.5" x14ac:dyDescent="0.3"/>
  <cols>
    <col min="1" max="1" width="66.125" style="218" customWidth="1"/>
    <col min="2" max="4" width="27.125" style="218" bestFit="1" customWidth="1"/>
    <col min="5" max="5" width="25.875" style="218" bestFit="1" customWidth="1"/>
    <col min="6" max="6" width="9" style="218"/>
    <col min="7" max="8" width="25.375" style="219" bestFit="1" customWidth="1"/>
    <col min="9" max="9" width="27.625" style="219" bestFit="1" customWidth="1"/>
    <col min="10" max="10" width="25.375" style="219" bestFit="1" customWidth="1"/>
    <col min="11" max="16384" width="9" style="218"/>
  </cols>
  <sheetData>
    <row r="1" spans="1:10" ht="39" x14ac:dyDescent="0.3">
      <c r="A1" s="311" t="s">
        <v>324</v>
      </c>
      <c r="B1" s="311"/>
      <c r="C1" s="311"/>
      <c r="D1" s="311"/>
      <c r="E1" s="311"/>
    </row>
    <row r="2" spans="1:10" ht="27.95" customHeight="1" x14ac:dyDescent="0.3">
      <c r="A2" s="312" t="s">
        <v>498</v>
      </c>
      <c r="B2" s="312"/>
      <c r="C2" s="312"/>
      <c r="D2" s="312"/>
      <c r="E2" s="312"/>
    </row>
    <row r="3" spans="1:10" ht="27.95" customHeight="1" x14ac:dyDescent="0.3">
      <c r="A3" s="312" t="s">
        <v>323</v>
      </c>
      <c r="B3" s="312"/>
      <c r="C3" s="312"/>
      <c r="D3" s="312"/>
      <c r="E3" s="312"/>
    </row>
    <row r="4" spans="1:10" ht="27.95" customHeight="1" x14ac:dyDescent="0.35">
      <c r="A4" s="228" t="s">
        <v>155</v>
      </c>
      <c r="B4" s="227"/>
      <c r="C4" s="227"/>
      <c r="D4" s="227"/>
      <c r="E4" s="226" t="s">
        <v>84</v>
      </c>
    </row>
    <row r="5" spans="1:10" s="220" customFormat="1" ht="27.95" customHeight="1" x14ac:dyDescent="0.3">
      <c r="A5" s="225" t="s">
        <v>297</v>
      </c>
      <c r="B5" s="313" t="s">
        <v>499</v>
      </c>
      <c r="C5" s="314"/>
      <c r="D5" s="313" t="s">
        <v>500</v>
      </c>
      <c r="E5" s="314"/>
      <c r="G5" s="221"/>
      <c r="H5" s="221"/>
      <c r="I5" s="221"/>
      <c r="J5" s="221"/>
    </row>
    <row r="6" spans="1:10" s="223" customFormat="1" ht="27.95" customHeight="1" x14ac:dyDescent="0.3">
      <c r="A6" s="261" t="s">
        <v>296</v>
      </c>
      <c r="B6" s="222"/>
      <c r="C6" s="222">
        <v>-128273353745</v>
      </c>
      <c r="D6" s="222"/>
      <c r="E6" s="222">
        <v>-398645074385</v>
      </c>
      <c r="G6" s="224"/>
      <c r="H6" s="224"/>
      <c r="I6" s="224"/>
      <c r="J6" s="224"/>
    </row>
    <row r="7" spans="1:10" s="220" customFormat="1" ht="27.95" customHeight="1" x14ac:dyDescent="0.3">
      <c r="A7" s="262" t="s">
        <v>295</v>
      </c>
      <c r="B7" s="222">
        <v>-724126845664</v>
      </c>
      <c r="C7" s="222"/>
      <c r="D7" s="222">
        <v>-517287241679</v>
      </c>
      <c r="E7" s="222"/>
      <c r="G7" s="221"/>
      <c r="H7" s="221"/>
      <c r="I7" s="221"/>
      <c r="J7" s="221"/>
    </row>
    <row r="8" spans="1:10" s="220" customFormat="1" ht="27.95" customHeight="1" x14ac:dyDescent="0.3">
      <c r="A8" s="262" t="s">
        <v>294</v>
      </c>
      <c r="B8" s="222">
        <v>662030475296</v>
      </c>
      <c r="C8" s="222"/>
      <c r="D8" s="222">
        <v>529411838864</v>
      </c>
      <c r="E8" s="222"/>
      <c r="G8" s="221"/>
      <c r="H8" s="221"/>
      <c r="I8" s="221"/>
      <c r="J8" s="221"/>
    </row>
    <row r="9" spans="1:10" s="220" customFormat="1" ht="27.95" customHeight="1" x14ac:dyDescent="0.3">
      <c r="A9" s="262" t="s">
        <v>114</v>
      </c>
      <c r="B9" s="222">
        <v>227960180949</v>
      </c>
      <c r="C9" s="222"/>
      <c r="D9" s="222">
        <v>101707255825</v>
      </c>
      <c r="E9" s="222"/>
      <c r="G9" s="221"/>
      <c r="H9" s="221"/>
      <c r="I9" s="221"/>
      <c r="J9" s="221"/>
    </row>
    <row r="10" spans="1:10" s="220" customFormat="1" ht="27.95" customHeight="1" x14ac:dyDescent="0.3">
      <c r="A10" s="262" t="s">
        <v>117</v>
      </c>
      <c r="B10" s="222">
        <v>412590369485</v>
      </c>
      <c r="C10" s="222"/>
      <c r="D10" s="222">
        <v>403533709062</v>
      </c>
      <c r="E10" s="222"/>
      <c r="G10" s="221"/>
      <c r="H10" s="221"/>
      <c r="I10" s="221"/>
      <c r="J10" s="221"/>
    </row>
    <row r="11" spans="1:10" s="220" customFormat="1" ht="27.95" customHeight="1" x14ac:dyDescent="0.3">
      <c r="A11" s="262" t="s">
        <v>465</v>
      </c>
      <c r="B11" s="222">
        <v>9581798</v>
      </c>
      <c r="C11" s="222"/>
      <c r="D11" s="222" t="s">
        <v>466</v>
      </c>
      <c r="E11" s="222"/>
      <c r="G11" s="221"/>
      <c r="H11" s="221"/>
      <c r="I11" s="221"/>
      <c r="J11" s="221"/>
    </row>
    <row r="12" spans="1:10" s="220" customFormat="1" ht="27.95" customHeight="1" x14ac:dyDescent="0.3">
      <c r="A12" s="262" t="s">
        <v>16</v>
      </c>
      <c r="B12" s="222" t="s">
        <v>466</v>
      </c>
      <c r="C12" s="222"/>
      <c r="D12" s="222">
        <v>8157119177</v>
      </c>
      <c r="E12" s="222"/>
      <c r="G12" s="221"/>
      <c r="H12" s="221"/>
      <c r="I12" s="221"/>
      <c r="J12" s="221"/>
    </row>
    <row r="13" spans="1:10" s="220" customFormat="1" ht="27.95" customHeight="1" x14ac:dyDescent="0.3">
      <c r="A13" s="262" t="s">
        <v>111</v>
      </c>
      <c r="B13" s="222">
        <v>5469341792</v>
      </c>
      <c r="C13" s="222"/>
      <c r="D13" s="222">
        <v>6197948882</v>
      </c>
      <c r="E13" s="222"/>
      <c r="G13" s="221"/>
      <c r="H13" s="221"/>
      <c r="I13" s="221"/>
      <c r="J13" s="221"/>
    </row>
    <row r="14" spans="1:10" s="220" customFormat="1" ht="27.95" customHeight="1" x14ac:dyDescent="0.3">
      <c r="A14" s="262" t="s">
        <v>132</v>
      </c>
      <c r="B14" s="222">
        <v>4274589285</v>
      </c>
      <c r="C14" s="222"/>
      <c r="D14" s="222">
        <v>1986796846</v>
      </c>
      <c r="E14" s="222"/>
      <c r="G14" s="221"/>
      <c r="H14" s="221"/>
      <c r="I14" s="221"/>
      <c r="J14" s="221"/>
    </row>
    <row r="15" spans="1:10" s="220" customFormat="1" ht="27.95" customHeight="1" x14ac:dyDescent="0.3">
      <c r="A15" s="262" t="s">
        <v>15</v>
      </c>
      <c r="B15" s="222">
        <v>906076787</v>
      </c>
      <c r="C15" s="222"/>
      <c r="D15" s="222">
        <v>89937432</v>
      </c>
      <c r="E15" s="222"/>
      <c r="G15" s="221"/>
      <c r="H15" s="221"/>
      <c r="I15" s="221"/>
      <c r="J15" s="221"/>
    </row>
    <row r="16" spans="1:10" s="220" customFormat="1" ht="27.95" customHeight="1" x14ac:dyDescent="0.3">
      <c r="A16" s="262" t="s">
        <v>9</v>
      </c>
      <c r="B16" s="222">
        <v>10069617539</v>
      </c>
      <c r="C16" s="222"/>
      <c r="D16" s="222">
        <v>5338018664</v>
      </c>
      <c r="E16" s="222"/>
      <c r="G16" s="221"/>
      <c r="H16" s="221"/>
      <c r="I16" s="221"/>
      <c r="J16" s="221"/>
    </row>
    <row r="17" spans="1:10" s="220" customFormat="1" ht="27.95" customHeight="1" x14ac:dyDescent="0.3">
      <c r="A17" s="262" t="s">
        <v>467</v>
      </c>
      <c r="B17" s="222">
        <v>3577948</v>
      </c>
      <c r="C17" s="222"/>
      <c r="D17" s="222">
        <v>29613333</v>
      </c>
      <c r="E17" s="222"/>
      <c r="G17" s="221"/>
      <c r="H17" s="221"/>
      <c r="I17" s="221"/>
      <c r="J17" s="221"/>
    </row>
    <row r="18" spans="1:10" s="220" customFormat="1" ht="27.95" customHeight="1" x14ac:dyDescent="0.3">
      <c r="A18" s="262" t="s">
        <v>264</v>
      </c>
      <c r="B18" s="222">
        <v>747139713</v>
      </c>
      <c r="C18" s="222"/>
      <c r="D18" s="222">
        <v>982475148</v>
      </c>
      <c r="E18" s="222"/>
      <c r="G18" s="221"/>
      <c r="H18" s="221"/>
      <c r="I18" s="221"/>
      <c r="J18" s="221"/>
    </row>
    <row r="19" spans="1:10" s="220" customFormat="1" ht="27.95" customHeight="1" x14ac:dyDescent="0.3">
      <c r="A19" s="262" t="s">
        <v>35</v>
      </c>
      <c r="B19" s="222" t="s">
        <v>466</v>
      </c>
      <c r="C19" s="222"/>
      <c r="D19" s="222">
        <v>1057500000</v>
      </c>
      <c r="E19" s="222"/>
      <c r="G19" s="221"/>
      <c r="H19" s="221"/>
      <c r="I19" s="221"/>
      <c r="J19" s="221"/>
    </row>
    <row r="20" spans="1:10" s="220" customFormat="1" ht="27.75" customHeight="1" x14ac:dyDescent="0.3">
      <c r="A20" s="262" t="s">
        <v>146</v>
      </c>
      <c r="B20" s="222" t="s">
        <v>466</v>
      </c>
      <c r="C20" s="222"/>
      <c r="D20" s="222">
        <v>331464495</v>
      </c>
      <c r="E20" s="222"/>
      <c r="G20" s="221"/>
      <c r="H20" s="221"/>
      <c r="I20" s="221"/>
      <c r="J20" s="221"/>
    </row>
    <row r="21" spans="1:10" s="220" customFormat="1" ht="27.95" customHeight="1" x14ac:dyDescent="0.3">
      <c r="A21" s="262" t="s">
        <v>293</v>
      </c>
      <c r="B21" s="222">
        <v>-47319112194</v>
      </c>
      <c r="C21" s="222"/>
      <c r="D21" s="222">
        <v>-117805299875</v>
      </c>
      <c r="E21" s="222"/>
      <c r="G21" s="221"/>
      <c r="H21" s="221"/>
      <c r="I21" s="221"/>
      <c r="J21" s="221"/>
    </row>
    <row r="22" spans="1:10" s="220" customFormat="1" ht="27.95" customHeight="1" x14ac:dyDescent="0.3">
      <c r="A22" s="262" t="s">
        <v>306</v>
      </c>
      <c r="B22" s="222">
        <v>5491625092</v>
      </c>
      <c r="C22" s="222"/>
      <c r="D22" s="222">
        <v>1544181876</v>
      </c>
      <c r="E22" s="222"/>
      <c r="G22" s="221"/>
      <c r="H22" s="221"/>
      <c r="I22" s="221"/>
      <c r="J22" s="221"/>
    </row>
    <row r="23" spans="1:10" s="220" customFormat="1" ht="27.95" customHeight="1" x14ac:dyDescent="0.3">
      <c r="A23" s="262" t="s">
        <v>14</v>
      </c>
      <c r="B23" s="222">
        <v>1119751101</v>
      </c>
      <c r="C23" s="222"/>
      <c r="D23" s="222">
        <v>50265264613</v>
      </c>
      <c r="E23" s="222"/>
      <c r="G23" s="221"/>
      <c r="H23" s="221"/>
      <c r="I23" s="221"/>
      <c r="J23" s="221"/>
    </row>
    <row r="24" spans="1:10" s="220" customFormat="1" ht="27.95" customHeight="1" x14ac:dyDescent="0.3">
      <c r="A24" s="262" t="s">
        <v>125</v>
      </c>
      <c r="B24" s="222">
        <v>10046499678</v>
      </c>
      <c r="C24" s="222"/>
      <c r="D24" s="222">
        <v>55284291842</v>
      </c>
      <c r="E24" s="222"/>
      <c r="G24" s="221"/>
      <c r="H24" s="221"/>
      <c r="I24" s="221"/>
      <c r="J24" s="221"/>
    </row>
    <row r="25" spans="1:10" s="220" customFormat="1" ht="27.95" customHeight="1" x14ac:dyDescent="0.3">
      <c r="A25" s="262" t="s">
        <v>122</v>
      </c>
      <c r="B25" s="222">
        <v>30573449261</v>
      </c>
      <c r="C25" s="222"/>
      <c r="D25" s="222">
        <v>10704093214</v>
      </c>
      <c r="E25" s="222"/>
      <c r="G25" s="221"/>
      <c r="H25" s="221"/>
      <c r="I25" s="221"/>
      <c r="J25" s="221"/>
    </row>
    <row r="26" spans="1:10" s="220" customFormat="1" ht="27.75" customHeight="1" x14ac:dyDescent="0.3">
      <c r="A26" s="262" t="s">
        <v>38</v>
      </c>
      <c r="B26" s="222">
        <v>31708690</v>
      </c>
      <c r="C26" s="222"/>
      <c r="D26" s="222">
        <v>7468330</v>
      </c>
      <c r="E26" s="222"/>
      <c r="G26" s="221"/>
      <c r="H26" s="221"/>
      <c r="I26" s="221"/>
      <c r="J26" s="221"/>
    </row>
    <row r="27" spans="1:10" s="220" customFormat="1" ht="27.75" customHeight="1" x14ac:dyDescent="0.3">
      <c r="A27" s="262" t="s">
        <v>112</v>
      </c>
      <c r="B27" s="222">
        <v>2295875</v>
      </c>
      <c r="C27" s="222"/>
      <c r="D27" s="222" t="s">
        <v>466</v>
      </c>
      <c r="E27" s="222"/>
      <c r="G27" s="221"/>
      <c r="H27" s="221"/>
      <c r="I27" s="221"/>
      <c r="J27" s="221"/>
    </row>
    <row r="28" spans="1:10" s="223" customFormat="1" ht="27.95" customHeight="1" x14ac:dyDescent="0.3">
      <c r="A28" s="262" t="s">
        <v>141</v>
      </c>
      <c r="B28" s="222">
        <v>53782497</v>
      </c>
      <c r="C28" s="222"/>
      <c r="D28" s="222" t="s">
        <v>466</v>
      </c>
      <c r="E28" s="222"/>
      <c r="G28" s="224"/>
      <c r="H28" s="224"/>
      <c r="I28" s="224"/>
      <c r="J28" s="224"/>
    </row>
    <row r="29" spans="1:10" s="220" customFormat="1" ht="27.95" customHeight="1" x14ac:dyDescent="0.3">
      <c r="A29" s="262" t="s">
        <v>292</v>
      </c>
      <c r="B29" s="222">
        <v>-18857871183</v>
      </c>
      <c r="C29" s="222"/>
      <c r="D29" s="222">
        <v>-292964371695</v>
      </c>
      <c r="E29" s="222"/>
      <c r="G29" s="221"/>
      <c r="H29" s="221"/>
      <c r="I29" s="221"/>
      <c r="J29" s="221"/>
    </row>
    <row r="30" spans="1:10" s="220" customFormat="1" ht="27.95" customHeight="1" x14ac:dyDescent="0.3">
      <c r="A30" s="262" t="s">
        <v>468</v>
      </c>
      <c r="B30" s="222">
        <v>-49115186579</v>
      </c>
      <c r="C30" s="222"/>
      <c r="D30" s="222">
        <v>-25755998444</v>
      </c>
      <c r="E30" s="222"/>
      <c r="G30" s="221"/>
      <c r="H30" s="221"/>
      <c r="I30" s="221"/>
      <c r="J30" s="221"/>
    </row>
    <row r="31" spans="1:10" s="220" customFormat="1" ht="27.95" customHeight="1" x14ac:dyDescent="0.3">
      <c r="A31" s="262" t="s">
        <v>469</v>
      </c>
      <c r="B31" s="222">
        <v>-6307616002</v>
      </c>
      <c r="C31" s="222"/>
      <c r="D31" s="222">
        <v>5646901288</v>
      </c>
      <c r="E31" s="222"/>
      <c r="G31" s="221"/>
      <c r="H31" s="221"/>
      <c r="I31" s="221"/>
      <c r="J31" s="221"/>
    </row>
    <row r="32" spans="1:10" s="220" customFormat="1" ht="27.95" customHeight="1" x14ac:dyDescent="0.3">
      <c r="A32" s="262" t="s">
        <v>470</v>
      </c>
      <c r="B32" s="222">
        <v>-365787249</v>
      </c>
      <c r="C32" s="222"/>
      <c r="D32" s="222">
        <v>852142815</v>
      </c>
      <c r="E32" s="222"/>
      <c r="G32" s="221"/>
      <c r="H32" s="221"/>
      <c r="I32" s="221"/>
      <c r="J32" s="221"/>
    </row>
    <row r="33" spans="1:10" s="220" customFormat="1" ht="27.95" customHeight="1" x14ac:dyDescent="0.3">
      <c r="A33" s="262" t="s">
        <v>471</v>
      </c>
      <c r="B33" s="222">
        <v>-407014733</v>
      </c>
      <c r="C33" s="222"/>
      <c r="D33" s="222">
        <v>1027796290</v>
      </c>
      <c r="E33" s="222"/>
      <c r="G33" s="221"/>
      <c r="H33" s="221"/>
      <c r="I33" s="221"/>
      <c r="J33" s="221"/>
    </row>
    <row r="34" spans="1:10" s="220" customFormat="1" ht="27.95" customHeight="1" x14ac:dyDescent="0.3">
      <c r="A34" s="262" t="s">
        <v>472</v>
      </c>
      <c r="B34" s="222">
        <v>506064501</v>
      </c>
      <c r="C34" s="222"/>
      <c r="D34" s="222">
        <v>-123242971</v>
      </c>
      <c r="E34" s="222"/>
      <c r="G34" s="221"/>
      <c r="H34" s="221"/>
      <c r="I34" s="221"/>
      <c r="J34" s="221"/>
    </row>
    <row r="35" spans="1:10" s="220" customFormat="1" ht="27.95" customHeight="1" x14ac:dyDescent="0.3">
      <c r="A35" s="262" t="s">
        <v>473</v>
      </c>
      <c r="B35" s="222">
        <v>-618379225</v>
      </c>
      <c r="C35" s="222"/>
      <c r="D35" s="222">
        <v>-937468320</v>
      </c>
      <c r="E35" s="222"/>
      <c r="G35" s="221"/>
      <c r="H35" s="221"/>
      <c r="I35" s="221"/>
      <c r="J35" s="221"/>
    </row>
    <row r="36" spans="1:10" s="220" customFormat="1" ht="27.95" customHeight="1" x14ac:dyDescent="0.3">
      <c r="A36" s="262" t="s">
        <v>474</v>
      </c>
      <c r="B36" s="222" t="s">
        <v>466</v>
      </c>
      <c r="C36" s="222"/>
      <c r="D36" s="222">
        <v>22141400</v>
      </c>
      <c r="E36" s="222"/>
      <c r="G36" s="221"/>
      <c r="H36" s="221"/>
      <c r="I36" s="221"/>
      <c r="J36" s="221"/>
    </row>
    <row r="37" spans="1:10" s="220" customFormat="1" ht="27.95" customHeight="1" x14ac:dyDescent="0.3">
      <c r="A37" s="262" t="s">
        <v>475</v>
      </c>
      <c r="B37" s="222">
        <v>-3261726913</v>
      </c>
      <c r="C37" s="222"/>
      <c r="D37" s="222">
        <v>-11549163268</v>
      </c>
      <c r="E37" s="222"/>
      <c r="G37" s="221"/>
      <c r="H37" s="221"/>
      <c r="I37" s="221"/>
      <c r="J37" s="221"/>
    </row>
    <row r="38" spans="1:10" s="220" customFormat="1" ht="27.95" customHeight="1" x14ac:dyDescent="0.3">
      <c r="A38" s="262" t="s">
        <v>476</v>
      </c>
      <c r="B38" s="222">
        <v>25370705338</v>
      </c>
      <c r="C38" s="222"/>
      <c r="D38" s="222">
        <v>-76362908435</v>
      </c>
      <c r="E38" s="222"/>
      <c r="G38" s="221"/>
      <c r="H38" s="221"/>
      <c r="I38" s="221"/>
      <c r="J38" s="221"/>
    </row>
    <row r="39" spans="1:10" s="220" customFormat="1" ht="27.95" customHeight="1" x14ac:dyDescent="0.3">
      <c r="A39" s="262" t="s">
        <v>477</v>
      </c>
      <c r="B39" s="222">
        <v>-1334915670</v>
      </c>
      <c r="C39" s="222"/>
      <c r="D39" s="222">
        <v>2454283799</v>
      </c>
      <c r="E39" s="222"/>
      <c r="G39" s="221"/>
      <c r="H39" s="221"/>
      <c r="I39" s="221"/>
      <c r="J39" s="221"/>
    </row>
    <row r="40" spans="1:10" s="220" customFormat="1" ht="27.95" customHeight="1" x14ac:dyDescent="0.3">
      <c r="A40" s="262" t="s">
        <v>478</v>
      </c>
      <c r="B40" s="222">
        <v>41210976907</v>
      </c>
      <c r="C40" s="222"/>
      <c r="D40" s="222">
        <v>3444652677</v>
      </c>
      <c r="E40" s="222"/>
      <c r="G40" s="221"/>
      <c r="H40" s="221"/>
      <c r="I40" s="221"/>
      <c r="J40" s="221"/>
    </row>
    <row r="41" spans="1:10" s="220" customFormat="1" ht="27.95" customHeight="1" x14ac:dyDescent="0.3">
      <c r="A41" s="262" t="s">
        <v>291</v>
      </c>
      <c r="B41" s="222">
        <v>139302261460</v>
      </c>
      <c r="C41" s="222"/>
      <c r="D41" s="222">
        <v>7346145118</v>
      </c>
      <c r="E41" s="222"/>
      <c r="G41" s="221"/>
      <c r="H41" s="221"/>
      <c r="I41" s="221"/>
      <c r="J41" s="221"/>
    </row>
    <row r="42" spans="1:10" s="220" customFormat="1" ht="27.95" customHeight="1" x14ac:dyDescent="0.3">
      <c r="A42" s="262" t="s">
        <v>479</v>
      </c>
      <c r="B42" s="222">
        <v>8342614397</v>
      </c>
      <c r="C42" s="222"/>
      <c r="D42" s="222">
        <v>-5882127910</v>
      </c>
      <c r="E42" s="222"/>
      <c r="G42" s="221"/>
      <c r="H42" s="221"/>
      <c r="I42" s="221"/>
      <c r="J42" s="221"/>
    </row>
    <row r="43" spans="1:10" s="220" customFormat="1" ht="27.95" customHeight="1" x14ac:dyDescent="0.3">
      <c r="A43" s="262" t="s">
        <v>480</v>
      </c>
      <c r="B43" s="222">
        <v>-10751426489</v>
      </c>
      <c r="C43" s="222"/>
      <c r="D43" s="222">
        <v>-4262966256</v>
      </c>
      <c r="E43" s="222"/>
      <c r="G43" s="221"/>
      <c r="H43" s="221"/>
      <c r="I43" s="221"/>
      <c r="J43" s="221"/>
    </row>
    <row r="44" spans="1:10" s="220" customFormat="1" ht="27.95" customHeight="1" x14ac:dyDescent="0.3">
      <c r="A44" s="262" t="s">
        <v>481</v>
      </c>
      <c r="B44" s="222">
        <v>-21619059772</v>
      </c>
      <c r="C44" s="222"/>
      <c r="D44" s="222">
        <v>-90818732043</v>
      </c>
      <c r="E44" s="222"/>
      <c r="G44" s="221"/>
      <c r="H44" s="221"/>
      <c r="I44" s="221"/>
      <c r="J44" s="221"/>
    </row>
    <row r="45" spans="1:10" s="220" customFormat="1" ht="27.95" customHeight="1" x14ac:dyDescent="0.3">
      <c r="A45" s="262" t="s">
        <v>290</v>
      </c>
      <c r="B45" s="222">
        <v>-340807248</v>
      </c>
      <c r="C45" s="222"/>
      <c r="D45" s="222">
        <v>190930239</v>
      </c>
      <c r="E45" s="222"/>
      <c r="G45" s="221"/>
      <c r="H45" s="221"/>
      <c r="I45" s="221"/>
      <c r="J45" s="221"/>
    </row>
    <row r="46" spans="1:10" s="220" customFormat="1" ht="27.95" customHeight="1" x14ac:dyDescent="0.3">
      <c r="A46" s="262" t="s">
        <v>289</v>
      </c>
      <c r="B46" s="222">
        <v>-26065166703</v>
      </c>
      <c r="C46" s="222"/>
      <c r="D46" s="222">
        <v>-19306281759</v>
      </c>
      <c r="E46" s="222"/>
      <c r="G46" s="221"/>
      <c r="H46" s="221"/>
      <c r="I46" s="221"/>
      <c r="J46" s="221"/>
    </row>
    <row r="47" spans="1:10" s="220" customFormat="1" ht="27.95" customHeight="1" x14ac:dyDescent="0.3">
      <c r="A47" s="262" t="s">
        <v>482</v>
      </c>
      <c r="B47" s="222">
        <v>311831818</v>
      </c>
      <c r="C47" s="222"/>
      <c r="D47" s="222">
        <v>408917709</v>
      </c>
      <c r="E47" s="222"/>
      <c r="G47" s="221"/>
      <c r="H47" s="221"/>
      <c r="I47" s="221"/>
      <c r="J47" s="221"/>
    </row>
    <row r="48" spans="1:10" s="220" customFormat="1" ht="27.95" customHeight="1" x14ac:dyDescent="0.3">
      <c r="A48" s="262" t="s">
        <v>288</v>
      </c>
      <c r="B48" s="222">
        <v>-120924578721</v>
      </c>
      <c r="C48" s="222"/>
      <c r="D48" s="222">
        <v>-81779388580</v>
      </c>
      <c r="E48" s="222"/>
      <c r="G48" s="221"/>
      <c r="H48" s="221"/>
      <c r="I48" s="221"/>
      <c r="J48" s="221"/>
    </row>
    <row r="49" spans="1:10" s="220" customFormat="1" ht="27.75" customHeight="1" x14ac:dyDescent="0.3">
      <c r="A49" s="262" t="s">
        <v>483</v>
      </c>
      <c r="B49" s="222">
        <v>9339700</v>
      </c>
      <c r="C49" s="222"/>
      <c r="D49" s="222">
        <v>11224900</v>
      </c>
      <c r="E49" s="222"/>
      <c r="G49" s="221"/>
      <c r="H49" s="221"/>
      <c r="I49" s="221"/>
      <c r="J49" s="221"/>
    </row>
    <row r="50" spans="1:10" s="220" customFormat="1" ht="27.95" customHeight="1" x14ac:dyDescent="0.3">
      <c r="A50" s="262" t="s">
        <v>287</v>
      </c>
      <c r="B50" s="222">
        <v>7200000000</v>
      </c>
      <c r="C50" s="222"/>
      <c r="D50" s="222">
        <v>1100000000</v>
      </c>
      <c r="E50" s="222"/>
      <c r="G50" s="221"/>
      <c r="H50" s="221"/>
      <c r="I50" s="221"/>
      <c r="J50" s="221"/>
    </row>
    <row r="51" spans="1:10" s="220" customFormat="1" ht="27.95" customHeight="1" x14ac:dyDescent="0.3">
      <c r="A51" s="262" t="s">
        <v>484</v>
      </c>
      <c r="B51" s="222" t="s">
        <v>466</v>
      </c>
      <c r="C51" s="222"/>
      <c r="D51" s="222">
        <v>1308770056</v>
      </c>
      <c r="E51" s="222"/>
      <c r="G51" s="221"/>
      <c r="H51" s="221"/>
      <c r="I51" s="221"/>
      <c r="J51" s="221"/>
    </row>
    <row r="52" spans="1:10" s="223" customFormat="1" ht="27.95" customHeight="1" x14ac:dyDescent="0.3">
      <c r="A52" s="262" t="s">
        <v>286</v>
      </c>
      <c r="B52" s="222"/>
      <c r="C52" s="222">
        <v>-516390676408</v>
      </c>
      <c r="D52" s="222"/>
      <c r="E52" s="222">
        <v>-547247540382</v>
      </c>
      <c r="G52" s="224"/>
      <c r="H52" s="224"/>
      <c r="I52" s="224"/>
      <c r="J52" s="224"/>
    </row>
    <row r="53" spans="1:10" s="220" customFormat="1" ht="27.95" customHeight="1" x14ac:dyDescent="0.3">
      <c r="A53" s="262" t="s">
        <v>285</v>
      </c>
      <c r="B53" s="222">
        <v>101707746265</v>
      </c>
      <c r="C53" s="222"/>
      <c r="D53" s="222">
        <v>130758748731</v>
      </c>
      <c r="E53" s="222"/>
      <c r="G53" s="221"/>
      <c r="H53" s="221"/>
      <c r="I53" s="221"/>
      <c r="J53" s="221"/>
    </row>
    <row r="54" spans="1:10" s="220" customFormat="1" ht="27.95" customHeight="1" x14ac:dyDescent="0.3">
      <c r="A54" s="262" t="s">
        <v>300</v>
      </c>
      <c r="B54" s="222">
        <v>1224834050</v>
      </c>
      <c r="C54" s="222"/>
      <c r="D54" s="222">
        <v>2068421970</v>
      </c>
      <c r="E54" s="222"/>
      <c r="G54" s="221"/>
      <c r="H54" s="221"/>
      <c r="I54" s="221"/>
      <c r="J54" s="221"/>
    </row>
    <row r="55" spans="1:10" s="220" customFormat="1" ht="27.95" customHeight="1" x14ac:dyDescent="0.3">
      <c r="A55" s="262" t="s">
        <v>485</v>
      </c>
      <c r="B55" s="222">
        <v>7460621503</v>
      </c>
      <c r="C55" s="222"/>
      <c r="D55" s="222">
        <v>5944856253</v>
      </c>
      <c r="E55" s="222"/>
      <c r="G55" s="221"/>
      <c r="H55" s="221"/>
      <c r="I55" s="221"/>
      <c r="J55" s="221"/>
    </row>
    <row r="56" spans="1:10" s="220" customFormat="1" ht="27.95" customHeight="1" x14ac:dyDescent="0.3">
      <c r="A56" s="262" t="s">
        <v>284</v>
      </c>
      <c r="B56" s="222">
        <v>1211800000</v>
      </c>
      <c r="C56" s="222"/>
      <c r="D56" s="222">
        <v>47842872831</v>
      </c>
      <c r="E56" s="222"/>
      <c r="G56" s="221"/>
      <c r="H56" s="221"/>
      <c r="I56" s="221"/>
      <c r="J56" s="221"/>
    </row>
    <row r="57" spans="1:10" s="220" customFormat="1" ht="27.95" customHeight="1" x14ac:dyDescent="0.3">
      <c r="A57" s="262" t="s">
        <v>486</v>
      </c>
      <c r="B57" s="222" t="s">
        <v>466</v>
      </c>
      <c r="C57" s="222"/>
      <c r="D57" s="222">
        <v>1805781662</v>
      </c>
      <c r="E57" s="222"/>
      <c r="G57" s="221"/>
      <c r="H57" s="221"/>
      <c r="I57" s="221"/>
      <c r="J57" s="221"/>
    </row>
    <row r="58" spans="1:10" s="220" customFormat="1" ht="27.95" customHeight="1" x14ac:dyDescent="0.3">
      <c r="A58" s="262" t="s">
        <v>283</v>
      </c>
      <c r="B58" s="222">
        <v>7921227636</v>
      </c>
      <c r="C58" s="222"/>
      <c r="D58" s="222">
        <v>8834410867</v>
      </c>
      <c r="E58" s="222"/>
      <c r="G58" s="221"/>
      <c r="H58" s="221"/>
      <c r="I58" s="221"/>
      <c r="J58" s="221"/>
    </row>
    <row r="59" spans="1:10" s="220" customFormat="1" ht="27.95" customHeight="1" x14ac:dyDescent="0.3">
      <c r="A59" s="262" t="s">
        <v>271</v>
      </c>
      <c r="B59" s="222">
        <v>72642862630</v>
      </c>
      <c r="C59" s="222"/>
      <c r="D59" s="222">
        <v>57094199946</v>
      </c>
      <c r="E59" s="222"/>
      <c r="G59" s="221"/>
      <c r="H59" s="221"/>
      <c r="I59" s="221"/>
      <c r="J59" s="221"/>
    </row>
    <row r="60" spans="1:10" s="220" customFormat="1" ht="27.95" customHeight="1" x14ac:dyDescent="0.3">
      <c r="A60" s="262" t="s">
        <v>282</v>
      </c>
      <c r="B60" s="222">
        <v>2003810000</v>
      </c>
      <c r="C60" s="222"/>
      <c r="D60" s="222">
        <v>252410000</v>
      </c>
      <c r="E60" s="222"/>
      <c r="G60" s="221"/>
      <c r="H60" s="221"/>
      <c r="I60" s="221"/>
      <c r="J60" s="221"/>
    </row>
    <row r="61" spans="1:10" s="220" customFormat="1" ht="27.95" customHeight="1" x14ac:dyDescent="0.3">
      <c r="A61" s="262" t="s">
        <v>281</v>
      </c>
      <c r="B61" s="222">
        <v>9242590446</v>
      </c>
      <c r="C61" s="222"/>
      <c r="D61" s="222">
        <v>6915795202</v>
      </c>
      <c r="E61" s="222"/>
      <c r="G61" s="221"/>
      <c r="H61" s="221"/>
      <c r="I61" s="221"/>
      <c r="J61" s="221"/>
    </row>
    <row r="62" spans="1:10" s="220" customFormat="1" ht="27.95" customHeight="1" x14ac:dyDescent="0.3">
      <c r="A62" s="262" t="s">
        <v>280</v>
      </c>
      <c r="B62" s="222">
        <v>-618098422673</v>
      </c>
      <c r="C62" s="222"/>
      <c r="D62" s="222">
        <v>-678006289113</v>
      </c>
      <c r="E62" s="222"/>
      <c r="G62" s="221"/>
      <c r="H62" s="221"/>
      <c r="I62" s="221"/>
      <c r="J62" s="221"/>
    </row>
    <row r="63" spans="1:10" s="220" customFormat="1" ht="27.95" customHeight="1" x14ac:dyDescent="0.3">
      <c r="A63" s="262" t="s">
        <v>487</v>
      </c>
      <c r="B63" s="222">
        <v>5149800560</v>
      </c>
      <c r="C63" s="222"/>
      <c r="D63" s="222">
        <v>6629157608</v>
      </c>
      <c r="E63" s="222"/>
      <c r="G63" s="221"/>
      <c r="H63" s="221"/>
      <c r="I63" s="221"/>
      <c r="J63" s="221"/>
    </row>
    <row r="64" spans="1:10" s="220" customFormat="1" ht="27.95" customHeight="1" x14ac:dyDescent="0.3">
      <c r="A64" s="262" t="s">
        <v>303</v>
      </c>
      <c r="B64" s="222">
        <v>11100000000</v>
      </c>
      <c r="C64" s="222"/>
      <c r="D64" s="222">
        <v>2900000000</v>
      </c>
      <c r="E64" s="222"/>
      <c r="G64" s="221"/>
      <c r="H64" s="221"/>
      <c r="I64" s="221"/>
      <c r="J64" s="221"/>
    </row>
    <row r="65" spans="1:10" s="220" customFormat="1" ht="27.95" hidden="1" customHeight="1" x14ac:dyDescent="0.3">
      <c r="A65" s="262" t="s">
        <v>488</v>
      </c>
      <c r="B65" s="222" t="s">
        <v>466</v>
      </c>
      <c r="C65" s="222"/>
      <c r="D65" s="222">
        <v>3226220401</v>
      </c>
      <c r="E65" s="222"/>
      <c r="G65" s="221"/>
      <c r="H65" s="221"/>
      <c r="I65" s="221"/>
      <c r="J65" s="221"/>
    </row>
    <row r="66" spans="1:10" s="220" customFormat="1" ht="27.95" customHeight="1" x14ac:dyDescent="0.3">
      <c r="A66" s="262" t="s">
        <v>265</v>
      </c>
      <c r="B66" s="222" t="s">
        <v>466</v>
      </c>
      <c r="C66" s="222"/>
      <c r="D66" s="222">
        <v>38991001599</v>
      </c>
      <c r="E66" s="222"/>
      <c r="G66" s="221"/>
      <c r="H66" s="221"/>
      <c r="I66" s="221"/>
      <c r="J66" s="221"/>
    </row>
    <row r="67" spans="1:10" s="220" customFormat="1" ht="27.95" customHeight="1" x14ac:dyDescent="0.3">
      <c r="A67" s="262" t="s">
        <v>302</v>
      </c>
      <c r="B67" s="222">
        <v>117215000</v>
      </c>
      <c r="C67" s="222"/>
      <c r="D67" s="222">
        <v>110309480</v>
      </c>
      <c r="E67" s="222"/>
      <c r="G67" s="221"/>
      <c r="H67" s="221"/>
      <c r="I67" s="221"/>
      <c r="J67" s="221"/>
    </row>
    <row r="68" spans="1:10" s="220" customFormat="1" ht="27.95" customHeight="1" x14ac:dyDescent="0.3">
      <c r="A68" s="262" t="s">
        <v>279</v>
      </c>
      <c r="B68" s="222">
        <v>462895000</v>
      </c>
      <c r="C68" s="222"/>
      <c r="D68" s="222">
        <v>100190520</v>
      </c>
      <c r="E68" s="222"/>
      <c r="G68" s="221"/>
      <c r="H68" s="221"/>
      <c r="I68" s="221"/>
      <c r="J68" s="221"/>
    </row>
    <row r="69" spans="1:10" s="220" customFormat="1" ht="27.95" customHeight="1" x14ac:dyDescent="0.3">
      <c r="A69" s="262" t="s">
        <v>278</v>
      </c>
      <c r="B69" s="222" t="s">
        <v>466</v>
      </c>
      <c r="C69" s="222"/>
      <c r="D69" s="222">
        <v>32183000</v>
      </c>
      <c r="E69" s="222"/>
      <c r="G69" s="221"/>
      <c r="H69" s="221"/>
      <c r="I69" s="221"/>
      <c r="J69" s="221"/>
    </row>
    <row r="70" spans="1:10" s="220" customFormat="1" ht="27.95" customHeight="1" x14ac:dyDescent="0.3">
      <c r="A70" s="262" t="s">
        <v>489</v>
      </c>
      <c r="B70" s="222">
        <v>341552400</v>
      </c>
      <c r="C70" s="222"/>
      <c r="D70" s="222" t="s">
        <v>466</v>
      </c>
      <c r="E70" s="222"/>
      <c r="G70" s="221"/>
      <c r="H70" s="221"/>
      <c r="I70" s="221"/>
      <c r="J70" s="221"/>
    </row>
    <row r="71" spans="1:10" s="220" customFormat="1" ht="27.95" customHeight="1" x14ac:dyDescent="0.3">
      <c r="A71" s="262" t="s">
        <v>490</v>
      </c>
      <c r="B71" s="222">
        <v>565461793320</v>
      </c>
      <c r="C71" s="222"/>
      <c r="D71" s="222">
        <v>601691855169</v>
      </c>
      <c r="E71" s="222"/>
      <c r="G71" s="221"/>
      <c r="H71" s="221"/>
      <c r="I71" s="221"/>
      <c r="J71" s="221"/>
    </row>
    <row r="72" spans="1:10" s="220" customFormat="1" ht="27.95" customHeight="1" x14ac:dyDescent="0.3">
      <c r="A72" s="262" t="s">
        <v>277</v>
      </c>
      <c r="B72" s="222">
        <v>6383749409</v>
      </c>
      <c r="C72" s="222"/>
      <c r="D72" s="222">
        <v>3835031849</v>
      </c>
      <c r="E72" s="222"/>
      <c r="G72" s="221"/>
      <c r="H72" s="221"/>
      <c r="I72" s="221"/>
      <c r="J72" s="221"/>
    </row>
    <row r="73" spans="1:10" s="220" customFormat="1" ht="27.95" customHeight="1" x14ac:dyDescent="0.3">
      <c r="A73" s="262" t="s">
        <v>491</v>
      </c>
      <c r="B73" s="222">
        <v>420935118</v>
      </c>
      <c r="C73" s="222"/>
      <c r="D73" s="222">
        <v>90837233</v>
      </c>
      <c r="E73" s="222"/>
      <c r="G73" s="221"/>
      <c r="H73" s="221"/>
      <c r="I73" s="221"/>
      <c r="J73" s="221"/>
    </row>
    <row r="74" spans="1:10" s="220" customFormat="1" ht="27.95" customHeight="1" x14ac:dyDescent="0.3">
      <c r="A74" s="262" t="s">
        <v>492</v>
      </c>
      <c r="B74" s="222">
        <v>28660481866</v>
      </c>
      <c r="C74" s="222"/>
      <c r="D74" s="222">
        <v>20399502254</v>
      </c>
      <c r="E74" s="222"/>
      <c r="G74" s="221"/>
      <c r="H74" s="221"/>
      <c r="I74" s="221"/>
      <c r="J74" s="221"/>
    </row>
    <row r="75" spans="1:10" s="220" customFormat="1" ht="27.95" customHeight="1" x14ac:dyDescent="0.3">
      <c r="A75" s="262" t="s">
        <v>276</v>
      </c>
      <c r="B75" s="222"/>
      <c r="C75" s="222">
        <v>599055290686</v>
      </c>
      <c r="D75" s="222"/>
      <c r="E75" s="222">
        <v>996065627170</v>
      </c>
      <c r="G75" s="221"/>
      <c r="H75" s="221"/>
      <c r="I75" s="221"/>
      <c r="J75" s="221"/>
    </row>
    <row r="76" spans="1:10" s="220" customFormat="1" ht="27.95" customHeight="1" x14ac:dyDescent="0.3">
      <c r="A76" s="262" t="s">
        <v>275</v>
      </c>
      <c r="B76" s="222">
        <v>1289185290686</v>
      </c>
      <c r="C76" s="222"/>
      <c r="D76" s="222">
        <v>1446320820687</v>
      </c>
      <c r="E76" s="222"/>
      <c r="G76" s="221"/>
      <c r="H76" s="221"/>
      <c r="I76" s="221"/>
      <c r="J76" s="221"/>
    </row>
    <row r="77" spans="1:10" s="220" customFormat="1" ht="27.95" customHeight="1" x14ac:dyDescent="0.3">
      <c r="A77" s="262" t="s">
        <v>274</v>
      </c>
      <c r="B77" s="222">
        <v>250000000000</v>
      </c>
      <c r="C77" s="222"/>
      <c r="D77" s="222">
        <v>230000000000</v>
      </c>
      <c r="E77" s="222"/>
      <c r="G77" s="221"/>
      <c r="H77" s="221"/>
      <c r="I77" s="221"/>
      <c r="J77" s="221"/>
    </row>
    <row r="78" spans="1:10" s="223" customFormat="1" ht="27.75" customHeight="1" x14ac:dyDescent="0.3">
      <c r="A78" s="262" t="s">
        <v>493</v>
      </c>
      <c r="B78" s="222">
        <v>670053166660</v>
      </c>
      <c r="C78" s="222"/>
      <c r="D78" s="222">
        <v>490134055516</v>
      </c>
      <c r="E78" s="222"/>
      <c r="G78" s="224"/>
      <c r="H78" s="224"/>
      <c r="I78" s="224"/>
      <c r="J78" s="224"/>
    </row>
    <row r="79" spans="1:10" s="223" customFormat="1" ht="27.95" customHeight="1" x14ac:dyDescent="0.3">
      <c r="A79" s="262" t="s">
        <v>494</v>
      </c>
      <c r="B79" s="222" t="s">
        <v>466</v>
      </c>
      <c r="C79" s="222"/>
      <c r="D79" s="222">
        <v>150000000000</v>
      </c>
      <c r="E79" s="222"/>
      <c r="G79" s="224"/>
      <c r="H79" s="224"/>
      <c r="I79" s="224"/>
      <c r="J79" s="224"/>
    </row>
    <row r="80" spans="1:10" s="220" customFormat="1" ht="27.95" customHeight="1" x14ac:dyDescent="0.3">
      <c r="A80" s="262" t="s">
        <v>495</v>
      </c>
      <c r="B80" s="222">
        <v>23800171026</v>
      </c>
      <c r="C80" s="222"/>
      <c r="D80" s="222">
        <v>22090816171</v>
      </c>
      <c r="E80" s="222"/>
      <c r="G80" s="221"/>
      <c r="H80" s="221"/>
      <c r="I80" s="221"/>
      <c r="J80" s="221"/>
    </row>
    <row r="81" spans="1:10" s="220" customFormat="1" ht="27.95" customHeight="1" x14ac:dyDescent="0.3">
      <c r="A81" s="262" t="s">
        <v>272</v>
      </c>
      <c r="B81" s="222">
        <v>345331953000</v>
      </c>
      <c r="C81" s="222"/>
      <c r="D81" s="222">
        <v>554095949000</v>
      </c>
      <c r="E81" s="222"/>
      <c r="G81" s="221"/>
      <c r="H81" s="221"/>
      <c r="I81" s="221"/>
      <c r="J81" s="221"/>
    </row>
    <row r="82" spans="1:10" s="220" customFormat="1" ht="27.95" customHeight="1" x14ac:dyDescent="0.3">
      <c r="A82" s="262" t="s">
        <v>273</v>
      </c>
      <c r="B82" s="222">
        <v>-690130000000</v>
      </c>
      <c r="C82" s="222"/>
      <c r="D82" s="222">
        <v>-450255193517</v>
      </c>
      <c r="E82" s="222"/>
      <c r="G82" s="221"/>
      <c r="H82" s="221"/>
      <c r="I82" s="221"/>
      <c r="J82" s="221"/>
    </row>
    <row r="83" spans="1:10" s="220" customFormat="1" ht="27.95" customHeight="1" x14ac:dyDescent="0.3">
      <c r="A83" s="262" t="s">
        <v>496</v>
      </c>
      <c r="B83" s="222">
        <v>130000000</v>
      </c>
      <c r="C83" s="222"/>
      <c r="D83" s="222" t="s">
        <v>466</v>
      </c>
      <c r="E83" s="222"/>
      <c r="G83" s="221"/>
      <c r="H83" s="221"/>
      <c r="I83" s="221"/>
      <c r="J83" s="221"/>
    </row>
    <row r="84" spans="1:10" s="220" customFormat="1" ht="27.95" customHeight="1" x14ac:dyDescent="0.3">
      <c r="A84" s="262" t="s">
        <v>270</v>
      </c>
      <c r="B84" s="222">
        <v>250000000000</v>
      </c>
      <c r="C84" s="222"/>
      <c r="D84" s="222">
        <v>230000000000</v>
      </c>
      <c r="E84" s="222"/>
      <c r="G84" s="221"/>
      <c r="H84" s="221"/>
      <c r="I84" s="221"/>
      <c r="J84" s="221"/>
    </row>
    <row r="85" spans="1:10" s="220" customFormat="1" ht="27.95" hidden="1" customHeight="1" x14ac:dyDescent="0.3">
      <c r="A85" s="262" t="s">
        <v>269</v>
      </c>
      <c r="B85" s="222">
        <v>440000000000</v>
      </c>
      <c r="C85" s="222"/>
      <c r="D85" s="222">
        <v>220000000000</v>
      </c>
      <c r="E85" s="222"/>
      <c r="G85" s="221"/>
      <c r="H85" s="221"/>
      <c r="I85" s="221"/>
      <c r="J85" s="221"/>
    </row>
    <row r="86" spans="1:10" s="220" customFormat="1" ht="27.95" customHeight="1" x14ac:dyDescent="0.3">
      <c r="A86" s="262" t="s">
        <v>268</v>
      </c>
      <c r="B86" s="222" t="s">
        <v>466</v>
      </c>
      <c r="C86" s="222"/>
      <c r="D86" s="222" t="s">
        <v>466</v>
      </c>
      <c r="E86" s="222"/>
      <c r="G86" s="221"/>
      <c r="H86" s="221"/>
      <c r="I86" s="221"/>
      <c r="J86" s="221"/>
    </row>
    <row r="87" spans="1:10" s="220" customFormat="1" ht="27.95" customHeight="1" x14ac:dyDescent="0.3">
      <c r="A87" s="262" t="s">
        <v>497</v>
      </c>
      <c r="B87" s="222" t="s">
        <v>466</v>
      </c>
      <c r="C87" s="222"/>
      <c r="D87" s="222">
        <v>255193517</v>
      </c>
      <c r="E87" s="222"/>
      <c r="G87" s="221"/>
      <c r="H87" s="221"/>
      <c r="I87" s="221"/>
      <c r="J87" s="221"/>
    </row>
    <row r="88" spans="1:10" s="220" customFormat="1" ht="27.95" customHeight="1" x14ac:dyDescent="0.3">
      <c r="A88" s="262" t="s">
        <v>301</v>
      </c>
      <c r="B88" s="222"/>
      <c r="C88" s="222">
        <v>-45608739467</v>
      </c>
      <c r="D88" s="222"/>
      <c r="E88" s="222">
        <v>50173012403</v>
      </c>
      <c r="G88" s="221"/>
      <c r="H88" s="221"/>
      <c r="I88" s="221"/>
      <c r="J88" s="221"/>
    </row>
    <row r="89" spans="1:10" s="220" customFormat="1" ht="27.95" customHeight="1" x14ac:dyDescent="0.3">
      <c r="A89" s="262" t="s">
        <v>267</v>
      </c>
      <c r="B89" s="222"/>
      <c r="C89" s="222">
        <v>551033407060</v>
      </c>
      <c r="D89" s="222"/>
      <c r="E89" s="222">
        <v>500860394657</v>
      </c>
      <c r="G89" s="221"/>
      <c r="H89" s="221"/>
      <c r="I89" s="221"/>
      <c r="J89" s="221"/>
    </row>
    <row r="90" spans="1:10" s="220" customFormat="1" ht="27.95" customHeight="1" x14ac:dyDescent="0.3">
      <c r="A90" s="262" t="s">
        <v>266</v>
      </c>
      <c r="B90" s="222"/>
      <c r="C90" s="222">
        <v>505424667593</v>
      </c>
      <c r="D90" s="222"/>
      <c r="E90" s="222">
        <v>551033407060</v>
      </c>
      <c r="G90" s="221"/>
      <c r="H90" s="221"/>
      <c r="I90" s="221"/>
      <c r="J90" s="221"/>
    </row>
  </sheetData>
  <mergeCells count="5">
    <mergeCell ref="A1:E1"/>
    <mergeCell ref="A2:E2"/>
    <mergeCell ref="A3:E3"/>
    <mergeCell ref="B5:C5"/>
    <mergeCell ref="D5:E5"/>
  </mergeCells>
  <phoneticPr fontId="124" type="noConversion"/>
  <pageMargins left="0.7" right="0.7" top="0.75" bottom="0.75" header="0.3" footer="0.3"/>
  <pageSetup paperSize="9" scale="4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242"/>
  <sheetViews>
    <sheetView view="pageBreakPreview" zoomScale="85" zoomScaleNormal="85" zoomScaleSheetLayoutView="85" workbookViewId="0">
      <selection sqref="A1:E1"/>
    </sheetView>
  </sheetViews>
  <sheetFormatPr defaultRowHeight="16.5" x14ac:dyDescent="0.3"/>
  <cols>
    <col min="1" max="1" width="22.625" style="230" bestFit="1" customWidth="1"/>
    <col min="2" max="2" width="23.375" style="230" bestFit="1" customWidth="1"/>
    <col min="3" max="3" width="45.5" style="230" customWidth="1"/>
    <col min="4" max="4" width="23.375" style="230" bestFit="1" customWidth="1"/>
    <col min="5" max="5" width="22.625" style="230" bestFit="1" customWidth="1"/>
    <col min="6" max="7" width="22.5" style="230" hidden="1" customWidth="1"/>
    <col min="8" max="8" width="32" style="230" hidden="1" customWidth="1"/>
    <col min="9" max="9" width="19.125" style="229" hidden="1" customWidth="1"/>
    <col min="10" max="16384" width="9" style="207"/>
  </cols>
  <sheetData>
    <row r="1" spans="1:10" ht="33.75" x14ac:dyDescent="0.3">
      <c r="A1" s="315" t="s">
        <v>455</v>
      </c>
      <c r="B1" s="316"/>
      <c r="C1" s="316"/>
      <c r="D1" s="316"/>
      <c r="E1" s="317"/>
      <c r="F1" s="256"/>
      <c r="G1" s="256"/>
    </row>
    <row r="2" spans="1:10" ht="17.25" thickBot="1" x14ac:dyDescent="0.35">
      <c r="A2" s="255" t="s">
        <v>298</v>
      </c>
      <c r="E2" s="254" t="s">
        <v>454</v>
      </c>
      <c r="F2" s="254"/>
      <c r="G2" s="254"/>
    </row>
    <row r="3" spans="1:10" ht="18" thickBot="1" x14ac:dyDescent="0.35">
      <c r="A3" s="253" t="s">
        <v>449</v>
      </c>
      <c r="B3" s="252" t="s">
        <v>73</v>
      </c>
      <c r="C3" s="252" t="s">
        <v>453</v>
      </c>
      <c r="D3" s="252" t="s">
        <v>69</v>
      </c>
      <c r="E3" s="251" t="s">
        <v>449</v>
      </c>
      <c r="F3" s="250" t="s">
        <v>452</v>
      </c>
      <c r="G3" s="250" t="s">
        <v>451</v>
      </c>
      <c r="H3" s="249" t="s">
        <v>450</v>
      </c>
      <c r="I3" s="248" t="s">
        <v>449</v>
      </c>
    </row>
    <row r="4" spans="1:10" ht="15.75" customHeight="1" x14ac:dyDescent="0.3">
      <c r="A4" s="219">
        <v>3174935820</v>
      </c>
      <c r="B4" s="219">
        <v>365229301537</v>
      </c>
      <c r="C4" s="247" t="s">
        <v>448</v>
      </c>
      <c r="D4" s="219">
        <v>362054365717</v>
      </c>
      <c r="E4" s="219">
        <v>0</v>
      </c>
      <c r="F4" s="232">
        <f t="shared" ref="F4:F35" si="0">B4-D4</f>
        <v>3174935820</v>
      </c>
      <c r="G4" s="232" t="b">
        <f t="shared" ref="G4:G35" si="1">F4=I4</f>
        <v>1</v>
      </c>
      <c r="H4" s="230" t="s">
        <v>377</v>
      </c>
      <c r="I4" s="235">
        <f t="shared" ref="I4:I35" si="2">A4-E4</f>
        <v>3174935820</v>
      </c>
      <c r="J4" s="234"/>
    </row>
    <row r="5" spans="1:10" ht="18" customHeight="1" x14ac:dyDescent="0.3">
      <c r="A5" s="219">
        <v>0</v>
      </c>
      <c r="B5" s="219">
        <v>377118369851</v>
      </c>
      <c r="C5" s="233" t="s">
        <v>447</v>
      </c>
      <c r="D5" s="219">
        <v>377118369851</v>
      </c>
      <c r="E5" s="219">
        <v>0</v>
      </c>
      <c r="F5" s="232">
        <f t="shared" si="0"/>
        <v>0</v>
      </c>
      <c r="G5" s="232" t="b">
        <f t="shared" si="1"/>
        <v>1</v>
      </c>
      <c r="H5" s="230" t="s">
        <v>377</v>
      </c>
      <c r="I5" s="235">
        <f t="shared" si="2"/>
        <v>0</v>
      </c>
      <c r="J5" s="234"/>
    </row>
    <row r="6" spans="1:10" ht="18" customHeight="1" x14ac:dyDescent="0.3">
      <c r="A6" s="219">
        <v>9622368361</v>
      </c>
      <c r="B6" s="219">
        <v>19000362671535</v>
      </c>
      <c r="C6" s="233" t="s">
        <v>446</v>
      </c>
      <c r="D6" s="219">
        <v>18990740303174</v>
      </c>
      <c r="E6" s="219">
        <v>0</v>
      </c>
      <c r="F6" s="232">
        <f t="shared" si="0"/>
        <v>9622368361</v>
      </c>
      <c r="G6" s="232" t="b">
        <f t="shared" si="1"/>
        <v>1</v>
      </c>
      <c r="H6" s="230" t="s">
        <v>377</v>
      </c>
      <c r="I6" s="235">
        <f t="shared" si="2"/>
        <v>9622368361</v>
      </c>
      <c r="J6" s="234"/>
    </row>
    <row r="7" spans="1:10" ht="17.25" x14ac:dyDescent="0.3">
      <c r="A7" s="219">
        <v>492627363412</v>
      </c>
      <c r="B7" s="219">
        <v>5700547593330</v>
      </c>
      <c r="C7" s="233" t="s">
        <v>445</v>
      </c>
      <c r="D7" s="219">
        <v>5207920229918</v>
      </c>
      <c r="E7" s="219">
        <v>0</v>
      </c>
      <c r="F7" s="232">
        <f t="shared" si="0"/>
        <v>492627363412</v>
      </c>
      <c r="G7" s="232" t="b">
        <f t="shared" si="1"/>
        <v>1</v>
      </c>
      <c r="H7" s="230" t="s">
        <v>377</v>
      </c>
      <c r="I7" s="235">
        <f t="shared" si="2"/>
        <v>492627363412</v>
      </c>
      <c r="J7" s="234"/>
    </row>
    <row r="8" spans="1:10" ht="17.25" x14ac:dyDescent="0.3">
      <c r="A8" s="219">
        <v>0</v>
      </c>
      <c r="B8" s="219">
        <v>165593590034</v>
      </c>
      <c r="C8" s="233" t="s">
        <v>384</v>
      </c>
      <c r="D8" s="219">
        <v>251492455018</v>
      </c>
      <c r="E8" s="219">
        <v>85898864984</v>
      </c>
      <c r="F8" s="232">
        <f t="shared" si="0"/>
        <v>-85898864984</v>
      </c>
      <c r="G8" s="232" t="b">
        <f t="shared" si="1"/>
        <v>1</v>
      </c>
      <c r="H8" s="230" t="s">
        <v>377</v>
      </c>
      <c r="I8" s="235">
        <f t="shared" si="2"/>
        <v>-85898864984</v>
      </c>
      <c r="J8" s="234"/>
    </row>
    <row r="9" spans="1:10" ht="17.25" x14ac:dyDescent="0.3">
      <c r="A9" s="219">
        <v>0</v>
      </c>
      <c r="B9" s="219">
        <v>392101933</v>
      </c>
      <c r="C9" s="233" t="s">
        <v>417</v>
      </c>
      <c r="D9" s="219">
        <v>2839124818</v>
      </c>
      <c r="E9" s="219">
        <v>2447022885</v>
      </c>
      <c r="F9" s="232">
        <f t="shared" si="0"/>
        <v>-2447022885</v>
      </c>
      <c r="G9" s="232" t="b">
        <f t="shared" si="1"/>
        <v>1</v>
      </c>
      <c r="H9" s="230" t="s">
        <v>377</v>
      </c>
      <c r="I9" s="235">
        <f t="shared" si="2"/>
        <v>-2447022885</v>
      </c>
      <c r="J9" s="234"/>
    </row>
    <row r="10" spans="1:10" s="240" customFormat="1" ht="18" customHeight="1" x14ac:dyDescent="0.3">
      <c r="A10" s="219">
        <v>0</v>
      </c>
      <c r="B10" s="219">
        <v>11043462440</v>
      </c>
      <c r="C10" s="233" t="s">
        <v>444</v>
      </c>
      <c r="D10" s="219">
        <v>20387613734</v>
      </c>
      <c r="E10" s="219">
        <v>9344151294</v>
      </c>
      <c r="F10" s="232">
        <f t="shared" si="0"/>
        <v>-9344151294</v>
      </c>
      <c r="G10" s="232" t="b">
        <f t="shared" si="1"/>
        <v>1</v>
      </c>
      <c r="H10" s="230" t="s">
        <v>377</v>
      </c>
      <c r="I10" s="235">
        <f t="shared" si="2"/>
        <v>-9344151294</v>
      </c>
    </row>
    <row r="11" spans="1:10" s="240" customFormat="1" ht="18" customHeight="1" x14ac:dyDescent="0.3">
      <c r="A11" s="219">
        <v>1341011674</v>
      </c>
      <c r="B11" s="219">
        <v>1364486594</v>
      </c>
      <c r="C11" s="233" t="s">
        <v>443</v>
      </c>
      <c r="D11" s="219">
        <v>23474920</v>
      </c>
      <c r="E11" s="219">
        <v>0</v>
      </c>
      <c r="F11" s="232">
        <f t="shared" si="0"/>
        <v>1341011674</v>
      </c>
      <c r="G11" s="232" t="b">
        <f t="shared" si="1"/>
        <v>1</v>
      </c>
      <c r="H11" s="230" t="s">
        <v>377</v>
      </c>
      <c r="I11" s="235">
        <f t="shared" si="2"/>
        <v>1341011674</v>
      </c>
    </row>
    <row r="12" spans="1:10" s="240" customFormat="1" ht="16.5" customHeight="1" x14ac:dyDescent="0.3">
      <c r="A12" s="219">
        <v>162944444705</v>
      </c>
      <c r="B12" s="219">
        <v>2648389076434</v>
      </c>
      <c r="C12" s="233" t="s">
        <v>442</v>
      </c>
      <c r="D12" s="219">
        <v>2485444631729</v>
      </c>
      <c r="E12" s="219">
        <v>0</v>
      </c>
      <c r="F12" s="232">
        <f t="shared" si="0"/>
        <v>162944444705</v>
      </c>
      <c r="G12" s="232" t="b">
        <f t="shared" si="1"/>
        <v>1</v>
      </c>
      <c r="H12" s="230" t="s">
        <v>377</v>
      </c>
      <c r="I12" s="235">
        <f t="shared" si="2"/>
        <v>162944444705</v>
      </c>
    </row>
    <row r="13" spans="1:10" ht="17.25" x14ac:dyDescent="0.3">
      <c r="A13" s="219">
        <v>0</v>
      </c>
      <c r="B13" s="219">
        <v>14097368143</v>
      </c>
      <c r="C13" s="233" t="s">
        <v>378</v>
      </c>
      <c r="D13" s="219">
        <v>42823779700</v>
      </c>
      <c r="E13" s="219">
        <v>28726411557</v>
      </c>
      <c r="F13" s="232">
        <f t="shared" si="0"/>
        <v>-28726411557</v>
      </c>
      <c r="G13" s="232" t="b">
        <f t="shared" si="1"/>
        <v>1</v>
      </c>
      <c r="H13" s="230" t="s">
        <v>377</v>
      </c>
      <c r="I13" s="235">
        <f t="shared" si="2"/>
        <v>-28726411557</v>
      </c>
      <c r="J13" s="234"/>
    </row>
    <row r="14" spans="1:10" ht="17.25" x14ac:dyDescent="0.3">
      <c r="A14" s="219">
        <v>43218431794</v>
      </c>
      <c r="B14" s="219">
        <v>174642484648</v>
      </c>
      <c r="C14" s="233" t="s">
        <v>441</v>
      </c>
      <c r="D14" s="219">
        <v>131424052854</v>
      </c>
      <c r="E14" s="219">
        <v>0</v>
      </c>
      <c r="F14" s="232">
        <f t="shared" si="0"/>
        <v>43218431794</v>
      </c>
      <c r="G14" s="232" t="b">
        <f t="shared" si="1"/>
        <v>1</v>
      </c>
      <c r="H14" s="230" t="s">
        <v>377</v>
      </c>
      <c r="I14" s="235">
        <f t="shared" si="2"/>
        <v>43218431794</v>
      </c>
      <c r="J14" s="234"/>
    </row>
    <row r="15" spans="1:10" ht="18" customHeight="1" x14ac:dyDescent="0.3">
      <c r="A15" s="246">
        <v>0</v>
      </c>
      <c r="B15" s="219">
        <v>165044063</v>
      </c>
      <c r="C15" s="233" t="s">
        <v>378</v>
      </c>
      <c r="D15" s="219">
        <v>34997074599</v>
      </c>
      <c r="E15" s="219">
        <v>34832030536</v>
      </c>
      <c r="F15" s="232">
        <f t="shared" si="0"/>
        <v>-34832030536</v>
      </c>
      <c r="G15" s="232" t="b">
        <f t="shared" si="1"/>
        <v>1</v>
      </c>
      <c r="H15" s="230" t="s">
        <v>377</v>
      </c>
      <c r="I15" s="235">
        <f t="shared" si="2"/>
        <v>-34832030536</v>
      </c>
      <c r="J15" s="234"/>
    </row>
    <row r="16" spans="1:10" ht="17.25" x14ac:dyDescent="0.3">
      <c r="A16" s="219">
        <v>698841011</v>
      </c>
      <c r="B16" s="219">
        <v>8775146764</v>
      </c>
      <c r="C16" s="233" t="s">
        <v>440</v>
      </c>
      <c r="D16" s="219">
        <v>8076305753</v>
      </c>
      <c r="E16" s="219">
        <v>0</v>
      </c>
      <c r="F16" s="232">
        <f t="shared" si="0"/>
        <v>698841011</v>
      </c>
      <c r="G16" s="232" t="b">
        <f t="shared" si="1"/>
        <v>1</v>
      </c>
      <c r="H16" s="230" t="s">
        <v>377</v>
      </c>
      <c r="I16" s="235">
        <f t="shared" si="2"/>
        <v>698841011</v>
      </c>
      <c r="J16" s="234"/>
    </row>
    <row r="17" spans="1:10" ht="16.5" customHeight="1" x14ac:dyDescent="0.3">
      <c r="A17" s="219">
        <v>786595011</v>
      </c>
      <c r="B17" s="219">
        <v>5228935080127</v>
      </c>
      <c r="C17" s="233" t="s">
        <v>439</v>
      </c>
      <c r="D17" s="219">
        <v>5228148485116</v>
      </c>
      <c r="E17" s="219">
        <v>0</v>
      </c>
      <c r="F17" s="232">
        <f t="shared" si="0"/>
        <v>786595011</v>
      </c>
      <c r="G17" s="232" t="b">
        <f t="shared" si="1"/>
        <v>1</v>
      </c>
      <c r="H17" s="230" t="s">
        <v>377</v>
      </c>
      <c r="I17" s="235">
        <f t="shared" si="2"/>
        <v>786595011</v>
      </c>
      <c r="J17" s="234"/>
    </row>
    <row r="18" spans="1:10" ht="17.25" x14ac:dyDescent="0.3">
      <c r="A18" s="219">
        <v>832888421</v>
      </c>
      <c r="B18" s="219">
        <v>9121645940</v>
      </c>
      <c r="C18" s="233" t="s">
        <v>438</v>
      </c>
      <c r="D18" s="219">
        <v>8288757519</v>
      </c>
      <c r="E18" s="219">
        <v>0</v>
      </c>
      <c r="F18" s="232">
        <f t="shared" si="0"/>
        <v>832888421</v>
      </c>
      <c r="G18" s="232" t="b">
        <f t="shared" si="1"/>
        <v>1</v>
      </c>
      <c r="H18" s="230" t="s">
        <v>377</v>
      </c>
      <c r="I18" s="235">
        <f t="shared" si="2"/>
        <v>832888421</v>
      </c>
      <c r="J18" s="234"/>
    </row>
    <row r="19" spans="1:10" ht="17.25" x14ac:dyDescent="0.3">
      <c r="A19" s="219">
        <v>2322364510</v>
      </c>
      <c r="B19" s="219">
        <v>4261076740</v>
      </c>
      <c r="C19" s="233" t="s">
        <v>437</v>
      </c>
      <c r="D19" s="219">
        <v>1938712230</v>
      </c>
      <c r="E19" s="219">
        <v>0</v>
      </c>
      <c r="F19" s="232">
        <f t="shared" si="0"/>
        <v>2322364510</v>
      </c>
      <c r="G19" s="232" t="b">
        <f t="shared" si="1"/>
        <v>1</v>
      </c>
      <c r="H19" s="230" t="s">
        <v>377</v>
      </c>
      <c r="I19" s="235">
        <f t="shared" si="2"/>
        <v>2322364510</v>
      </c>
      <c r="J19" s="234"/>
    </row>
    <row r="20" spans="1:10" ht="17.25" x14ac:dyDescent="0.3">
      <c r="A20" s="219">
        <v>5058754152</v>
      </c>
      <c r="B20" s="219">
        <v>15549633237</v>
      </c>
      <c r="C20" s="233" t="s">
        <v>436</v>
      </c>
      <c r="D20" s="219">
        <v>10490879085</v>
      </c>
      <c r="E20" s="219">
        <v>0</v>
      </c>
      <c r="F20" s="232">
        <f t="shared" si="0"/>
        <v>5058754152</v>
      </c>
      <c r="G20" s="232" t="b">
        <f t="shared" si="1"/>
        <v>1</v>
      </c>
      <c r="H20" s="230" t="s">
        <v>377</v>
      </c>
      <c r="I20" s="235">
        <f t="shared" si="2"/>
        <v>5058754152</v>
      </c>
      <c r="J20" s="234"/>
    </row>
    <row r="21" spans="1:10" ht="17.25" x14ac:dyDescent="0.3">
      <c r="A21" s="219">
        <v>232235760</v>
      </c>
      <c r="B21" s="219">
        <v>426106230</v>
      </c>
      <c r="C21" s="233" t="s">
        <v>212</v>
      </c>
      <c r="D21" s="219">
        <v>193870470</v>
      </c>
      <c r="E21" s="219">
        <v>0</v>
      </c>
      <c r="F21" s="232">
        <f t="shared" si="0"/>
        <v>232235760</v>
      </c>
      <c r="G21" s="232" t="b">
        <f t="shared" si="1"/>
        <v>1</v>
      </c>
      <c r="H21" s="230" t="s">
        <v>377</v>
      </c>
      <c r="I21" s="235">
        <f t="shared" si="2"/>
        <v>232235760</v>
      </c>
      <c r="J21" s="234"/>
    </row>
    <row r="22" spans="1:10" ht="17.25" x14ac:dyDescent="0.3">
      <c r="A22" s="219">
        <v>11017925</v>
      </c>
      <c r="B22" s="219">
        <v>57467173</v>
      </c>
      <c r="C22" s="233" t="s">
        <v>435</v>
      </c>
      <c r="D22" s="219">
        <v>46449248</v>
      </c>
      <c r="E22" s="219">
        <v>0</v>
      </c>
      <c r="F22" s="232">
        <f t="shared" si="0"/>
        <v>11017925</v>
      </c>
      <c r="G22" s="232" t="b">
        <f t="shared" si="1"/>
        <v>1</v>
      </c>
      <c r="H22" s="230" t="s">
        <v>377</v>
      </c>
      <c r="I22" s="235">
        <f t="shared" si="2"/>
        <v>11017925</v>
      </c>
      <c r="J22" s="234"/>
    </row>
    <row r="23" spans="1:10" ht="16.5" customHeight="1" x14ac:dyDescent="0.3">
      <c r="A23" s="219">
        <v>1109344340</v>
      </c>
      <c r="B23" s="219">
        <v>1115234360</v>
      </c>
      <c r="C23" s="233" t="s">
        <v>434</v>
      </c>
      <c r="D23" s="219">
        <v>5890020</v>
      </c>
      <c r="E23" s="219">
        <v>0</v>
      </c>
      <c r="F23" s="232">
        <f t="shared" si="0"/>
        <v>1109344340</v>
      </c>
      <c r="G23" s="232" t="b">
        <f t="shared" si="1"/>
        <v>1</v>
      </c>
      <c r="H23" s="230" t="s">
        <v>377</v>
      </c>
      <c r="I23" s="235">
        <f t="shared" si="2"/>
        <v>1109344340</v>
      </c>
      <c r="J23" s="234"/>
    </row>
    <row r="24" spans="1:10" s="240" customFormat="1" ht="17.25" x14ac:dyDescent="0.3">
      <c r="A24" s="219">
        <v>85531091203</v>
      </c>
      <c r="B24" s="219">
        <v>132601202260</v>
      </c>
      <c r="C24" s="233" t="s">
        <v>433</v>
      </c>
      <c r="D24" s="219">
        <v>47070111057</v>
      </c>
      <c r="E24" s="219">
        <v>0</v>
      </c>
      <c r="F24" s="232">
        <f t="shared" si="0"/>
        <v>85531091203</v>
      </c>
      <c r="G24" s="232" t="b">
        <f t="shared" si="1"/>
        <v>1</v>
      </c>
      <c r="H24" s="230" t="s">
        <v>377</v>
      </c>
      <c r="I24" s="235">
        <f t="shared" si="2"/>
        <v>85531091203</v>
      </c>
      <c r="J24" s="234"/>
    </row>
    <row r="25" spans="1:10" s="240" customFormat="1" ht="17.25" x14ac:dyDescent="0.3">
      <c r="A25" s="219">
        <v>1060737499</v>
      </c>
      <c r="B25" s="219">
        <v>9025647588</v>
      </c>
      <c r="C25" s="233" t="s">
        <v>432</v>
      </c>
      <c r="D25" s="219">
        <v>7964910089</v>
      </c>
      <c r="E25" s="219">
        <v>0</v>
      </c>
      <c r="F25" s="232">
        <f t="shared" si="0"/>
        <v>1060737499</v>
      </c>
      <c r="G25" s="232" t="b">
        <f t="shared" si="1"/>
        <v>1</v>
      </c>
      <c r="H25" s="230" t="s">
        <v>377</v>
      </c>
      <c r="I25" s="235">
        <f t="shared" si="2"/>
        <v>1060737499</v>
      </c>
      <c r="J25" s="234"/>
    </row>
    <row r="26" spans="1:10" s="243" customFormat="1" ht="17.25" x14ac:dyDescent="0.3">
      <c r="A26" s="219">
        <v>527685720</v>
      </c>
      <c r="B26" s="219">
        <v>528139970</v>
      </c>
      <c r="C26" s="233" t="s">
        <v>431</v>
      </c>
      <c r="D26" s="219">
        <v>454250</v>
      </c>
      <c r="E26" s="219">
        <v>0</v>
      </c>
      <c r="F26" s="232">
        <f t="shared" si="0"/>
        <v>527685720</v>
      </c>
      <c r="G26" s="232" t="b">
        <f t="shared" si="1"/>
        <v>1</v>
      </c>
      <c r="H26" s="230" t="s">
        <v>377</v>
      </c>
      <c r="I26" s="235">
        <f t="shared" si="2"/>
        <v>527685720</v>
      </c>
    </row>
    <row r="27" spans="1:10" ht="17.25" x14ac:dyDescent="0.3">
      <c r="A27" s="219">
        <v>46189308210</v>
      </c>
      <c r="B27" s="219">
        <v>55547913447</v>
      </c>
      <c r="C27" s="233" t="s">
        <v>430</v>
      </c>
      <c r="D27" s="219">
        <v>9358605237</v>
      </c>
      <c r="E27" s="219">
        <v>0</v>
      </c>
      <c r="F27" s="232">
        <f t="shared" si="0"/>
        <v>46189308210</v>
      </c>
      <c r="G27" s="232" t="b">
        <f t="shared" si="1"/>
        <v>1</v>
      </c>
      <c r="H27" s="230" t="s">
        <v>377</v>
      </c>
      <c r="I27" s="235">
        <f t="shared" si="2"/>
        <v>46189308210</v>
      </c>
      <c r="J27" s="234"/>
    </row>
    <row r="28" spans="1:10" ht="17.25" x14ac:dyDescent="0.3">
      <c r="A28" s="219">
        <v>77550515828</v>
      </c>
      <c r="B28" s="219">
        <v>88768368363</v>
      </c>
      <c r="C28" s="233" t="s">
        <v>429</v>
      </c>
      <c r="D28" s="219">
        <v>11217852535</v>
      </c>
      <c r="E28" s="219">
        <v>0</v>
      </c>
      <c r="F28" s="232">
        <f t="shared" si="0"/>
        <v>77550515828</v>
      </c>
      <c r="G28" s="232" t="b">
        <f t="shared" si="1"/>
        <v>1</v>
      </c>
      <c r="H28" s="230" t="s">
        <v>377</v>
      </c>
      <c r="I28" s="235">
        <f t="shared" si="2"/>
        <v>77550515828</v>
      </c>
      <c r="J28" s="234"/>
    </row>
    <row r="29" spans="1:10" s="243" customFormat="1" ht="17.25" x14ac:dyDescent="0.3">
      <c r="A29" s="219">
        <v>4858772779849</v>
      </c>
      <c r="B29" s="219">
        <v>4859921499849</v>
      </c>
      <c r="C29" s="233" t="s">
        <v>428</v>
      </c>
      <c r="D29" s="219">
        <v>1148720000</v>
      </c>
      <c r="E29" s="219">
        <v>0</v>
      </c>
      <c r="F29" s="232">
        <f t="shared" si="0"/>
        <v>4858772779849</v>
      </c>
      <c r="G29" s="232" t="b">
        <f t="shared" si="1"/>
        <v>1</v>
      </c>
      <c r="H29" s="230" t="s">
        <v>377</v>
      </c>
      <c r="I29" s="235">
        <f t="shared" si="2"/>
        <v>4858772779849</v>
      </c>
    </row>
    <row r="30" spans="1:10" ht="17.25" x14ac:dyDescent="0.3">
      <c r="A30" s="219">
        <v>517357472055</v>
      </c>
      <c r="B30" s="219">
        <v>520302339959</v>
      </c>
      <c r="C30" s="233" t="s">
        <v>427</v>
      </c>
      <c r="D30" s="219">
        <v>2944867904</v>
      </c>
      <c r="E30" s="219">
        <v>0</v>
      </c>
      <c r="F30" s="232">
        <f t="shared" si="0"/>
        <v>517357472055</v>
      </c>
      <c r="G30" s="232" t="b">
        <f t="shared" si="1"/>
        <v>1</v>
      </c>
      <c r="H30" s="230" t="s">
        <v>377</v>
      </c>
      <c r="I30" s="235">
        <f t="shared" si="2"/>
        <v>517357472055</v>
      </c>
      <c r="J30" s="234"/>
    </row>
    <row r="31" spans="1:10" ht="17.25" x14ac:dyDescent="0.3">
      <c r="A31" s="219">
        <v>0</v>
      </c>
      <c r="B31" s="219">
        <v>1527735609</v>
      </c>
      <c r="C31" s="233" t="s">
        <v>415</v>
      </c>
      <c r="D31" s="219">
        <v>347069178086</v>
      </c>
      <c r="E31" s="219">
        <v>345541442477</v>
      </c>
      <c r="F31" s="232">
        <f t="shared" si="0"/>
        <v>-345541442477</v>
      </c>
      <c r="G31" s="232" t="b">
        <f t="shared" si="1"/>
        <v>1</v>
      </c>
      <c r="H31" s="230" t="s">
        <v>377</v>
      </c>
      <c r="I31" s="235">
        <f t="shared" si="2"/>
        <v>-345541442477</v>
      </c>
      <c r="J31" s="234"/>
    </row>
    <row r="32" spans="1:10" ht="17.25" x14ac:dyDescent="0.3">
      <c r="A32" s="219">
        <v>0</v>
      </c>
      <c r="B32" s="219">
        <v>27932872</v>
      </c>
      <c r="C32" s="233" t="s">
        <v>384</v>
      </c>
      <c r="D32" s="219">
        <v>1169787194</v>
      </c>
      <c r="E32" s="219">
        <v>1141854322</v>
      </c>
      <c r="F32" s="232">
        <f t="shared" si="0"/>
        <v>-1141854322</v>
      </c>
      <c r="G32" s="232" t="b">
        <f t="shared" si="1"/>
        <v>1</v>
      </c>
      <c r="H32" s="230" t="s">
        <v>377</v>
      </c>
      <c r="I32" s="235">
        <f t="shared" si="2"/>
        <v>-1141854322</v>
      </c>
      <c r="J32" s="234"/>
    </row>
    <row r="33" spans="1:10" ht="17.25" x14ac:dyDescent="0.3">
      <c r="A33" s="219">
        <v>265711912</v>
      </c>
      <c r="B33" s="219">
        <v>268290547</v>
      </c>
      <c r="C33" s="233" t="s">
        <v>383</v>
      </c>
      <c r="D33" s="219">
        <v>2578635</v>
      </c>
      <c r="E33" s="219">
        <v>0</v>
      </c>
      <c r="F33" s="232">
        <f t="shared" si="0"/>
        <v>265711912</v>
      </c>
      <c r="G33" s="232" t="b">
        <f t="shared" si="1"/>
        <v>1</v>
      </c>
      <c r="H33" s="230" t="s">
        <v>377</v>
      </c>
      <c r="I33" s="235">
        <f t="shared" si="2"/>
        <v>265711912</v>
      </c>
      <c r="J33" s="234"/>
    </row>
    <row r="34" spans="1:10" s="243" customFormat="1" ht="17.25" x14ac:dyDescent="0.3">
      <c r="A34" s="219">
        <v>105744995363</v>
      </c>
      <c r="B34" s="219">
        <v>108075285114</v>
      </c>
      <c r="C34" s="233" t="s">
        <v>426</v>
      </c>
      <c r="D34" s="219">
        <v>2330289751</v>
      </c>
      <c r="E34" s="219">
        <v>0</v>
      </c>
      <c r="F34" s="232">
        <f t="shared" si="0"/>
        <v>105744995363</v>
      </c>
      <c r="G34" s="232" t="b">
        <f t="shared" si="1"/>
        <v>1</v>
      </c>
      <c r="H34" s="230" t="s">
        <v>377</v>
      </c>
      <c r="I34" s="235">
        <f t="shared" si="2"/>
        <v>105744995363</v>
      </c>
    </row>
    <row r="35" spans="1:10" ht="17.25" x14ac:dyDescent="0.3">
      <c r="A35" s="219">
        <v>0</v>
      </c>
      <c r="B35" s="219">
        <v>1828607030</v>
      </c>
      <c r="C35" s="233" t="s">
        <v>415</v>
      </c>
      <c r="D35" s="219">
        <v>66908942690</v>
      </c>
      <c r="E35" s="219">
        <v>65080335660</v>
      </c>
      <c r="F35" s="232">
        <f t="shared" si="0"/>
        <v>-65080335660</v>
      </c>
      <c r="G35" s="232" t="b">
        <f t="shared" si="1"/>
        <v>1</v>
      </c>
      <c r="H35" s="230" t="s">
        <v>377</v>
      </c>
      <c r="I35" s="235">
        <f t="shared" si="2"/>
        <v>-65080335660</v>
      </c>
      <c r="J35" s="234"/>
    </row>
    <row r="36" spans="1:10" ht="17.25" x14ac:dyDescent="0.3">
      <c r="A36" s="219">
        <v>0</v>
      </c>
      <c r="B36" s="219">
        <v>3000000</v>
      </c>
      <c r="C36" s="233" t="s">
        <v>384</v>
      </c>
      <c r="D36" s="219">
        <v>25169998</v>
      </c>
      <c r="E36" s="219">
        <v>22169998</v>
      </c>
      <c r="F36" s="232">
        <f t="shared" ref="F36:F67" si="3">B36-D36</f>
        <v>-22169998</v>
      </c>
      <c r="G36" s="232" t="b">
        <f t="shared" ref="G36:G67" si="4">F36=I36</f>
        <v>1</v>
      </c>
      <c r="H36" s="230" t="s">
        <v>377</v>
      </c>
      <c r="I36" s="235">
        <f t="shared" ref="I36:I67" si="5">A36-E36</f>
        <v>-22169998</v>
      </c>
      <c r="J36" s="234"/>
    </row>
    <row r="37" spans="1:10" ht="17.25" x14ac:dyDescent="0.3">
      <c r="A37" s="219">
        <v>2542875</v>
      </c>
      <c r="B37" s="219">
        <v>2942875</v>
      </c>
      <c r="C37" s="233" t="s">
        <v>383</v>
      </c>
      <c r="D37" s="219">
        <v>400000</v>
      </c>
      <c r="E37" s="219">
        <v>0</v>
      </c>
      <c r="F37" s="232">
        <f t="shared" si="3"/>
        <v>2542875</v>
      </c>
      <c r="G37" s="232" t="b">
        <f t="shared" si="4"/>
        <v>1</v>
      </c>
      <c r="H37" s="230" t="s">
        <v>377</v>
      </c>
      <c r="I37" s="235">
        <f t="shared" si="5"/>
        <v>2542875</v>
      </c>
      <c r="J37" s="234"/>
    </row>
    <row r="38" spans="1:10" s="243" customFormat="1" ht="17.25" x14ac:dyDescent="0.3">
      <c r="A38" s="219">
        <v>12583143288195</v>
      </c>
      <c r="B38" s="219">
        <v>12609653839045</v>
      </c>
      <c r="C38" s="233" t="s">
        <v>425</v>
      </c>
      <c r="D38" s="219">
        <v>26510550850</v>
      </c>
      <c r="E38" s="219">
        <v>0</v>
      </c>
      <c r="F38" s="232">
        <f t="shared" si="3"/>
        <v>12583143288195</v>
      </c>
      <c r="G38" s="232" t="b">
        <f t="shared" si="4"/>
        <v>1</v>
      </c>
      <c r="H38" s="230" t="s">
        <v>377</v>
      </c>
      <c r="I38" s="235">
        <f t="shared" si="5"/>
        <v>12583143288195</v>
      </c>
    </row>
    <row r="39" spans="1:10" ht="17.25" x14ac:dyDescent="0.3">
      <c r="A39" s="219">
        <v>0</v>
      </c>
      <c r="B39" s="219">
        <v>11265532548</v>
      </c>
      <c r="C39" s="233" t="s">
        <v>415</v>
      </c>
      <c r="D39" s="219">
        <v>5626061582468</v>
      </c>
      <c r="E39" s="219">
        <v>5614796049920</v>
      </c>
      <c r="F39" s="232">
        <f t="shared" si="3"/>
        <v>-5614796049920</v>
      </c>
      <c r="G39" s="232" t="b">
        <f t="shared" si="4"/>
        <v>1</v>
      </c>
      <c r="H39" s="230" t="s">
        <v>377</v>
      </c>
      <c r="I39" s="235">
        <f t="shared" si="5"/>
        <v>-5614796049920</v>
      </c>
      <c r="J39" s="234"/>
    </row>
    <row r="40" spans="1:10" ht="17.25" x14ac:dyDescent="0.3">
      <c r="A40" s="219">
        <v>0</v>
      </c>
      <c r="B40" s="219">
        <v>15191945273</v>
      </c>
      <c r="C40" s="233" t="s">
        <v>384</v>
      </c>
      <c r="D40" s="219">
        <v>232482975098</v>
      </c>
      <c r="E40" s="219">
        <v>217291029825</v>
      </c>
      <c r="F40" s="232">
        <f t="shared" si="3"/>
        <v>-217291029825</v>
      </c>
      <c r="G40" s="232" t="b">
        <f t="shared" si="4"/>
        <v>1</v>
      </c>
      <c r="H40" s="230" t="s">
        <v>377</v>
      </c>
      <c r="I40" s="235">
        <f t="shared" si="5"/>
        <v>-217291029825</v>
      </c>
      <c r="J40" s="234"/>
    </row>
    <row r="41" spans="1:10" ht="17.25" x14ac:dyDescent="0.3">
      <c r="A41" s="219">
        <v>18606706018</v>
      </c>
      <c r="B41" s="219">
        <v>20098575850</v>
      </c>
      <c r="C41" s="233" t="s">
        <v>383</v>
      </c>
      <c r="D41" s="219">
        <v>1491869832</v>
      </c>
      <c r="E41" s="219">
        <v>0</v>
      </c>
      <c r="F41" s="232">
        <f t="shared" si="3"/>
        <v>18606706018</v>
      </c>
      <c r="G41" s="232" t="b">
        <f t="shared" si="4"/>
        <v>1</v>
      </c>
      <c r="H41" s="230" t="s">
        <v>377</v>
      </c>
      <c r="I41" s="235">
        <f t="shared" si="5"/>
        <v>18606706018</v>
      </c>
      <c r="J41" s="234"/>
    </row>
    <row r="42" spans="1:10" ht="17.25" x14ac:dyDescent="0.3">
      <c r="A42" s="219">
        <v>0</v>
      </c>
      <c r="B42" s="219">
        <v>0</v>
      </c>
      <c r="C42" s="233" t="s">
        <v>417</v>
      </c>
      <c r="D42" s="219">
        <v>785691367</v>
      </c>
      <c r="E42" s="219">
        <v>785691367</v>
      </c>
      <c r="F42" s="232">
        <f t="shared" si="3"/>
        <v>-785691367</v>
      </c>
      <c r="G42" s="232" t="b">
        <f t="shared" si="4"/>
        <v>1</v>
      </c>
      <c r="H42" s="230" t="s">
        <v>377</v>
      </c>
      <c r="I42" s="235">
        <f t="shared" si="5"/>
        <v>-785691367</v>
      </c>
      <c r="J42" s="234"/>
    </row>
    <row r="43" spans="1:10" ht="17.25" x14ac:dyDescent="0.3">
      <c r="A43" s="219">
        <v>106604788</v>
      </c>
      <c r="B43" s="219">
        <v>106604788</v>
      </c>
      <c r="C43" s="233" t="s">
        <v>419</v>
      </c>
      <c r="D43" s="219">
        <v>0</v>
      </c>
      <c r="E43" s="219">
        <v>0</v>
      </c>
      <c r="F43" s="232">
        <f t="shared" si="3"/>
        <v>106604788</v>
      </c>
      <c r="G43" s="232" t="b">
        <f t="shared" si="4"/>
        <v>1</v>
      </c>
      <c r="H43" s="230" t="s">
        <v>377</v>
      </c>
      <c r="I43" s="235">
        <f t="shared" si="5"/>
        <v>106604788</v>
      </c>
      <c r="J43" s="234"/>
    </row>
    <row r="44" spans="1:10" ht="17.25" x14ac:dyDescent="0.3">
      <c r="A44" s="219">
        <v>2485119538611</v>
      </c>
      <c r="B44" s="219">
        <v>2551516556221</v>
      </c>
      <c r="C44" s="233" t="s">
        <v>424</v>
      </c>
      <c r="D44" s="219">
        <v>66397017610</v>
      </c>
      <c r="E44" s="219">
        <v>0</v>
      </c>
      <c r="F44" s="232">
        <f t="shared" si="3"/>
        <v>2485119538611</v>
      </c>
      <c r="G44" s="232" t="b">
        <f t="shared" si="4"/>
        <v>1</v>
      </c>
      <c r="H44" s="230" t="s">
        <v>377</v>
      </c>
      <c r="I44" s="235">
        <f t="shared" si="5"/>
        <v>2485119538611</v>
      </c>
      <c r="J44" s="234"/>
    </row>
    <row r="45" spans="1:10" ht="17.25" x14ac:dyDescent="0.3">
      <c r="A45" s="219">
        <v>0</v>
      </c>
      <c r="B45" s="219">
        <v>45253878509</v>
      </c>
      <c r="C45" s="233" t="s">
        <v>415</v>
      </c>
      <c r="D45" s="219">
        <v>1514146292059</v>
      </c>
      <c r="E45" s="219">
        <v>1468892413550</v>
      </c>
      <c r="F45" s="232">
        <f t="shared" si="3"/>
        <v>-1468892413550</v>
      </c>
      <c r="G45" s="232" t="b">
        <f t="shared" si="4"/>
        <v>1</v>
      </c>
      <c r="H45" s="230" t="s">
        <v>377</v>
      </c>
      <c r="I45" s="235">
        <f t="shared" si="5"/>
        <v>-1468892413550</v>
      </c>
      <c r="J45" s="234"/>
    </row>
    <row r="46" spans="1:10" ht="17.25" x14ac:dyDescent="0.3">
      <c r="A46" s="219">
        <v>0</v>
      </c>
      <c r="B46" s="219">
        <v>4666578160</v>
      </c>
      <c r="C46" s="233" t="s">
        <v>384</v>
      </c>
      <c r="D46" s="219">
        <v>119431310587</v>
      </c>
      <c r="E46" s="219">
        <v>114764732427</v>
      </c>
      <c r="F46" s="232">
        <f t="shared" si="3"/>
        <v>-114764732427</v>
      </c>
      <c r="G46" s="232" t="b">
        <f t="shared" si="4"/>
        <v>1</v>
      </c>
      <c r="H46" s="230" t="s">
        <v>377</v>
      </c>
      <c r="I46" s="235">
        <f t="shared" si="5"/>
        <v>-114764732427</v>
      </c>
      <c r="J46" s="234"/>
    </row>
    <row r="47" spans="1:10" ht="17.25" x14ac:dyDescent="0.3">
      <c r="A47" s="219">
        <v>16670974649</v>
      </c>
      <c r="B47" s="219">
        <v>17743408317</v>
      </c>
      <c r="C47" s="233" t="s">
        <v>383</v>
      </c>
      <c r="D47" s="219">
        <v>1072433668</v>
      </c>
      <c r="E47" s="219">
        <v>0</v>
      </c>
      <c r="F47" s="232">
        <f t="shared" si="3"/>
        <v>16670974649</v>
      </c>
      <c r="G47" s="232" t="b">
        <f t="shared" si="4"/>
        <v>1</v>
      </c>
      <c r="H47" s="230" t="s">
        <v>377</v>
      </c>
      <c r="I47" s="235">
        <f t="shared" si="5"/>
        <v>16670974649</v>
      </c>
      <c r="J47" s="234"/>
    </row>
    <row r="48" spans="1:10" ht="17.25" x14ac:dyDescent="0.3">
      <c r="A48" s="219">
        <v>0</v>
      </c>
      <c r="B48" s="219">
        <v>0</v>
      </c>
      <c r="C48" s="233" t="s">
        <v>417</v>
      </c>
      <c r="D48" s="219">
        <v>318023704</v>
      </c>
      <c r="E48" s="219">
        <v>318023704</v>
      </c>
      <c r="F48" s="232">
        <f t="shared" si="3"/>
        <v>-318023704</v>
      </c>
      <c r="G48" s="232" t="b">
        <f t="shared" si="4"/>
        <v>1</v>
      </c>
      <c r="H48" s="230" t="s">
        <v>377</v>
      </c>
      <c r="I48" s="235">
        <f t="shared" si="5"/>
        <v>-318023704</v>
      </c>
      <c r="J48" s="234"/>
    </row>
    <row r="49" spans="1:10" ht="17.25" x14ac:dyDescent="0.3">
      <c r="A49" s="219">
        <v>16364598</v>
      </c>
      <c r="B49" s="219">
        <v>16364598</v>
      </c>
      <c r="C49" s="233" t="s">
        <v>419</v>
      </c>
      <c r="D49" s="219">
        <v>0</v>
      </c>
      <c r="E49" s="219">
        <v>0</v>
      </c>
      <c r="F49" s="232">
        <f t="shared" si="3"/>
        <v>16364598</v>
      </c>
      <c r="G49" s="232" t="b">
        <f t="shared" si="4"/>
        <v>1</v>
      </c>
      <c r="H49" s="230" t="s">
        <v>377</v>
      </c>
      <c r="I49" s="235">
        <f t="shared" si="5"/>
        <v>16364598</v>
      </c>
      <c r="J49" s="234"/>
    </row>
    <row r="50" spans="1:10" ht="17.25" x14ac:dyDescent="0.3">
      <c r="A50" s="219">
        <v>3171323079163</v>
      </c>
      <c r="B50" s="219">
        <v>3269375605108</v>
      </c>
      <c r="C50" s="233" t="s">
        <v>423</v>
      </c>
      <c r="D50" s="219">
        <v>98052525945</v>
      </c>
      <c r="E50" s="219">
        <v>0</v>
      </c>
      <c r="F50" s="232">
        <f t="shared" si="3"/>
        <v>3171323079163</v>
      </c>
      <c r="G50" s="232" t="b">
        <f t="shared" si="4"/>
        <v>1</v>
      </c>
      <c r="H50" s="230" t="s">
        <v>377</v>
      </c>
      <c r="I50" s="235">
        <f t="shared" si="5"/>
        <v>3171323079163</v>
      </c>
      <c r="J50" s="234"/>
    </row>
    <row r="51" spans="1:10" ht="17.25" x14ac:dyDescent="0.3">
      <c r="A51" s="219">
        <v>0</v>
      </c>
      <c r="B51" s="219">
        <v>92496064643</v>
      </c>
      <c r="C51" s="233" t="s">
        <v>415</v>
      </c>
      <c r="D51" s="219">
        <v>1730512718091</v>
      </c>
      <c r="E51" s="219">
        <v>1638016653448</v>
      </c>
      <c r="F51" s="232">
        <f t="shared" si="3"/>
        <v>-1638016653448</v>
      </c>
      <c r="G51" s="232" t="b">
        <f t="shared" si="4"/>
        <v>1</v>
      </c>
      <c r="H51" s="230" t="s">
        <v>377</v>
      </c>
      <c r="I51" s="235">
        <f t="shared" si="5"/>
        <v>-1638016653448</v>
      </c>
      <c r="J51" s="234"/>
    </row>
    <row r="52" spans="1:10" ht="17.25" x14ac:dyDescent="0.3">
      <c r="A52" s="219">
        <v>0</v>
      </c>
      <c r="B52" s="219">
        <v>0</v>
      </c>
      <c r="C52" s="233" t="s">
        <v>384</v>
      </c>
      <c r="D52" s="219">
        <v>31847923007</v>
      </c>
      <c r="E52" s="219">
        <v>31847923007</v>
      </c>
      <c r="F52" s="232">
        <f t="shared" si="3"/>
        <v>-31847923007</v>
      </c>
      <c r="G52" s="232" t="b">
        <f t="shared" si="4"/>
        <v>1</v>
      </c>
      <c r="H52" s="230" t="s">
        <v>377</v>
      </c>
      <c r="I52" s="235">
        <f t="shared" si="5"/>
        <v>-31847923007</v>
      </c>
      <c r="J52" s="234"/>
    </row>
    <row r="53" spans="1:10" ht="18" customHeight="1" x14ac:dyDescent="0.3">
      <c r="A53" s="219">
        <v>959365690</v>
      </c>
      <c r="B53" s="219">
        <v>959365690</v>
      </c>
      <c r="C53" s="233" t="s">
        <v>383</v>
      </c>
      <c r="D53" s="219">
        <v>0</v>
      </c>
      <c r="E53" s="219">
        <v>0</v>
      </c>
      <c r="F53" s="232">
        <f t="shared" si="3"/>
        <v>959365690</v>
      </c>
      <c r="G53" s="232" t="b">
        <f t="shared" si="4"/>
        <v>1</v>
      </c>
      <c r="H53" s="230" t="s">
        <v>377</v>
      </c>
      <c r="I53" s="235">
        <f t="shared" si="5"/>
        <v>959365690</v>
      </c>
      <c r="J53" s="234"/>
    </row>
    <row r="54" spans="1:10" s="243" customFormat="1" ht="17.25" x14ac:dyDescent="0.3">
      <c r="A54" s="219">
        <v>6741376285</v>
      </c>
      <c r="B54" s="219">
        <v>7042938789</v>
      </c>
      <c r="C54" s="233" t="s">
        <v>422</v>
      </c>
      <c r="D54" s="219">
        <v>301562504</v>
      </c>
      <c r="E54" s="219">
        <v>0</v>
      </c>
      <c r="F54" s="232">
        <f t="shared" si="3"/>
        <v>6741376285</v>
      </c>
      <c r="G54" s="232" t="b">
        <f t="shared" si="4"/>
        <v>1</v>
      </c>
      <c r="H54" s="230" t="s">
        <v>377</v>
      </c>
      <c r="I54" s="235">
        <f t="shared" si="5"/>
        <v>6741376285</v>
      </c>
    </row>
    <row r="55" spans="1:10" ht="17.25" x14ac:dyDescent="0.3">
      <c r="A55" s="219">
        <v>0</v>
      </c>
      <c r="B55" s="219">
        <v>301552504</v>
      </c>
      <c r="C55" s="233" t="s">
        <v>415</v>
      </c>
      <c r="D55" s="219">
        <v>5793379442</v>
      </c>
      <c r="E55" s="219">
        <v>5491826938</v>
      </c>
      <c r="F55" s="232">
        <f t="shared" si="3"/>
        <v>-5491826938</v>
      </c>
      <c r="G55" s="232" t="b">
        <f t="shared" si="4"/>
        <v>1</v>
      </c>
      <c r="H55" s="230" t="s">
        <v>377</v>
      </c>
      <c r="I55" s="235">
        <f t="shared" si="5"/>
        <v>-5491826938</v>
      </c>
      <c r="J55" s="234"/>
    </row>
    <row r="56" spans="1:10" ht="17.25" x14ac:dyDescent="0.3">
      <c r="A56" s="219">
        <v>0</v>
      </c>
      <c r="B56" s="219">
        <v>0</v>
      </c>
      <c r="C56" s="233" t="s">
        <v>384</v>
      </c>
      <c r="D56" s="219">
        <v>447354527</v>
      </c>
      <c r="E56" s="219">
        <v>447354527</v>
      </c>
      <c r="F56" s="232">
        <f t="shared" si="3"/>
        <v>-447354527</v>
      </c>
      <c r="G56" s="232" t="b">
        <f t="shared" si="4"/>
        <v>1</v>
      </c>
      <c r="H56" s="230" t="s">
        <v>377</v>
      </c>
      <c r="I56" s="235">
        <f t="shared" si="5"/>
        <v>-447354527</v>
      </c>
      <c r="J56" s="234"/>
    </row>
    <row r="57" spans="1:10" ht="17.25" x14ac:dyDescent="0.3">
      <c r="A57" s="219">
        <v>288983701</v>
      </c>
      <c r="B57" s="219">
        <v>288983701</v>
      </c>
      <c r="C57" s="233" t="s">
        <v>383</v>
      </c>
      <c r="D57" s="219">
        <v>0</v>
      </c>
      <c r="E57" s="219">
        <v>0</v>
      </c>
      <c r="F57" s="232">
        <f t="shared" si="3"/>
        <v>288983701</v>
      </c>
      <c r="G57" s="232" t="b">
        <f t="shared" si="4"/>
        <v>1</v>
      </c>
      <c r="H57" s="230" t="s">
        <v>377</v>
      </c>
      <c r="I57" s="235">
        <f t="shared" si="5"/>
        <v>288983701</v>
      </c>
      <c r="J57" s="234"/>
    </row>
    <row r="58" spans="1:10" ht="17.25" x14ac:dyDescent="0.3">
      <c r="A58" s="219">
        <v>0</v>
      </c>
      <c r="B58" s="219">
        <v>0</v>
      </c>
      <c r="C58" s="233" t="s">
        <v>417</v>
      </c>
      <c r="D58" s="219">
        <v>1168920880</v>
      </c>
      <c r="E58" s="219">
        <v>1168920880</v>
      </c>
      <c r="F58" s="232">
        <f t="shared" si="3"/>
        <v>-1168920880</v>
      </c>
      <c r="G58" s="232" t="b">
        <f t="shared" si="4"/>
        <v>1</v>
      </c>
      <c r="H58" s="230" t="s">
        <v>377</v>
      </c>
      <c r="I58" s="235">
        <f t="shared" si="5"/>
        <v>-1168920880</v>
      </c>
      <c r="J58" s="234"/>
    </row>
    <row r="59" spans="1:10" ht="17.25" x14ac:dyDescent="0.3">
      <c r="A59" s="219">
        <v>776860060</v>
      </c>
      <c r="B59" s="219">
        <v>776860060</v>
      </c>
      <c r="C59" s="233" t="s">
        <v>421</v>
      </c>
      <c r="D59" s="219">
        <v>0</v>
      </c>
      <c r="E59" s="219">
        <v>0</v>
      </c>
      <c r="F59" s="232">
        <f t="shared" si="3"/>
        <v>776860060</v>
      </c>
      <c r="G59" s="232" t="b">
        <f t="shared" si="4"/>
        <v>1</v>
      </c>
      <c r="H59" s="230" t="s">
        <v>377</v>
      </c>
      <c r="I59" s="235">
        <f t="shared" si="5"/>
        <v>776860060</v>
      </c>
      <c r="J59" s="234"/>
    </row>
    <row r="60" spans="1:10" s="243" customFormat="1" ht="17.25" x14ac:dyDescent="0.3">
      <c r="A60" s="219">
        <v>137894290212</v>
      </c>
      <c r="B60" s="219">
        <v>151841651689</v>
      </c>
      <c r="C60" s="233" t="s">
        <v>420</v>
      </c>
      <c r="D60" s="219">
        <v>13947361477</v>
      </c>
      <c r="E60" s="219">
        <v>0</v>
      </c>
      <c r="F60" s="232">
        <f t="shared" si="3"/>
        <v>137894290212</v>
      </c>
      <c r="G60" s="232" t="b">
        <f t="shared" si="4"/>
        <v>1</v>
      </c>
      <c r="H60" s="230" t="s">
        <v>377</v>
      </c>
      <c r="I60" s="235">
        <f t="shared" si="5"/>
        <v>137894290212</v>
      </c>
    </row>
    <row r="61" spans="1:10" ht="17.25" x14ac:dyDescent="0.3">
      <c r="A61" s="219">
        <v>0</v>
      </c>
      <c r="B61" s="219">
        <v>7461462069</v>
      </c>
      <c r="C61" s="233" t="s">
        <v>415</v>
      </c>
      <c r="D61" s="219">
        <v>124096047872</v>
      </c>
      <c r="E61" s="219">
        <v>116634585803</v>
      </c>
      <c r="F61" s="232">
        <f t="shared" si="3"/>
        <v>-116634585803</v>
      </c>
      <c r="G61" s="232" t="b">
        <f t="shared" si="4"/>
        <v>1</v>
      </c>
      <c r="H61" s="230" t="s">
        <v>377</v>
      </c>
      <c r="I61" s="235">
        <f t="shared" si="5"/>
        <v>-116634585803</v>
      </c>
      <c r="J61" s="234"/>
    </row>
    <row r="62" spans="1:10" ht="17.25" x14ac:dyDescent="0.3">
      <c r="A62" s="219">
        <v>0</v>
      </c>
      <c r="B62" s="219">
        <v>19734000</v>
      </c>
      <c r="C62" s="233" t="s">
        <v>384</v>
      </c>
      <c r="D62" s="219">
        <v>1261036102</v>
      </c>
      <c r="E62" s="219">
        <v>1241302102</v>
      </c>
      <c r="F62" s="232">
        <f t="shared" si="3"/>
        <v>-1241302102</v>
      </c>
      <c r="G62" s="232" t="b">
        <f t="shared" si="4"/>
        <v>1</v>
      </c>
      <c r="H62" s="230" t="s">
        <v>377</v>
      </c>
      <c r="I62" s="235">
        <f t="shared" si="5"/>
        <v>-1241302102</v>
      </c>
      <c r="J62" s="234"/>
    </row>
    <row r="63" spans="1:10" ht="17.25" x14ac:dyDescent="0.3">
      <c r="A63" s="219">
        <v>671909078</v>
      </c>
      <c r="B63" s="219">
        <v>672895778</v>
      </c>
      <c r="C63" s="233" t="s">
        <v>383</v>
      </c>
      <c r="D63" s="219">
        <v>986700</v>
      </c>
      <c r="E63" s="219">
        <v>0</v>
      </c>
      <c r="F63" s="232">
        <f t="shared" si="3"/>
        <v>671909078</v>
      </c>
      <c r="G63" s="232" t="b">
        <f t="shared" si="4"/>
        <v>1</v>
      </c>
      <c r="H63" s="230" t="s">
        <v>377</v>
      </c>
      <c r="I63" s="235">
        <f t="shared" si="5"/>
        <v>671909078</v>
      </c>
      <c r="J63" s="234"/>
    </row>
    <row r="64" spans="1:10" ht="17.25" x14ac:dyDescent="0.3">
      <c r="A64" s="219">
        <v>0</v>
      </c>
      <c r="B64" s="219">
        <v>0</v>
      </c>
      <c r="C64" s="233" t="s">
        <v>417</v>
      </c>
      <c r="D64" s="219">
        <v>413543300</v>
      </c>
      <c r="E64" s="219">
        <v>413543300</v>
      </c>
      <c r="F64" s="232">
        <f t="shared" si="3"/>
        <v>-413543300</v>
      </c>
      <c r="G64" s="232" t="b">
        <f t="shared" si="4"/>
        <v>1</v>
      </c>
      <c r="H64" s="230" t="s">
        <v>377</v>
      </c>
      <c r="I64" s="235">
        <f t="shared" si="5"/>
        <v>-413543300</v>
      </c>
      <c r="J64" s="234"/>
    </row>
    <row r="65" spans="1:10" ht="17.25" x14ac:dyDescent="0.3">
      <c r="A65" s="219">
        <v>381112308</v>
      </c>
      <c r="B65" s="219">
        <v>381112308</v>
      </c>
      <c r="C65" s="233" t="s">
        <v>419</v>
      </c>
      <c r="D65" s="219">
        <v>0</v>
      </c>
      <c r="E65" s="219">
        <v>0</v>
      </c>
      <c r="F65" s="232">
        <f t="shared" si="3"/>
        <v>381112308</v>
      </c>
      <c r="G65" s="232" t="b">
        <f t="shared" si="4"/>
        <v>1</v>
      </c>
      <c r="H65" s="230" t="s">
        <v>377</v>
      </c>
      <c r="I65" s="235">
        <f t="shared" si="5"/>
        <v>381112308</v>
      </c>
      <c r="J65" s="234"/>
    </row>
    <row r="66" spans="1:10" ht="17.25" x14ac:dyDescent="0.3">
      <c r="A66" s="219">
        <v>651500151409</v>
      </c>
      <c r="B66" s="219">
        <v>7326412441083</v>
      </c>
      <c r="C66" s="233" t="s">
        <v>418</v>
      </c>
      <c r="D66" s="219">
        <v>6674912289674</v>
      </c>
      <c r="E66" s="219">
        <v>0</v>
      </c>
      <c r="F66" s="232">
        <f t="shared" si="3"/>
        <v>651500151409</v>
      </c>
      <c r="G66" s="232" t="b">
        <f t="shared" si="4"/>
        <v>1</v>
      </c>
      <c r="H66" s="230" t="s">
        <v>377</v>
      </c>
      <c r="I66" s="235">
        <f t="shared" si="5"/>
        <v>651500151409</v>
      </c>
      <c r="J66" s="234"/>
    </row>
    <row r="67" spans="1:10" ht="17.25" x14ac:dyDescent="0.3">
      <c r="A67" s="219">
        <v>0</v>
      </c>
      <c r="B67" s="219">
        <v>106381935537</v>
      </c>
      <c r="C67" s="233" t="s">
        <v>384</v>
      </c>
      <c r="D67" s="219">
        <v>134609265881</v>
      </c>
      <c r="E67" s="219">
        <v>28227330344</v>
      </c>
      <c r="F67" s="232">
        <f t="shared" si="3"/>
        <v>-28227330344</v>
      </c>
      <c r="G67" s="232" t="b">
        <f t="shared" si="4"/>
        <v>1</v>
      </c>
      <c r="H67" s="230" t="s">
        <v>377</v>
      </c>
      <c r="I67" s="235">
        <f t="shared" si="5"/>
        <v>-28227330344</v>
      </c>
      <c r="J67" s="234"/>
    </row>
    <row r="68" spans="1:10" ht="17.25" x14ac:dyDescent="0.3">
      <c r="A68" s="219">
        <v>0</v>
      </c>
      <c r="B68" s="219">
        <v>210615152</v>
      </c>
      <c r="C68" s="233" t="s">
        <v>417</v>
      </c>
      <c r="D68" s="219">
        <v>388291933</v>
      </c>
      <c r="E68" s="219">
        <v>177676781</v>
      </c>
      <c r="F68" s="232">
        <f t="shared" ref="F68:F99" si="6">B68-D68</f>
        <v>-177676781</v>
      </c>
      <c r="G68" s="232" t="b">
        <f t="shared" ref="G68:G99" si="7">F68=I68</f>
        <v>1</v>
      </c>
      <c r="H68" s="230" t="s">
        <v>377</v>
      </c>
      <c r="I68" s="235">
        <f t="shared" ref="I68:I99" si="8">A68-E68</f>
        <v>-177676781</v>
      </c>
      <c r="J68" s="234"/>
    </row>
    <row r="69" spans="1:10" ht="17.25" x14ac:dyDescent="0.3">
      <c r="A69" s="219">
        <v>8858466080</v>
      </c>
      <c r="B69" s="219">
        <v>8858466080</v>
      </c>
      <c r="C69" s="233" t="s">
        <v>416</v>
      </c>
      <c r="D69" s="219">
        <v>0</v>
      </c>
      <c r="E69" s="219">
        <v>0</v>
      </c>
      <c r="F69" s="232">
        <f t="shared" si="6"/>
        <v>8858466080</v>
      </c>
      <c r="G69" s="232" t="b">
        <f t="shared" si="7"/>
        <v>1</v>
      </c>
      <c r="H69" s="230" t="s">
        <v>377</v>
      </c>
      <c r="I69" s="235">
        <f t="shared" si="8"/>
        <v>8858466080</v>
      </c>
      <c r="J69" s="234"/>
    </row>
    <row r="70" spans="1:10" ht="18.75" customHeight="1" x14ac:dyDescent="0.3">
      <c r="A70" s="219">
        <v>0</v>
      </c>
      <c r="B70" s="219">
        <v>0</v>
      </c>
      <c r="C70" s="233" t="s">
        <v>415</v>
      </c>
      <c r="D70" s="219">
        <v>7284269783</v>
      </c>
      <c r="E70" s="219">
        <v>7284269783</v>
      </c>
      <c r="F70" s="232">
        <f t="shared" si="6"/>
        <v>-7284269783</v>
      </c>
      <c r="G70" s="232" t="b">
        <f t="shared" si="7"/>
        <v>1</v>
      </c>
      <c r="H70" s="230" t="s">
        <v>377</v>
      </c>
      <c r="I70" s="235">
        <f t="shared" si="8"/>
        <v>-7284269783</v>
      </c>
      <c r="J70" s="234"/>
    </row>
    <row r="71" spans="1:10" s="243" customFormat="1" ht="17.25" hidden="1" x14ac:dyDescent="0.3">
      <c r="A71" s="219"/>
      <c r="B71" s="219"/>
      <c r="C71" s="233" t="s">
        <v>414</v>
      </c>
      <c r="D71" s="219"/>
      <c r="E71" s="219"/>
      <c r="F71" s="232">
        <f t="shared" si="6"/>
        <v>0</v>
      </c>
      <c r="G71" s="232" t="b">
        <f t="shared" si="7"/>
        <v>1</v>
      </c>
      <c r="H71" s="230" t="s">
        <v>377</v>
      </c>
      <c r="I71" s="235">
        <f t="shared" si="8"/>
        <v>0</v>
      </c>
    </row>
    <row r="72" spans="1:10" s="243" customFormat="1" ht="17.25" hidden="1" x14ac:dyDescent="0.3">
      <c r="A72" s="219"/>
      <c r="B72" s="219"/>
      <c r="C72" s="233" t="s">
        <v>413</v>
      </c>
      <c r="D72" s="219"/>
      <c r="E72" s="219"/>
      <c r="F72" s="232">
        <f t="shared" si="6"/>
        <v>0</v>
      </c>
      <c r="G72" s="232" t="b">
        <f t="shared" si="7"/>
        <v>1</v>
      </c>
      <c r="H72" s="230" t="s">
        <v>377</v>
      </c>
      <c r="I72" s="235">
        <f t="shared" si="8"/>
        <v>0</v>
      </c>
      <c r="J72" s="234"/>
    </row>
    <row r="73" spans="1:10" s="243" customFormat="1" ht="17.25" hidden="1" x14ac:dyDescent="0.3">
      <c r="A73" s="219"/>
      <c r="B73" s="219"/>
      <c r="C73" s="233" t="s">
        <v>412</v>
      </c>
      <c r="D73" s="219"/>
      <c r="E73" s="219"/>
      <c r="F73" s="232">
        <f t="shared" si="6"/>
        <v>0</v>
      </c>
      <c r="G73" s="232" t="b">
        <f t="shared" si="7"/>
        <v>1</v>
      </c>
      <c r="H73" s="230" t="s">
        <v>377</v>
      </c>
      <c r="I73" s="235">
        <f t="shared" si="8"/>
        <v>0</v>
      </c>
      <c r="J73" s="234"/>
    </row>
    <row r="74" spans="1:10" ht="17.25" hidden="1" x14ac:dyDescent="0.3">
      <c r="A74" s="219"/>
      <c r="B74" s="219"/>
      <c r="C74" s="233" t="s">
        <v>411</v>
      </c>
      <c r="D74" s="219"/>
      <c r="E74" s="219"/>
      <c r="F74" s="232">
        <f t="shared" si="6"/>
        <v>0</v>
      </c>
      <c r="G74" s="232" t="b">
        <f t="shared" si="7"/>
        <v>1</v>
      </c>
      <c r="H74" s="230" t="s">
        <v>377</v>
      </c>
      <c r="I74" s="235">
        <f t="shared" si="8"/>
        <v>0</v>
      </c>
      <c r="J74" s="234"/>
    </row>
    <row r="75" spans="1:10" s="244" customFormat="1" ht="17.25" hidden="1" x14ac:dyDescent="0.3">
      <c r="A75" s="219"/>
      <c r="B75" s="219"/>
      <c r="C75" s="233" t="s">
        <v>410</v>
      </c>
      <c r="D75" s="219"/>
      <c r="E75" s="219"/>
      <c r="F75" s="232">
        <f t="shared" si="6"/>
        <v>0</v>
      </c>
      <c r="G75" s="232" t="b">
        <f t="shared" si="7"/>
        <v>1</v>
      </c>
      <c r="H75" s="230" t="s">
        <v>377</v>
      </c>
      <c r="I75" s="235">
        <f t="shared" si="8"/>
        <v>0</v>
      </c>
      <c r="J75" s="245"/>
    </row>
    <row r="76" spans="1:10" ht="17.25" hidden="1" x14ac:dyDescent="0.3">
      <c r="A76" s="219"/>
      <c r="B76" s="219"/>
      <c r="C76" s="233" t="s">
        <v>409</v>
      </c>
      <c r="D76" s="219"/>
      <c r="E76" s="219"/>
      <c r="F76" s="232">
        <f t="shared" si="6"/>
        <v>0</v>
      </c>
      <c r="G76" s="232" t="b">
        <f t="shared" si="7"/>
        <v>1</v>
      </c>
      <c r="H76" s="230" t="s">
        <v>377</v>
      </c>
      <c r="I76" s="235">
        <f t="shared" si="8"/>
        <v>0</v>
      </c>
      <c r="J76" s="234"/>
    </row>
    <row r="77" spans="1:10" ht="17.25" hidden="1" x14ac:dyDescent="0.3">
      <c r="A77" s="219"/>
      <c r="B77" s="219"/>
      <c r="C77" s="233" t="s">
        <v>408</v>
      </c>
      <c r="D77" s="219"/>
      <c r="E77" s="219"/>
      <c r="F77" s="232">
        <f t="shared" si="6"/>
        <v>0</v>
      </c>
      <c r="G77" s="232" t="b">
        <f t="shared" si="7"/>
        <v>1</v>
      </c>
      <c r="H77" s="230" t="s">
        <v>377</v>
      </c>
      <c r="I77" s="235">
        <f t="shared" si="8"/>
        <v>0</v>
      </c>
      <c r="J77" s="234"/>
    </row>
    <row r="78" spans="1:10" s="243" customFormat="1" ht="17.25" hidden="1" x14ac:dyDescent="0.3">
      <c r="A78" s="219"/>
      <c r="B78" s="219"/>
      <c r="C78" s="233" t="s">
        <v>407</v>
      </c>
      <c r="D78" s="219"/>
      <c r="E78" s="219"/>
      <c r="F78" s="232">
        <f t="shared" si="6"/>
        <v>0</v>
      </c>
      <c r="G78" s="232" t="b">
        <f t="shared" si="7"/>
        <v>1</v>
      </c>
      <c r="H78" s="230" t="s">
        <v>377</v>
      </c>
      <c r="I78" s="235">
        <f t="shared" si="8"/>
        <v>0</v>
      </c>
      <c r="J78" s="234"/>
    </row>
    <row r="79" spans="1:10" s="243" customFormat="1" ht="17.25" hidden="1" x14ac:dyDescent="0.3">
      <c r="A79" s="219"/>
      <c r="B79" s="219"/>
      <c r="C79" s="233" t="s">
        <v>406</v>
      </c>
      <c r="D79" s="219"/>
      <c r="E79" s="219"/>
      <c r="F79" s="232">
        <f t="shared" si="6"/>
        <v>0</v>
      </c>
      <c r="G79" s="232" t="b">
        <f t="shared" si="7"/>
        <v>1</v>
      </c>
      <c r="H79" s="230" t="s">
        <v>377</v>
      </c>
      <c r="I79" s="235">
        <f t="shared" si="8"/>
        <v>0</v>
      </c>
      <c r="J79" s="234"/>
    </row>
    <row r="80" spans="1:10" s="243" customFormat="1" ht="17.25" hidden="1" x14ac:dyDescent="0.3">
      <c r="A80" s="219"/>
      <c r="B80" s="219"/>
      <c r="C80" s="233" t="s">
        <v>405</v>
      </c>
      <c r="D80" s="219"/>
      <c r="E80" s="219"/>
      <c r="F80" s="232">
        <f t="shared" si="6"/>
        <v>0</v>
      </c>
      <c r="G80" s="232" t="b">
        <f t="shared" si="7"/>
        <v>1</v>
      </c>
      <c r="H80" s="230" t="s">
        <v>377</v>
      </c>
      <c r="I80" s="235">
        <f t="shared" si="8"/>
        <v>0</v>
      </c>
      <c r="J80" s="234"/>
    </row>
    <row r="81" spans="1:10" s="243" customFormat="1" ht="17.25" hidden="1" x14ac:dyDescent="0.3">
      <c r="A81" s="219"/>
      <c r="B81" s="219"/>
      <c r="C81" s="233" t="s">
        <v>404</v>
      </c>
      <c r="D81" s="219"/>
      <c r="E81" s="219"/>
      <c r="F81" s="232">
        <f t="shared" si="6"/>
        <v>0</v>
      </c>
      <c r="G81" s="232" t="b">
        <f t="shared" si="7"/>
        <v>1</v>
      </c>
      <c r="H81" s="230" t="s">
        <v>377</v>
      </c>
      <c r="I81" s="235">
        <f t="shared" si="8"/>
        <v>0</v>
      </c>
      <c r="J81" s="234"/>
    </row>
    <row r="82" spans="1:10" s="242" customFormat="1" ht="17.25" hidden="1" x14ac:dyDescent="0.3">
      <c r="A82" s="219"/>
      <c r="B82" s="219"/>
      <c r="C82" s="233" t="s">
        <v>403</v>
      </c>
      <c r="D82" s="219"/>
      <c r="E82" s="219"/>
      <c r="F82" s="232">
        <f t="shared" si="6"/>
        <v>0</v>
      </c>
      <c r="G82" s="232" t="b">
        <f t="shared" si="7"/>
        <v>1</v>
      </c>
      <c r="H82" s="230" t="s">
        <v>377</v>
      </c>
      <c r="I82" s="235">
        <f t="shared" si="8"/>
        <v>0</v>
      </c>
      <c r="J82" s="234"/>
    </row>
    <row r="83" spans="1:10" s="242" customFormat="1" ht="17.25" hidden="1" x14ac:dyDescent="0.3">
      <c r="A83" s="219"/>
      <c r="B83" s="219"/>
      <c r="C83" s="233" t="s">
        <v>402</v>
      </c>
      <c r="D83" s="219"/>
      <c r="E83" s="219"/>
      <c r="F83" s="232">
        <f t="shared" si="6"/>
        <v>0</v>
      </c>
      <c r="G83" s="232" t="b">
        <f t="shared" si="7"/>
        <v>1</v>
      </c>
      <c r="H83" s="230" t="s">
        <v>377</v>
      </c>
      <c r="I83" s="235">
        <f t="shared" si="8"/>
        <v>0</v>
      </c>
      <c r="J83" s="234"/>
    </row>
    <row r="84" spans="1:10" s="242" customFormat="1" ht="17.25" hidden="1" x14ac:dyDescent="0.3">
      <c r="A84" s="219"/>
      <c r="B84" s="219"/>
      <c r="C84" s="233" t="s">
        <v>401</v>
      </c>
      <c r="D84" s="219"/>
      <c r="E84" s="219"/>
      <c r="F84" s="232">
        <f t="shared" si="6"/>
        <v>0</v>
      </c>
      <c r="G84" s="232" t="b">
        <f t="shared" si="7"/>
        <v>1</v>
      </c>
      <c r="H84" s="230" t="s">
        <v>377</v>
      </c>
      <c r="I84" s="235">
        <f t="shared" si="8"/>
        <v>0</v>
      </c>
      <c r="J84" s="234"/>
    </row>
    <row r="85" spans="1:10" s="242" customFormat="1" ht="17.25" hidden="1" x14ac:dyDescent="0.3">
      <c r="A85" s="219"/>
      <c r="B85" s="219"/>
      <c r="C85" s="233" t="s">
        <v>400</v>
      </c>
      <c r="D85" s="219"/>
      <c r="E85" s="219"/>
      <c r="F85" s="232">
        <f t="shared" si="6"/>
        <v>0</v>
      </c>
      <c r="G85" s="232" t="b">
        <f t="shared" si="7"/>
        <v>1</v>
      </c>
      <c r="H85" s="230" t="s">
        <v>377</v>
      </c>
      <c r="I85" s="235">
        <f t="shared" si="8"/>
        <v>0</v>
      </c>
      <c r="J85" s="234"/>
    </row>
    <row r="86" spans="1:10" ht="17.25" hidden="1" x14ac:dyDescent="0.3">
      <c r="A86" s="219"/>
      <c r="B86" s="219"/>
      <c r="C86" s="233" t="s">
        <v>399</v>
      </c>
      <c r="D86" s="219"/>
      <c r="E86" s="219"/>
      <c r="F86" s="232">
        <f t="shared" si="6"/>
        <v>0</v>
      </c>
      <c r="G86" s="232" t="b">
        <f t="shared" si="7"/>
        <v>1</v>
      </c>
      <c r="H86" s="230" t="s">
        <v>377</v>
      </c>
      <c r="I86" s="235">
        <f t="shared" si="8"/>
        <v>0</v>
      </c>
      <c r="J86" s="234"/>
    </row>
    <row r="87" spans="1:10" ht="17.25" hidden="1" x14ac:dyDescent="0.3">
      <c r="A87" s="219"/>
      <c r="B87" s="219"/>
      <c r="C87" s="233" t="s">
        <v>398</v>
      </c>
      <c r="D87" s="219"/>
      <c r="E87" s="219"/>
      <c r="F87" s="232">
        <f t="shared" si="6"/>
        <v>0</v>
      </c>
      <c r="G87" s="232" t="b">
        <f t="shared" si="7"/>
        <v>1</v>
      </c>
      <c r="H87" s="230" t="s">
        <v>377</v>
      </c>
      <c r="I87" s="235">
        <f t="shared" si="8"/>
        <v>0</v>
      </c>
      <c r="J87" s="234"/>
    </row>
    <row r="88" spans="1:10" ht="17.25" hidden="1" x14ac:dyDescent="0.3">
      <c r="A88" s="219"/>
      <c r="B88" s="219"/>
      <c r="C88" s="233" t="s">
        <v>397</v>
      </c>
      <c r="D88" s="219"/>
      <c r="E88" s="219"/>
      <c r="F88" s="232">
        <f t="shared" si="6"/>
        <v>0</v>
      </c>
      <c r="G88" s="232" t="b">
        <f t="shared" si="7"/>
        <v>1</v>
      </c>
      <c r="H88" s="230" t="s">
        <v>377</v>
      </c>
      <c r="I88" s="235">
        <f t="shared" si="8"/>
        <v>0</v>
      </c>
      <c r="J88" s="234"/>
    </row>
    <row r="89" spans="1:10" ht="17.25" hidden="1" x14ac:dyDescent="0.3">
      <c r="A89" s="219"/>
      <c r="B89" s="219"/>
      <c r="C89" s="233" t="s">
        <v>396</v>
      </c>
      <c r="D89" s="219"/>
      <c r="E89" s="219"/>
      <c r="F89" s="232">
        <f t="shared" si="6"/>
        <v>0</v>
      </c>
      <c r="G89" s="232" t="b">
        <f t="shared" si="7"/>
        <v>1</v>
      </c>
      <c r="H89" s="230" t="s">
        <v>377</v>
      </c>
      <c r="I89" s="235">
        <f t="shared" si="8"/>
        <v>0</v>
      </c>
      <c r="J89" s="234"/>
    </row>
    <row r="90" spans="1:10" ht="17.25" hidden="1" x14ac:dyDescent="0.3">
      <c r="A90" s="219"/>
      <c r="B90" s="219"/>
      <c r="C90" s="233" t="s">
        <v>395</v>
      </c>
      <c r="D90" s="219"/>
      <c r="E90" s="219"/>
      <c r="F90" s="232">
        <f t="shared" si="6"/>
        <v>0</v>
      </c>
      <c r="G90" s="232" t="b">
        <f t="shared" si="7"/>
        <v>1</v>
      </c>
      <c r="H90" s="230" t="s">
        <v>377</v>
      </c>
      <c r="I90" s="235">
        <f t="shared" si="8"/>
        <v>0</v>
      </c>
      <c r="J90" s="234"/>
    </row>
    <row r="91" spans="1:10" ht="17.25" hidden="1" x14ac:dyDescent="0.3">
      <c r="A91" s="219"/>
      <c r="B91" s="219"/>
      <c r="C91" s="233" t="s">
        <v>394</v>
      </c>
      <c r="D91" s="219"/>
      <c r="E91" s="219"/>
      <c r="F91" s="232">
        <f t="shared" si="6"/>
        <v>0</v>
      </c>
      <c r="G91" s="232" t="b">
        <f t="shared" si="7"/>
        <v>1</v>
      </c>
      <c r="H91" s="230" t="s">
        <v>377</v>
      </c>
      <c r="I91" s="235">
        <f t="shared" si="8"/>
        <v>0</v>
      </c>
      <c r="J91" s="234"/>
    </row>
    <row r="92" spans="1:10" ht="17.25" hidden="1" x14ac:dyDescent="0.3">
      <c r="A92" s="219"/>
      <c r="B92" s="219"/>
      <c r="C92" s="233" t="s">
        <v>393</v>
      </c>
      <c r="D92" s="219"/>
      <c r="E92" s="219"/>
      <c r="F92" s="232">
        <f t="shared" si="6"/>
        <v>0</v>
      </c>
      <c r="G92" s="232" t="b">
        <f t="shared" si="7"/>
        <v>1</v>
      </c>
      <c r="H92" s="230" t="s">
        <v>377</v>
      </c>
      <c r="I92" s="235">
        <f t="shared" si="8"/>
        <v>0</v>
      </c>
      <c r="J92" s="234"/>
    </row>
    <row r="93" spans="1:10" ht="17.25" hidden="1" x14ac:dyDescent="0.3">
      <c r="A93" s="219"/>
      <c r="B93" s="219"/>
      <c r="C93" s="233" t="s">
        <v>392</v>
      </c>
      <c r="D93" s="219"/>
      <c r="E93" s="219"/>
      <c r="F93" s="232">
        <f t="shared" si="6"/>
        <v>0</v>
      </c>
      <c r="G93" s="232" t="b">
        <f t="shared" si="7"/>
        <v>1</v>
      </c>
      <c r="H93" s="230" t="s">
        <v>377</v>
      </c>
      <c r="I93" s="235">
        <f t="shared" si="8"/>
        <v>0</v>
      </c>
      <c r="J93" s="234"/>
    </row>
    <row r="94" spans="1:10" ht="18.75" hidden="1" customHeight="1" x14ac:dyDescent="0.3">
      <c r="A94" s="219"/>
      <c r="B94" s="219"/>
      <c r="C94" s="233" t="s">
        <v>391</v>
      </c>
      <c r="D94" s="219"/>
      <c r="E94" s="219"/>
      <c r="F94" s="232">
        <f t="shared" si="6"/>
        <v>0</v>
      </c>
      <c r="G94" s="232" t="b">
        <f t="shared" si="7"/>
        <v>1</v>
      </c>
      <c r="H94" s="230" t="s">
        <v>377</v>
      </c>
      <c r="I94" s="235">
        <f t="shared" si="8"/>
        <v>0</v>
      </c>
      <c r="J94" s="234"/>
    </row>
    <row r="95" spans="1:10" ht="17.25" x14ac:dyDescent="0.3">
      <c r="A95" s="219">
        <v>50463912</v>
      </c>
      <c r="B95" s="219">
        <v>732207668</v>
      </c>
      <c r="C95" s="233" t="s">
        <v>390</v>
      </c>
      <c r="D95" s="219">
        <v>681743756</v>
      </c>
      <c r="E95" s="219">
        <v>0</v>
      </c>
      <c r="F95" s="232">
        <f t="shared" si="6"/>
        <v>50463912</v>
      </c>
      <c r="G95" s="232" t="b">
        <f t="shared" si="7"/>
        <v>1</v>
      </c>
      <c r="H95" s="230" t="s">
        <v>377</v>
      </c>
      <c r="I95" s="235">
        <f t="shared" si="8"/>
        <v>50463912</v>
      </c>
      <c r="J95" s="234"/>
    </row>
    <row r="96" spans="1:10" ht="17.25" x14ac:dyDescent="0.3">
      <c r="A96" s="219">
        <v>16000</v>
      </c>
      <c r="B96" s="219">
        <v>46081962</v>
      </c>
      <c r="C96" s="233" t="s">
        <v>389</v>
      </c>
      <c r="D96" s="219">
        <v>46065962</v>
      </c>
      <c r="E96" s="219">
        <v>0</v>
      </c>
      <c r="F96" s="232">
        <f t="shared" si="6"/>
        <v>16000</v>
      </c>
      <c r="G96" s="232" t="b">
        <f t="shared" si="7"/>
        <v>1</v>
      </c>
      <c r="H96" s="230" t="s">
        <v>377</v>
      </c>
      <c r="I96" s="235">
        <f t="shared" si="8"/>
        <v>16000</v>
      </c>
      <c r="J96" s="234"/>
    </row>
    <row r="97" spans="1:10" s="240" customFormat="1" ht="17.25" x14ac:dyDescent="0.3">
      <c r="A97" s="219">
        <v>830903</v>
      </c>
      <c r="B97" s="219">
        <v>12141200</v>
      </c>
      <c r="C97" s="233" t="s">
        <v>388</v>
      </c>
      <c r="D97" s="219">
        <v>11310297</v>
      </c>
      <c r="E97" s="219">
        <v>0</v>
      </c>
      <c r="F97" s="232">
        <f t="shared" si="6"/>
        <v>830903</v>
      </c>
      <c r="G97" s="232" t="b">
        <f t="shared" si="7"/>
        <v>1</v>
      </c>
      <c r="H97" s="230" t="s">
        <v>377</v>
      </c>
      <c r="I97" s="235">
        <f t="shared" si="8"/>
        <v>830903</v>
      </c>
      <c r="J97" s="234"/>
    </row>
    <row r="98" spans="1:10" s="240" customFormat="1" ht="17.25" x14ac:dyDescent="0.3">
      <c r="A98" s="219">
        <v>3154634</v>
      </c>
      <c r="B98" s="219">
        <v>146797067</v>
      </c>
      <c r="C98" s="233" t="s">
        <v>387</v>
      </c>
      <c r="D98" s="219">
        <v>143642433</v>
      </c>
      <c r="E98" s="219">
        <v>0</v>
      </c>
      <c r="F98" s="232">
        <f t="shared" si="6"/>
        <v>3154634</v>
      </c>
      <c r="G98" s="232" t="b">
        <f t="shared" si="7"/>
        <v>1</v>
      </c>
      <c r="H98" s="230" t="s">
        <v>377</v>
      </c>
      <c r="I98" s="235">
        <f t="shared" si="8"/>
        <v>3154634</v>
      </c>
      <c r="J98" s="234"/>
    </row>
    <row r="99" spans="1:10" s="240" customFormat="1" ht="17.25" x14ac:dyDescent="0.3">
      <c r="A99" s="219">
        <v>99600438211</v>
      </c>
      <c r="B99" s="219">
        <v>99600438211</v>
      </c>
      <c r="C99" s="233" t="s">
        <v>386</v>
      </c>
      <c r="D99" s="219">
        <v>0</v>
      </c>
      <c r="E99" s="219">
        <v>0</v>
      </c>
      <c r="F99" s="232">
        <f t="shared" si="6"/>
        <v>99600438211</v>
      </c>
      <c r="G99" s="232" t="b">
        <f t="shared" si="7"/>
        <v>1</v>
      </c>
      <c r="H99" s="230" t="s">
        <v>377</v>
      </c>
      <c r="I99" s="235">
        <f t="shared" si="8"/>
        <v>99600438211</v>
      </c>
      <c r="J99" s="234"/>
    </row>
    <row r="100" spans="1:10" s="234" customFormat="1" ht="17.25" x14ac:dyDescent="0.3">
      <c r="A100" s="219">
        <v>9851553414</v>
      </c>
      <c r="B100" s="219">
        <v>17438764993</v>
      </c>
      <c r="C100" s="233" t="s">
        <v>385</v>
      </c>
      <c r="D100" s="219">
        <v>7587211579</v>
      </c>
      <c r="E100" s="219">
        <v>0</v>
      </c>
      <c r="F100" s="232">
        <f t="shared" ref="F100:F131" si="9">B100-D100</f>
        <v>9851553414</v>
      </c>
      <c r="G100" s="232" t="b">
        <f t="shared" ref="G100:G131" si="10">F100=I100</f>
        <v>1</v>
      </c>
      <c r="H100" s="230" t="s">
        <v>377</v>
      </c>
      <c r="I100" s="235">
        <f t="shared" ref="I100:I131" si="11">A100-E100</f>
        <v>9851553414</v>
      </c>
    </row>
    <row r="101" spans="1:10" s="240" customFormat="1" ht="17.25" x14ac:dyDescent="0.3">
      <c r="A101" s="219">
        <v>0</v>
      </c>
      <c r="B101" s="219">
        <v>0</v>
      </c>
      <c r="C101" s="233" t="s">
        <v>384</v>
      </c>
      <c r="D101" s="219">
        <v>1354319346</v>
      </c>
      <c r="E101" s="219">
        <v>1354319346</v>
      </c>
      <c r="F101" s="232">
        <f t="shared" si="9"/>
        <v>-1354319346</v>
      </c>
      <c r="G101" s="232" t="b">
        <f t="shared" si="10"/>
        <v>1</v>
      </c>
      <c r="H101" s="230" t="s">
        <v>377</v>
      </c>
      <c r="I101" s="235">
        <f t="shared" si="11"/>
        <v>-1354319346</v>
      </c>
      <c r="J101" s="234"/>
    </row>
    <row r="102" spans="1:10" s="240" customFormat="1" ht="17.25" x14ac:dyDescent="0.3">
      <c r="A102" s="219">
        <v>762877054</v>
      </c>
      <c r="B102" s="219">
        <v>762877054</v>
      </c>
      <c r="C102" s="233" t="s">
        <v>383</v>
      </c>
      <c r="D102" s="219">
        <v>0</v>
      </c>
      <c r="E102" s="219">
        <v>0</v>
      </c>
      <c r="F102" s="232">
        <f t="shared" si="9"/>
        <v>762877054</v>
      </c>
      <c r="G102" s="232" t="b">
        <f t="shared" si="10"/>
        <v>1</v>
      </c>
      <c r="H102" s="230" t="s">
        <v>377</v>
      </c>
      <c r="I102" s="235">
        <f t="shared" si="11"/>
        <v>762877054</v>
      </c>
      <c r="J102" s="234"/>
    </row>
    <row r="103" spans="1:10" s="240" customFormat="1" ht="17.25" x14ac:dyDescent="0.3">
      <c r="A103" s="219">
        <v>1095416912</v>
      </c>
      <c r="B103" s="219">
        <v>1095416912</v>
      </c>
      <c r="C103" s="233" t="s">
        <v>382</v>
      </c>
      <c r="D103" s="219">
        <v>0</v>
      </c>
      <c r="E103" s="219">
        <v>0</v>
      </c>
      <c r="F103" s="232">
        <f t="shared" si="9"/>
        <v>1095416912</v>
      </c>
      <c r="G103" s="232" t="b">
        <f t="shared" si="10"/>
        <v>1</v>
      </c>
      <c r="H103" s="230" t="s">
        <v>377</v>
      </c>
      <c r="I103" s="235">
        <f t="shared" si="11"/>
        <v>1095416912</v>
      </c>
      <c r="J103" s="234"/>
    </row>
    <row r="104" spans="1:10" s="240" customFormat="1" ht="17.25" x14ac:dyDescent="0.3">
      <c r="A104" s="219">
        <v>0</v>
      </c>
      <c r="B104" s="219">
        <v>33390221</v>
      </c>
      <c r="C104" s="233" t="s">
        <v>381</v>
      </c>
      <c r="D104" s="219">
        <v>76054115</v>
      </c>
      <c r="E104" s="219">
        <v>42663894</v>
      </c>
      <c r="F104" s="232">
        <f t="shared" si="9"/>
        <v>-42663894</v>
      </c>
      <c r="G104" s="232" t="b">
        <f t="shared" si="10"/>
        <v>1</v>
      </c>
      <c r="H104" s="230" t="s">
        <v>377</v>
      </c>
      <c r="I104" s="235">
        <f t="shared" si="11"/>
        <v>-42663894</v>
      </c>
      <c r="J104" s="234"/>
    </row>
    <row r="105" spans="1:10" s="240" customFormat="1" ht="17.25" x14ac:dyDescent="0.3">
      <c r="A105" s="219">
        <v>0</v>
      </c>
      <c r="B105" s="219">
        <v>0</v>
      </c>
      <c r="C105" s="233" t="s">
        <v>380</v>
      </c>
      <c r="D105" s="219">
        <v>1052753018</v>
      </c>
      <c r="E105" s="219">
        <v>1052753018</v>
      </c>
      <c r="F105" s="232">
        <f t="shared" si="9"/>
        <v>-1052753018</v>
      </c>
      <c r="G105" s="232" t="b">
        <f t="shared" si="10"/>
        <v>1</v>
      </c>
      <c r="H105" s="230" t="s">
        <v>377</v>
      </c>
      <c r="I105" s="235">
        <f t="shared" si="11"/>
        <v>-1052753018</v>
      </c>
      <c r="J105" s="234"/>
    </row>
    <row r="106" spans="1:10" s="240" customFormat="1" ht="17.25" x14ac:dyDescent="0.3">
      <c r="A106" s="219">
        <v>2851396500</v>
      </c>
      <c r="B106" s="219">
        <v>2851396500</v>
      </c>
      <c r="C106" s="233" t="s">
        <v>379</v>
      </c>
      <c r="D106" s="219">
        <v>0</v>
      </c>
      <c r="E106" s="219">
        <v>0</v>
      </c>
      <c r="F106" s="232">
        <f t="shared" si="9"/>
        <v>2851396500</v>
      </c>
      <c r="G106" s="232" t="b">
        <f t="shared" si="10"/>
        <v>1</v>
      </c>
      <c r="H106" s="230" t="s">
        <v>377</v>
      </c>
      <c r="I106" s="235">
        <f t="shared" si="11"/>
        <v>2851396500</v>
      </c>
      <c r="J106" s="234"/>
    </row>
    <row r="107" spans="1:10" s="240" customFormat="1" ht="17.25" x14ac:dyDescent="0.3">
      <c r="A107" s="219">
        <v>1241309884</v>
      </c>
      <c r="B107" s="219">
        <v>1241309884</v>
      </c>
      <c r="C107" s="233" t="s">
        <v>213</v>
      </c>
      <c r="D107" s="219">
        <v>0</v>
      </c>
      <c r="E107" s="219">
        <v>0</v>
      </c>
      <c r="F107" s="232">
        <f t="shared" si="9"/>
        <v>1241309884</v>
      </c>
      <c r="G107" s="232" t="b">
        <f t="shared" si="10"/>
        <v>1</v>
      </c>
      <c r="H107" s="230" t="s">
        <v>377</v>
      </c>
      <c r="I107" s="235">
        <f t="shared" si="11"/>
        <v>1241309884</v>
      </c>
      <c r="J107" s="234"/>
    </row>
    <row r="108" spans="1:10" s="240" customFormat="1" ht="17.25" x14ac:dyDescent="0.3">
      <c r="A108" s="219">
        <v>0</v>
      </c>
      <c r="B108" s="219">
        <v>0</v>
      </c>
      <c r="C108" s="233" t="s">
        <v>378</v>
      </c>
      <c r="D108" s="219">
        <v>1179746238</v>
      </c>
      <c r="E108" s="219">
        <v>1179746238</v>
      </c>
      <c r="F108" s="232">
        <f t="shared" si="9"/>
        <v>-1179746238</v>
      </c>
      <c r="G108" s="232" t="b">
        <f t="shared" si="10"/>
        <v>1</v>
      </c>
      <c r="H108" s="230" t="s">
        <v>377</v>
      </c>
      <c r="I108" s="235">
        <f t="shared" si="11"/>
        <v>-1179746238</v>
      </c>
      <c r="J108" s="234"/>
    </row>
    <row r="109" spans="1:10" s="240" customFormat="1" ht="15.75" customHeight="1" x14ac:dyDescent="0.3">
      <c r="A109" s="219">
        <v>17625886147</v>
      </c>
      <c r="B109" s="219">
        <v>22061374064</v>
      </c>
      <c r="C109" s="233" t="s">
        <v>214</v>
      </c>
      <c r="D109" s="219">
        <v>4435487917</v>
      </c>
      <c r="E109" s="219">
        <v>0</v>
      </c>
      <c r="F109" s="232">
        <f t="shared" si="9"/>
        <v>17625886147</v>
      </c>
      <c r="G109" s="232" t="b">
        <f t="shared" si="10"/>
        <v>1</v>
      </c>
      <c r="H109" s="230" t="s">
        <v>377</v>
      </c>
      <c r="I109" s="235">
        <f t="shared" si="11"/>
        <v>17625886147</v>
      </c>
      <c r="J109" s="234"/>
    </row>
    <row r="110" spans="1:10" s="240" customFormat="1" ht="17.25" hidden="1" x14ac:dyDescent="0.3">
      <c r="A110" s="219"/>
      <c r="B110" s="219"/>
      <c r="C110" s="233" t="s">
        <v>376</v>
      </c>
      <c r="D110" s="219"/>
      <c r="E110" s="219"/>
      <c r="F110" s="232">
        <f t="shared" si="9"/>
        <v>0</v>
      </c>
      <c r="G110" s="232" t="b">
        <f t="shared" si="10"/>
        <v>1</v>
      </c>
      <c r="H110" s="230" t="s">
        <v>366</v>
      </c>
      <c r="I110" s="235">
        <f t="shared" si="11"/>
        <v>0</v>
      </c>
      <c r="J110" s="234"/>
    </row>
    <row r="111" spans="1:10" ht="17.25" x14ac:dyDescent="0.3">
      <c r="A111" s="219">
        <v>0</v>
      </c>
      <c r="B111" s="219">
        <v>2748297786124</v>
      </c>
      <c r="C111" s="233" t="s">
        <v>215</v>
      </c>
      <c r="D111" s="219">
        <v>3066812366266</v>
      </c>
      <c r="E111" s="219">
        <v>318514580142</v>
      </c>
      <c r="F111" s="232">
        <f t="shared" si="9"/>
        <v>-318514580142</v>
      </c>
      <c r="G111" s="232" t="b">
        <f t="shared" si="10"/>
        <v>1</v>
      </c>
      <c r="H111" s="230" t="s">
        <v>366</v>
      </c>
      <c r="I111" s="235">
        <f t="shared" si="11"/>
        <v>-318514580142</v>
      </c>
      <c r="J111" s="234"/>
    </row>
    <row r="112" spans="1:10" s="240" customFormat="1" ht="17.25" x14ac:dyDescent="0.3">
      <c r="A112" s="219">
        <v>0</v>
      </c>
      <c r="B112" s="219">
        <v>3194736261526</v>
      </c>
      <c r="C112" s="233" t="s">
        <v>3</v>
      </c>
      <c r="D112" s="219">
        <v>3197223715069</v>
      </c>
      <c r="E112" s="219">
        <v>2487453543</v>
      </c>
      <c r="F112" s="232">
        <f t="shared" si="9"/>
        <v>-2487453543</v>
      </c>
      <c r="G112" s="232" t="b">
        <f t="shared" si="10"/>
        <v>1</v>
      </c>
      <c r="H112" s="230" t="s">
        <v>366</v>
      </c>
      <c r="I112" s="235">
        <f t="shared" si="11"/>
        <v>-2487453543</v>
      </c>
      <c r="J112" s="234"/>
    </row>
    <row r="113" spans="1:11" ht="17.25" x14ac:dyDescent="0.3">
      <c r="A113" s="219">
        <v>0</v>
      </c>
      <c r="B113" s="219">
        <v>652325321150</v>
      </c>
      <c r="C113" s="233" t="s">
        <v>4</v>
      </c>
      <c r="D113" s="219">
        <v>741890779899</v>
      </c>
      <c r="E113" s="219">
        <v>89565458749</v>
      </c>
      <c r="F113" s="232">
        <f t="shared" si="9"/>
        <v>-89565458749</v>
      </c>
      <c r="G113" s="232" t="b">
        <f t="shared" si="10"/>
        <v>1</v>
      </c>
      <c r="H113" s="230" t="s">
        <v>366</v>
      </c>
      <c r="I113" s="235">
        <f t="shared" si="11"/>
        <v>-89565458749</v>
      </c>
      <c r="J113" s="234"/>
    </row>
    <row r="114" spans="1:11" s="240" customFormat="1" ht="17.25" x14ac:dyDescent="0.3">
      <c r="A114" s="219">
        <v>0</v>
      </c>
      <c r="B114" s="219">
        <v>1265290234519</v>
      </c>
      <c r="C114" s="233" t="s">
        <v>216</v>
      </c>
      <c r="D114" s="219">
        <v>1481334682960</v>
      </c>
      <c r="E114" s="219">
        <v>216044448441</v>
      </c>
      <c r="F114" s="232">
        <f t="shared" si="9"/>
        <v>-216044448441</v>
      </c>
      <c r="G114" s="232" t="b">
        <f t="shared" si="10"/>
        <v>1</v>
      </c>
      <c r="H114" s="230" t="s">
        <v>366</v>
      </c>
      <c r="I114" s="235">
        <f t="shared" si="11"/>
        <v>-216044448441</v>
      </c>
      <c r="J114" s="234"/>
    </row>
    <row r="115" spans="1:11" s="240" customFormat="1" ht="17.25" x14ac:dyDescent="0.3">
      <c r="A115" s="219">
        <v>0</v>
      </c>
      <c r="B115" s="219">
        <v>198706839332</v>
      </c>
      <c r="C115" s="233" t="s">
        <v>28</v>
      </c>
      <c r="D115" s="219">
        <v>212120242980</v>
      </c>
      <c r="E115" s="219">
        <v>13413403648</v>
      </c>
      <c r="F115" s="232">
        <f t="shared" si="9"/>
        <v>-13413403648</v>
      </c>
      <c r="G115" s="232" t="b">
        <f t="shared" si="10"/>
        <v>1</v>
      </c>
      <c r="H115" s="230" t="s">
        <v>366</v>
      </c>
      <c r="I115" s="235">
        <f t="shared" si="11"/>
        <v>-13413403648</v>
      </c>
      <c r="J115" s="234"/>
    </row>
    <row r="116" spans="1:11" s="240" customFormat="1" ht="17.25" x14ac:dyDescent="0.3">
      <c r="A116" s="219">
        <v>0</v>
      </c>
      <c r="B116" s="219">
        <v>440000000000</v>
      </c>
      <c r="C116" s="233" t="s">
        <v>217</v>
      </c>
      <c r="D116" s="219">
        <v>1083000000000</v>
      </c>
      <c r="E116" s="219">
        <v>643000000000</v>
      </c>
      <c r="F116" s="232">
        <f t="shared" si="9"/>
        <v>-643000000000</v>
      </c>
      <c r="G116" s="232" t="b">
        <f t="shared" si="10"/>
        <v>1</v>
      </c>
      <c r="H116" s="230" t="s">
        <v>366</v>
      </c>
      <c r="I116" s="235">
        <f t="shared" si="11"/>
        <v>-643000000000</v>
      </c>
      <c r="J116" s="234"/>
    </row>
    <row r="117" spans="1:11" s="240" customFormat="1" ht="17.25" x14ac:dyDescent="0.3">
      <c r="A117" s="219">
        <v>0</v>
      </c>
      <c r="B117" s="219">
        <v>78107247393</v>
      </c>
      <c r="C117" s="233" t="s">
        <v>5</v>
      </c>
      <c r="D117" s="219">
        <v>87140087881</v>
      </c>
      <c r="E117" s="219">
        <v>9032840488</v>
      </c>
      <c r="F117" s="232">
        <f t="shared" si="9"/>
        <v>-9032840488</v>
      </c>
      <c r="G117" s="232" t="b">
        <f t="shared" si="10"/>
        <v>1</v>
      </c>
      <c r="H117" s="230" t="s">
        <v>366</v>
      </c>
      <c r="I117" s="235">
        <f t="shared" si="11"/>
        <v>-9032840488</v>
      </c>
      <c r="J117" s="234"/>
    </row>
    <row r="118" spans="1:11" s="240" customFormat="1" ht="17.25" x14ac:dyDescent="0.3">
      <c r="A118" s="219">
        <v>0</v>
      </c>
      <c r="B118" s="219">
        <v>3516647255</v>
      </c>
      <c r="C118" s="233" t="s">
        <v>26</v>
      </c>
      <c r="D118" s="219">
        <v>5545357076</v>
      </c>
      <c r="E118" s="219">
        <v>2028709821</v>
      </c>
      <c r="F118" s="232">
        <f t="shared" si="9"/>
        <v>-2028709821</v>
      </c>
      <c r="G118" s="232" t="b">
        <f t="shared" si="10"/>
        <v>1</v>
      </c>
      <c r="H118" s="230" t="s">
        <v>366</v>
      </c>
      <c r="I118" s="235">
        <f t="shared" si="11"/>
        <v>-2028709821</v>
      </c>
      <c r="J118" s="234"/>
    </row>
    <row r="119" spans="1:11" s="240" customFormat="1" ht="17.25" x14ac:dyDescent="0.3">
      <c r="A119" s="219">
        <v>0</v>
      </c>
      <c r="B119" s="219">
        <v>440174102146</v>
      </c>
      <c r="C119" s="233" t="s">
        <v>375</v>
      </c>
      <c r="D119" s="219">
        <v>459055839406</v>
      </c>
      <c r="E119" s="219">
        <v>18881737260</v>
      </c>
      <c r="F119" s="232">
        <f t="shared" si="9"/>
        <v>-18881737260</v>
      </c>
      <c r="G119" s="232" t="b">
        <f t="shared" si="10"/>
        <v>1</v>
      </c>
      <c r="H119" s="230" t="s">
        <v>366</v>
      </c>
      <c r="I119" s="235">
        <f t="shared" si="11"/>
        <v>-18881737260</v>
      </c>
      <c r="J119" s="234"/>
    </row>
    <row r="120" spans="1:11" s="240" customFormat="1" ht="17.25" x14ac:dyDescent="0.3">
      <c r="A120" s="219">
        <v>0</v>
      </c>
      <c r="B120" s="219">
        <v>39470260068</v>
      </c>
      <c r="C120" s="233" t="s">
        <v>374</v>
      </c>
      <c r="D120" s="219">
        <v>76534373822</v>
      </c>
      <c r="E120" s="219">
        <v>37064113754</v>
      </c>
      <c r="F120" s="232">
        <f t="shared" si="9"/>
        <v>-37064113754</v>
      </c>
      <c r="G120" s="232" t="b">
        <f t="shared" si="10"/>
        <v>1</v>
      </c>
      <c r="H120" s="230" t="s">
        <v>366</v>
      </c>
      <c r="I120" s="235">
        <f t="shared" si="11"/>
        <v>-37064113754</v>
      </c>
      <c r="J120" s="234"/>
    </row>
    <row r="121" spans="1:11" s="240" customFormat="1" ht="18" customHeight="1" x14ac:dyDescent="0.3">
      <c r="A121" s="219">
        <v>0</v>
      </c>
      <c r="B121" s="219">
        <v>643000000000</v>
      </c>
      <c r="C121" s="233" t="s">
        <v>2</v>
      </c>
      <c r="D121" s="219">
        <v>4038000000000</v>
      </c>
      <c r="E121" s="219">
        <v>3395000000000</v>
      </c>
      <c r="F121" s="232">
        <f t="shared" si="9"/>
        <v>-3395000000000</v>
      </c>
      <c r="G121" s="232" t="b">
        <f t="shared" si="10"/>
        <v>1</v>
      </c>
      <c r="H121" s="230" t="s">
        <v>366</v>
      </c>
      <c r="I121" s="235">
        <f t="shared" si="11"/>
        <v>-3395000000000</v>
      </c>
      <c r="J121" s="234"/>
    </row>
    <row r="122" spans="1:11" s="240" customFormat="1" ht="15.75" customHeight="1" x14ac:dyDescent="0.3">
      <c r="A122" s="219">
        <v>558027956</v>
      </c>
      <c r="B122" s="219">
        <v>756399416</v>
      </c>
      <c r="C122" s="233" t="s">
        <v>27</v>
      </c>
      <c r="D122" s="219">
        <v>198371460</v>
      </c>
      <c r="E122" s="219">
        <v>0</v>
      </c>
      <c r="F122" s="232">
        <f t="shared" si="9"/>
        <v>558027956</v>
      </c>
      <c r="G122" s="232" t="b">
        <f t="shared" si="10"/>
        <v>1</v>
      </c>
      <c r="H122" s="230" t="s">
        <v>366</v>
      </c>
      <c r="I122" s="235">
        <f t="shared" si="11"/>
        <v>558027956</v>
      </c>
      <c r="J122" s="234"/>
    </row>
    <row r="123" spans="1:11" s="240" customFormat="1" ht="17.25" hidden="1" x14ac:dyDescent="0.3">
      <c r="A123" s="219"/>
      <c r="B123" s="219"/>
      <c r="C123" s="241" t="s">
        <v>218</v>
      </c>
      <c r="D123" s="219"/>
      <c r="E123" s="219"/>
      <c r="F123" s="232">
        <f t="shared" si="9"/>
        <v>0</v>
      </c>
      <c r="G123" s="232" t="b">
        <f t="shared" si="10"/>
        <v>1</v>
      </c>
      <c r="H123" s="230" t="s">
        <v>366</v>
      </c>
      <c r="I123" s="235">
        <f t="shared" si="11"/>
        <v>0</v>
      </c>
      <c r="J123" s="234"/>
    </row>
    <row r="124" spans="1:11" s="240" customFormat="1" ht="17.25" x14ac:dyDescent="0.3">
      <c r="A124" s="219">
        <v>0</v>
      </c>
      <c r="B124" s="219">
        <v>0</v>
      </c>
      <c r="C124" s="233" t="s">
        <v>373</v>
      </c>
      <c r="D124" s="219">
        <v>150000000000</v>
      </c>
      <c r="E124" s="219">
        <v>150000000000</v>
      </c>
      <c r="F124" s="232">
        <f t="shared" si="9"/>
        <v>-150000000000</v>
      </c>
      <c r="G124" s="232" t="b">
        <f t="shared" si="10"/>
        <v>1</v>
      </c>
      <c r="H124" s="230" t="s">
        <v>366</v>
      </c>
      <c r="I124" s="235">
        <f t="shared" si="11"/>
        <v>-150000000000</v>
      </c>
      <c r="J124" s="234"/>
    </row>
    <row r="125" spans="1:11" ht="16.5" customHeight="1" x14ac:dyDescent="0.3">
      <c r="A125" s="219">
        <v>0</v>
      </c>
      <c r="B125" s="219">
        <v>6047406853</v>
      </c>
      <c r="C125" s="233" t="s">
        <v>219</v>
      </c>
      <c r="D125" s="219">
        <v>6177211653</v>
      </c>
      <c r="E125" s="219">
        <v>129804800</v>
      </c>
      <c r="F125" s="232">
        <f t="shared" si="9"/>
        <v>-129804800</v>
      </c>
      <c r="G125" s="232" t="b">
        <f t="shared" si="10"/>
        <v>1</v>
      </c>
      <c r="H125" s="230" t="s">
        <v>366</v>
      </c>
      <c r="I125" s="235">
        <f t="shared" si="11"/>
        <v>-129804800</v>
      </c>
      <c r="J125" s="234"/>
      <c r="K125" s="238"/>
    </row>
    <row r="126" spans="1:11" ht="17.25" hidden="1" x14ac:dyDescent="0.3">
      <c r="A126" s="219"/>
      <c r="B126" s="219"/>
      <c r="C126" s="241" t="s">
        <v>220</v>
      </c>
      <c r="D126" s="219"/>
      <c r="E126" s="219"/>
      <c r="F126" s="232">
        <f t="shared" si="9"/>
        <v>0</v>
      </c>
      <c r="G126" s="232" t="b">
        <f t="shared" si="10"/>
        <v>1</v>
      </c>
      <c r="H126" s="230" t="s">
        <v>366</v>
      </c>
      <c r="I126" s="235">
        <f t="shared" si="11"/>
        <v>0</v>
      </c>
      <c r="J126" s="234"/>
      <c r="K126" s="238"/>
    </row>
    <row r="127" spans="1:11" s="240" customFormat="1" ht="17.25" hidden="1" x14ac:dyDescent="0.3">
      <c r="A127" s="219"/>
      <c r="B127" s="219"/>
      <c r="C127" s="241" t="s">
        <v>23</v>
      </c>
      <c r="D127" s="219"/>
      <c r="E127" s="219"/>
      <c r="F127" s="232">
        <f t="shared" si="9"/>
        <v>0</v>
      </c>
      <c r="G127" s="232" t="b">
        <f t="shared" si="10"/>
        <v>1</v>
      </c>
      <c r="H127" s="230" t="s">
        <v>366</v>
      </c>
      <c r="I127" s="235">
        <f t="shared" si="11"/>
        <v>0</v>
      </c>
      <c r="J127" s="234"/>
    </row>
    <row r="128" spans="1:11" s="240" customFormat="1" ht="17.25" x14ac:dyDescent="0.3">
      <c r="A128" s="219">
        <v>0</v>
      </c>
      <c r="B128" s="219">
        <v>1449925717590</v>
      </c>
      <c r="C128" s="233" t="s">
        <v>221</v>
      </c>
      <c r="D128" s="219">
        <v>2870954972289</v>
      </c>
      <c r="E128" s="219">
        <v>1421029254699</v>
      </c>
      <c r="F128" s="232">
        <f t="shared" si="9"/>
        <v>-1421029254699</v>
      </c>
      <c r="G128" s="232" t="b">
        <f t="shared" si="10"/>
        <v>1</v>
      </c>
      <c r="H128" s="230" t="s">
        <v>366</v>
      </c>
      <c r="I128" s="235">
        <f t="shared" si="11"/>
        <v>-1421029254699</v>
      </c>
      <c r="J128" s="234"/>
    </row>
    <row r="129" spans="1:11" s="240" customFormat="1" ht="17.25" x14ac:dyDescent="0.3">
      <c r="A129" s="219">
        <v>254005070</v>
      </c>
      <c r="B129" s="219">
        <v>265587070</v>
      </c>
      <c r="C129" s="233" t="s">
        <v>25</v>
      </c>
      <c r="D129" s="219">
        <v>11582000</v>
      </c>
      <c r="E129" s="219">
        <v>0</v>
      </c>
      <c r="F129" s="232">
        <f t="shared" si="9"/>
        <v>254005070</v>
      </c>
      <c r="G129" s="232" t="b">
        <f t="shared" si="10"/>
        <v>1</v>
      </c>
      <c r="H129" s="230" t="s">
        <v>366</v>
      </c>
      <c r="I129" s="235">
        <f t="shared" si="11"/>
        <v>254005070</v>
      </c>
      <c r="J129" s="234"/>
    </row>
    <row r="130" spans="1:11" s="240" customFormat="1" ht="17.25" x14ac:dyDescent="0.3">
      <c r="A130" s="219">
        <v>0</v>
      </c>
      <c r="B130" s="219">
        <v>2230582569</v>
      </c>
      <c r="C130" s="233" t="s">
        <v>24</v>
      </c>
      <c r="D130" s="219">
        <v>12104658786</v>
      </c>
      <c r="E130" s="219">
        <v>9874076217</v>
      </c>
      <c r="F130" s="232">
        <f t="shared" si="9"/>
        <v>-9874076217</v>
      </c>
      <c r="G130" s="232" t="b">
        <f t="shared" si="10"/>
        <v>1</v>
      </c>
      <c r="H130" s="230" t="s">
        <v>366</v>
      </c>
      <c r="I130" s="235">
        <f t="shared" si="11"/>
        <v>-9874076217</v>
      </c>
      <c r="J130" s="234"/>
    </row>
    <row r="131" spans="1:11" s="240" customFormat="1" ht="17.25" x14ac:dyDescent="0.3">
      <c r="A131" s="219">
        <v>0</v>
      </c>
      <c r="B131" s="219">
        <v>111413865</v>
      </c>
      <c r="C131" s="233" t="s">
        <v>372</v>
      </c>
      <c r="D131" s="219">
        <v>962276257292</v>
      </c>
      <c r="E131" s="219">
        <v>962164843427</v>
      </c>
      <c r="F131" s="232">
        <f t="shared" si="9"/>
        <v>-962164843427</v>
      </c>
      <c r="G131" s="232" t="b">
        <f t="shared" si="10"/>
        <v>1</v>
      </c>
      <c r="H131" s="230" t="s">
        <v>366</v>
      </c>
      <c r="I131" s="235">
        <f t="shared" si="11"/>
        <v>-962164843427</v>
      </c>
      <c r="J131" s="234"/>
    </row>
    <row r="132" spans="1:11" ht="17.25" x14ac:dyDescent="0.3">
      <c r="A132" s="219">
        <v>0</v>
      </c>
      <c r="B132" s="219">
        <v>102430530384</v>
      </c>
      <c r="C132" s="233" t="s">
        <v>222</v>
      </c>
      <c r="D132" s="219">
        <v>166985521794</v>
      </c>
      <c r="E132" s="219">
        <v>64554991410</v>
      </c>
      <c r="F132" s="232">
        <f t="shared" ref="F132:F163" si="12">B132-D132</f>
        <v>-64554991410</v>
      </c>
      <c r="G132" s="232" t="b">
        <f t="shared" ref="G132:G163" si="13">F132=I132</f>
        <v>1</v>
      </c>
      <c r="H132" s="230" t="s">
        <v>366</v>
      </c>
      <c r="I132" s="235">
        <f t="shared" ref="I132:I163" si="14">A132-E132</f>
        <v>-64554991410</v>
      </c>
      <c r="J132" s="234"/>
      <c r="K132" s="238"/>
    </row>
    <row r="133" spans="1:11" ht="17.25" x14ac:dyDescent="0.3">
      <c r="A133" s="219">
        <v>0</v>
      </c>
      <c r="B133" s="219">
        <v>37904000000</v>
      </c>
      <c r="C133" s="233" t="s">
        <v>223</v>
      </c>
      <c r="D133" s="219">
        <v>24211348187754</v>
      </c>
      <c r="E133" s="219">
        <v>24173444187754</v>
      </c>
      <c r="F133" s="232">
        <f t="shared" si="12"/>
        <v>-24173444187754</v>
      </c>
      <c r="G133" s="232" t="b">
        <f t="shared" si="13"/>
        <v>1</v>
      </c>
      <c r="H133" s="230" t="s">
        <v>366</v>
      </c>
      <c r="I133" s="235">
        <f t="shared" si="14"/>
        <v>-24173444187754</v>
      </c>
      <c r="J133" s="234"/>
      <c r="K133" s="238"/>
    </row>
    <row r="134" spans="1:11" ht="17.25" x14ac:dyDescent="0.3">
      <c r="A134" s="219">
        <v>0</v>
      </c>
      <c r="B134" s="219">
        <v>0</v>
      </c>
      <c r="C134" s="233" t="s">
        <v>224</v>
      </c>
      <c r="D134" s="219">
        <v>1806666340</v>
      </c>
      <c r="E134" s="219">
        <v>1806666340</v>
      </c>
      <c r="F134" s="232">
        <f t="shared" si="12"/>
        <v>-1806666340</v>
      </c>
      <c r="G134" s="232" t="b">
        <f t="shared" si="13"/>
        <v>1</v>
      </c>
      <c r="H134" s="230" t="s">
        <v>366</v>
      </c>
      <c r="I134" s="235">
        <f t="shared" si="14"/>
        <v>-1806666340</v>
      </c>
      <c r="J134" s="234"/>
      <c r="K134" s="238"/>
    </row>
    <row r="135" spans="1:11" ht="17.25" x14ac:dyDescent="0.3">
      <c r="A135" s="219">
        <v>0</v>
      </c>
      <c r="B135" s="219">
        <v>0</v>
      </c>
      <c r="C135" s="233" t="s">
        <v>225</v>
      </c>
      <c r="D135" s="219">
        <v>147142120</v>
      </c>
      <c r="E135" s="219">
        <v>147142120</v>
      </c>
      <c r="F135" s="232">
        <f t="shared" si="12"/>
        <v>-147142120</v>
      </c>
      <c r="G135" s="232" t="b">
        <f t="shared" si="13"/>
        <v>1</v>
      </c>
      <c r="H135" s="230" t="s">
        <v>366</v>
      </c>
      <c r="I135" s="235">
        <f t="shared" si="14"/>
        <v>-147142120</v>
      </c>
      <c r="J135" s="234"/>
      <c r="K135" s="238"/>
    </row>
    <row r="136" spans="1:11" ht="17.25" x14ac:dyDescent="0.3">
      <c r="A136" s="219">
        <v>0</v>
      </c>
      <c r="B136" s="219">
        <v>370897236</v>
      </c>
      <c r="C136" s="233" t="s">
        <v>371</v>
      </c>
      <c r="D136" s="219">
        <v>3203421826251</v>
      </c>
      <c r="E136" s="219">
        <v>3203050929015</v>
      </c>
      <c r="F136" s="232">
        <f t="shared" si="12"/>
        <v>-3203050929015</v>
      </c>
      <c r="G136" s="232" t="b">
        <f t="shared" si="13"/>
        <v>1</v>
      </c>
      <c r="H136" s="230" t="s">
        <v>366</v>
      </c>
      <c r="I136" s="235">
        <f t="shared" si="14"/>
        <v>-3203050929015</v>
      </c>
      <c r="J136" s="234"/>
      <c r="K136" s="238"/>
    </row>
    <row r="137" spans="1:11" ht="17.25" x14ac:dyDescent="0.3">
      <c r="A137" s="219">
        <v>0</v>
      </c>
      <c r="B137" s="219">
        <v>0</v>
      </c>
      <c r="C137" s="233" t="s">
        <v>257</v>
      </c>
      <c r="D137" s="219">
        <v>1041606</v>
      </c>
      <c r="E137" s="219">
        <v>1041606</v>
      </c>
      <c r="F137" s="232">
        <f t="shared" si="12"/>
        <v>-1041606</v>
      </c>
      <c r="G137" s="232" t="b">
        <f t="shared" si="13"/>
        <v>1</v>
      </c>
      <c r="H137" s="230" t="s">
        <v>366</v>
      </c>
      <c r="I137" s="235">
        <f t="shared" si="14"/>
        <v>-1041606</v>
      </c>
      <c r="J137" s="234"/>
      <c r="K137" s="238"/>
    </row>
    <row r="138" spans="1:11" ht="17.25" x14ac:dyDescent="0.3">
      <c r="A138" s="219">
        <v>18192126168820</v>
      </c>
      <c r="B138" s="219">
        <v>18192126168820</v>
      </c>
      <c r="C138" s="233" t="s">
        <v>370</v>
      </c>
      <c r="D138" s="219">
        <v>0</v>
      </c>
      <c r="E138" s="219">
        <v>0</v>
      </c>
      <c r="F138" s="232">
        <f t="shared" si="12"/>
        <v>18192126168820</v>
      </c>
      <c r="G138" s="232" t="b">
        <f t="shared" si="13"/>
        <v>1</v>
      </c>
      <c r="H138" s="230" t="s">
        <v>366</v>
      </c>
      <c r="I138" s="235">
        <f t="shared" si="14"/>
        <v>18192126168820</v>
      </c>
      <c r="J138" s="234"/>
      <c r="K138" s="238"/>
    </row>
    <row r="139" spans="1:11" ht="17.25" x14ac:dyDescent="0.3">
      <c r="A139" s="219">
        <v>0</v>
      </c>
      <c r="B139" s="219">
        <v>0</v>
      </c>
      <c r="C139" s="239" t="s">
        <v>369</v>
      </c>
      <c r="D139" s="219">
        <v>337110</v>
      </c>
      <c r="E139" s="219">
        <v>337110</v>
      </c>
      <c r="F139" s="232">
        <f t="shared" si="12"/>
        <v>-337110</v>
      </c>
      <c r="G139" s="232" t="b">
        <f t="shared" si="13"/>
        <v>1</v>
      </c>
      <c r="H139" s="230" t="s">
        <v>366</v>
      </c>
      <c r="I139" s="235">
        <f t="shared" si="14"/>
        <v>-337110</v>
      </c>
      <c r="J139" s="234"/>
      <c r="K139" s="238"/>
    </row>
    <row r="140" spans="1:11" ht="17.25" x14ac:dyDescent="0.3">
      <c r="A140" s="219">
        <v>5927683908</v>
      </c>
      <c r="B140" s="219">
        <v>5927683908</v>
      </c>
      <c r="C140" s="239" t="s">
        <v>368</v>
      </c>
      <c r="D140" s="219">
        <v>0</v>
      </c>
      <c r="E140" s="219">
        <v>0</v>
      </c>
      <c r="F140" s="232">
        <f t="shared" si="12"/>
        <v>5927683908</v>
      </c>
      <c r="G140" s="232" t="b">
        <f t="shared" si="13"/>
        <v>1</v>
      </c>
      <c r="H140" s="230" t="s">
        <v>366</v>
      </c>
      <c r="I140" s="235">
        <f t="shared" si="14"/>
        <v>5927683908</v>
      </c>
      <c r="J140" s="234"/>
      <c r="K140" s="238"/>
    </row>
    <row r="141" spans="1:11" ht="17.25" x14ac:dyDescent="0.3">
      <c r="A141" s="219">
        <v>723650556758</v>
      </c>
      <c r="B141" s="219">
        <v>6703953401011</v>
      </c>
      <c r="C141" s="239" t="s">
        <v>367</v>
      </c>
      <c r="D141" s="219">
        <v>5980302844253</v>
      </c>
      <c r="E141" s="219">
        <v>0</v>
      </c>
      <c r="F141" s="232">
        <f t="shared" si="12"/>
        <v>723650556758</v>
      </c>
      <c r="G141" s="232" t="b">
        <f t="shared" si="13"/>
        <v>1</v>
      </c>
      <c r="H141" s="230" t="s">
        <v>366</v>
      </c>
      <c r="I141" s="235">
        <f t="shared" si="14"/>
        <v>723650556758</v>
      </c>
      <c r="J141" s="234"/>
      <c r="K141" s="238"/>
    </row>
    <row r="142" spans="1:11" s="230" customFormat="1" ht="17.25" x14ac:dyDescent="0.3">
      <c r="A142" s="219">
        <v>0</v>
      </c>
      <c r="B142" s="219">
        <v>120414861337</v>
      </c>
      <c r="C142" s="233" t="s">
        <v>226</v>
      </c>
      <c r="D142" s="219">
        <v>1698780052896</v>
      </c>
      <c r="E142" s="219">
        <v>1578365191559</v>
      </c>
      <c r="F142" s="232">
        <f t="shared" si="12"/>
        <v>-1578365191559</v>
      </c>
      <c r="G142" s="232" t="b">
        <f t="shared" si="13"/>
        <v>1</v>
      </c>
      <c r="H142" s="230" t="s">
        <v>335</v>
      </c>
      <c r="I142" s="235">
        <f t="shared" si="14"/>
        <v>-1578365191559</v>
      </c>
      <c r="J142" s="234"/>
    </row>
    <row r="143" spans="1:11" s="230" customFormat="1" ht="17.25" x14ac:dyDescent="0.3">
      <c r="A143" s="219">
        <v>0</v>
      </c>
      <c r="B143" s="219">
        <v>14751686094</v>
      </c>
      <c r="C143" s="233" t="s">
        <v>227</v>
      </c>
      <c r="D143" s="219">
        <v>208668747938</v>
      </c>
      <c r="E143" s="219">
        <v>193917061844</v>
      </c>
      <c r="F143" s="232">
        <f t="shared" si="12"/>
        <v>-193917061844</v>
      </c>
      <c r="G143" s="232" t="b">
        <f t="shared" si="13"/>
        <v>1</v>
      </c>
      <c r="H143" s="230" t="s">
        <v>335</v>
      </c>
      <c r="I143" s="235">
        <f t="shared" si="14"/>
        <v>-193917061844</v>
      </c>
      <c r="J143" s="234"/>
    </row>
    <row r="144" spans="1:11" s="230" customFormat="1" ht="17.25" x14ac:dyDescent="0.3">
      <c r="A144" s="219">
        <v>0</v>
      </c>
      <c r="B144" s="219">
        <v>35875150103</v>
      </c>
      <c r="C144" s="233" t="s">
        <v>228</v>
      </c>
      <c r="D144" s="219">
        <v>152117399848</v>
      </c>
      <c r="E144" s="219">
        <v>116242249745</v>
      </c>
      <c r="F144" s="232">
        <f t="shared" si="12"/>
        <v>-116242249745</v>
      </c>
      <c r="G144" s="232" t="b">
        <f t="shared" si="13"/>
        <v>1</v>
      </c>
      <c r="H144" s="230" t="s">
        <v>335</v>
      </c>
      <c r="I144" s="235">
        <f t="shared" si="14"/>
        <v>-116242249745</v>
      </c>
      <c r="J144" s="234"/>
    </row>
    <row r="145" spans="1:10" s="230" customFormat="1" ht="17.25" x14ac:dyDescent="0.3">
      <c r="A145" s="219">
        <v>0</v>
      </c>
      <c r="B145" s="219">
        <v>102841763234</v>
      </c>
      <c r="C145" s="233" t="s">
        <v>365</v>
      </c>
      <c r="D145" s="219">
        <v>282929566494</v>
      </c>
      <c r="E145" s="219">
        <v>180087803260</v>
      </c>
      <c r="F145" s="232">
        <f t="shared" si="12"/>
        <v>-180087803260</v>
      </c>
      <c r="G145" s="232" t="b">
        <f t="shared" si="13"/>
        <v>1</v>
      </c>
      <c r="H145" s="230" t="s">
        <v>335</v>
      </c>
      <c r="I145" s="235">
        <f t="shared" si="14"/>
        <v>-180087803260</v>
      </c>
      <c r="J145" s="234"/>
    </row>
    <row r="146" spans="1:10" ht="17.25" x14ac:dyDescent="0.3">
      <c r="A146" s="219"/>
      <c r="B146" s="219"/>
      <c r="C146" s="233" t="s">
        <v>364</v>
      </c>
      <c r="D146" s="219"/>
      <c r="E146" s="219"/>
      <c r="F146" s="232">
        <f t="shared" si="12"/>
        <v>0</v>
      </c>
      <c r="G146" s="232" t="b">
        <f t="shared" si="13"/>
        <v>1</v>
      </c>
      <c r="H146" s="230" t="s">
        <v>326</v>
      </c>
      <c r="I146" s="235">
        <f t="shared" si="14"/>
        <v>0</v>
      </c>
      <c r="J146" s="234"/>
    </row>
    <row r="147" spans="1:10" ht="18.75" customHeight="1" x14ac:dyDescent="0.3">
      <c r="A147" s="219">
        <v>997597999266</v>
      </c>
      <c r="B147" s="219">
        <v>1458211265138</v>
      </c>
      <c r="C147" s="233" t="s">
        <v>363</v>
      </c>
      <c r="D147" s="219">
        <v>460613265872</v>
      </c>
      <c r="E147" s="219">
        <v>0</v>
      </c>
      <c r="F147" s="232">
        <f t="shared" si="12"/>
        <v>997597999266</v>
      </c>
      <c r="G147" s="232" t="b">
        <f t="shared" si="13"/>
        <v>1</v>
      </c>
      <c r="H147" s="230" t="s">
        <v>326</v>
      </c>
      <c r="I147" s="235">
        <f t="shared" si="14"/>
        <v>997597999266</v>
      </c>
      <c r="J147" s="234"/>
    </row>
    <row r="148" spans="1:10" ht="18.75" customHeight="1" x14ac:dyDescent="0.3">
      <c r="A148" s="219">
        <v>131387934140</v>
      </c>
      <c r="B148" s="219">
        <v>246671128700</v>
      </c>
      <c r="C148" s="233" t="s">
        <v>350</v>
      </c>
      <c r="D148" s="219">
        <v>115283194560</v>
      </c>
      <c r="E148" s="219">
        <v>0</v>
      </c>
      <c r="F148" s="232">
        <f t="shared" si="12"/>
        <v>131387934140</v>
      </c>
      <c r="G148" s="232" t="b">
        <f t="shared" si="13"/>
        <v>1</v>
      </c>
      <c r="H148" s="230" t="s">
        <v>326</v>
      </c>
      <c r="I148" s="235">
        <f t="shared" si="14"/>
        <v>131387934140</v>
      </c>
      <c r="J148" s="234"/>
    </row>
    <row r="149" spans="1:10" ht="17.25" x14ac:dyDescent="0.3">
      <c r="A149" s="219">
        <v>210353663980</v>
      </c>
      <c r="B149" s="219">
        <v>344363140120</v>
      </c>
      <c r="C149" s="233" t="s">
        <v>230</v>
      </c>
      <c r="D149" s="219">
        <v>134009476140</v>
      </c>
      <c r="E149" s="219">
        <v>0</v>
      </c>
      <c r="F149" s="232">
        <f t="shared" si="12"/>
        <v>210353663980</v>
      </c>
      <c r="G149" s="232" t="b">
        <f t="shared" si="13"/>
        <v>1</v>
      </c>
      <c r="H149" s="230" t="s">
        <v>326</v>
      </c>
      <c r="I149" s="235">
        <f t="shared" si="14"/>
        <v>210353663980</v>
      </c>
      <c r="J149" s="234"/>
    </row>
    <row r="150" spans="1:10" ht="17.25" x14ac:dyDescent="0.3">
      <c r="A150" s="219">
        <v>168192205387</v>
      </c>
      <c r="B150" s="219">
        <v>276642282435</v>
      </c>
      <c r="C150" s="233" t="s">
        <v>231</v>
      </c>
      <c r="D150" s="219">
        <v>108450077048</v>
      </c>
      <c r="E150" s="219">
        <v>0</v>
      </c>
      <c r="F150" s="232">
        <f t="shared" si="12"/>
        <v>168192205387</v>
      </c>
      <c r="G150" s="232" t="b">
        <f t="shared" si="13"/>
        <v>1</v>
      </c>
      <c r="H150" s="230" t="s">
        <v>326</v>
      </c>
      <c r="I150" s="235">
        <f t="shared" si="14"/>
        <v>168192205387</v>
      </c>
      <c r="J150" s="234"/>
    </row>
    <row r="151" spans="1:10" ht="17.25" x14ac:dyDescent="0.3">
      <c r="A151" s="219">
        <v>591416117</v>
      </c>
      <c r="B151" s="219">
        <v>801680454</v>
      </c>
      <c r="C151" s="233" t="s">
        <v>232</v>
      </c>
      <c r="D151" s="219">
        <v>210264337</v>
      </c>
      <c r="E151" s="219">
        <v>0</v>
      </c>
      <c r="F151" s="232">
        <f t="shared" si="12"/>
        <v>591416117</v>
      </c>
      <c r="G151" s="232" t="b">
        <f t="shared" si="13"/>
        <v>1</v>
      </c>
      <c r="H151" s="230" t="s">
        <v>326</v>
      </c>
      <c r="I151" s="235">
        <f t="shared" si="14"/>
        <v>591416117</v>
      </c>
      <c r="J151" s="234"/>
    </row>
    <row r="152" spans="1:10" ht="17.25" x14ac:dyDescent="0.3">
      <c r="A152" s="219">
        <v>264169534539</v>
      </c>
      <c r="B152" s="219">
        <v>286048985873</v>
      </c>
      <c r="C152" s="233" t="s">
        <v>233</v>
      </c>
      <c r="D152" s="219">
        <v>21879451334</v>
      </c>
      <c r="E152" s="219">
        <v>0</v>
      </c>
      <c r="F152" s="232">
        <f t="shared" si="12"/>
        <v>264169534539</v>
      </c>
      <c r="G152" s="232" t="b">
        <f t="shared" si="13"/>
        <v>1</v>
      </c>
      <c r="H152" s="230" t="s">
        <v>326</v>
      </c>
      <c r="I152" s="235">
        <f t="shared" si="14"/>
        <v>264169534539</v>
      </c>
      <c r="J152" s="234"/>
    </row>
    <row r="153" spans="1:10" ht="17.25" x14ac:dyDescent="0.3">
      <c r="A153" s="219">
        <v>13899481677</v>
      </c>
      <c r="B153" s="219">
        <v>22243196280</v>
      </c>
      <c r="C153" s="233" t="s">
        <v>234</v>
      </c>
      <c r="D153" s="219">
        <v>8343714603</v>
      </c>
      <c r="E153" s="219">
        <v>0</v>
      </c>
      <c r="F153" s="232">
        <f t="shared" si="12"/>
        <v>13899481677</v>
      </c>
      <c r="G153" s="232" t="b">
        <f t="shared" si="13"/>
        <v>1</v>
      </c>
      <c r="H153" s="230" t="s">
        <v>326</v>
      </c>
      <c r="I153" s="235">
        <f t="shared" si="14"/>
        <v>13899481677</v>
      </c>
      <c r="J153" s="234"/>
    </row>
    <row r="154" spans="1:10" ht="17.25" x14ac:dyDescent="0.3">
      <c r="A154" s="219">
        <v>3859390106</v>
      </c>
      <c r="B154" s="219">
        <v>5551477098</v>
      </c>
      <c r="C154" s="233" t="s">
        <v>235</v>
      </c>
      <c r="D154" s="219">
        <v>1692086992</v>
      </c>
      <c r="E154" s="219">
        <v>0</v>
      </c>
      <c r="F154" s="232">
        <f t="shared" si="12"/>
        <v>3859390106</v>
      </c>
      <c r="G154" s="232" t="b">
        <f t="shared" si="13"/>
        <v>1</v>
      </c>
      <c r="H154" s="230" t="s">
        <v>326</v>
      </c>
      <c r="I154" s="235">
        <f t="shared" si="14"/>
        <v>3859390106</v>
      </c>
      <c r="J154" s="234"/>
    </row>
    <row r="155" spans="1:10" ht="17.25" x14ac:dyDescent="0.3">
      <c r="A155" s="219">
        <v>884357785</v>
      </c>
      <c r="B155" s="219">
        <v>923494748</v>
      </c>
      <c r="C155" s="233" t="s">
        <v>236</v>
      </c>
      <c r="D155" s="219">
        <v>39136963</v>
      </c>
      <c r="E155" s="219">
        <v>0</v>
      </c>
      <c r="F155" s="232">
        <f t="shared" si="12"/>
        <v>884357785</v>
      </c>
      <c r="G155" s="232" t="b">
        <f t="shared" si="13"/>
        <v>1</v>
      </c>
      <c r="H155" s="230" t="s">
        <v>326</v>
      </c>
      <c r="I155" s="235">
        <f t="shared" si="14"/>
        <v>884357785</v>
      </c>
      <c r="J155" s="234"/>
    </row>
    <row r="156" spans="1:10" ht="17.25" x14ac:dyDescent="0.3">
      <c r="A156" s="219">
        <v>3761044542</v>
      </c>
      <c r="B156" s="219">
        <v>4656972467</v>
      </c>
      <c r="C156" s="233" t="s">
        <v>237</v>
      </c>
      <c r="D156" s="219">
        <v>895927925</v>
      </c>
      <c r="E156" s="219">
        <v>0</v>
      </c>
      <c r="F156" s="232">
        <f t="shared" si="12"/>
        <v>3761044542</v>
      </c>
      <c r="G156" s="232" t="b">
        <f t="shared" si="13"/>
        <v>1</v>
      </c>
      <c r="H156" s="230" t="s">
        <v>326</v>
      </c>
      <c r="I156" s="235">
        <f t="shared" si="14"/>
        <v>3761044542</v>
      </c>
      <c r="J156" s="234"/>
    </row>
    <row r="157" spans="1:10" ht="17.25" x14ac:dyDescent="0.3">
      <c r="A157" s="219">
        <v>407905262268</v>
      </c>
      <c r="B157" s="219">
        <v>529911817295</v>
      </c>
      <c r="C157" s="233" t="s">
        <v>238</v>
      </c>
      <c r="D157" s="219">
        <v>122006555027</v>
      </c>
      <c r="E157" s="219">
        <v>0</v>
      </c>
      <c r="F157" s="232">
        <f t="shared" si="12"/>
        <v>407905262268</v>
      </c>
      <c r="G157" s="232" t="b">
        <f t="shared" si="13"/>
        <v>1</v>
      </c>
      <c r="H157" s="230" t="s">
        <v>326</v>
      </c>
      <c r="I157" s="235">
        <f t="shared" si="14"/>
        <v>407905262268</v>
      </c>
      <c r="J157" s="234"/>
    </row>
    <row r="158" spans="1:10" ht="17.25" x14ac:dyDescent="0.3">
      <c r="A158" s="219">
        <v>3878191407</v>
      </c>
      <c r="B158" s="219">
        <v>4165804139</v>
      </c>
      <c r="C158" s="233" t="s">
        <v>239</v>
      </c>
      <c r="D158" s="219">
        <v>287612732</v>
      </c>
      <c r="E158" s="219">
        <v>0</v>
      </c>
      <c r="F158" s="232">
        <f t="shared" si="12"/>
        <v>3878191407</v>
      </c>
      <c r="G158" s="232" t="b">
        <f t="shared" si="13"/>
        <v>1</v>
      </c>
      <c r="H158" s="230" t="s">
        <v>326</v>
      </c>
      <c r="I158" s="235">
        <f t="shared" si="14"/>
        <v>3878191407</v>
      </c>
      <c r="J158" s="234"/>
    </row>
    <row r="159" spans="1:10" ht="17.25" x14ac:dyDescent="0.3">
      <c r="A159" s="219">
        <v>55344351138</v>
      </c>
      <c r="B159" s="219">
        <v>100229664282</v>
      </c>
      <c r="C159" s="233" t="s">
        <v>240</v>
      </c>
      <c r="D159" s="219">
        <v>44885313144</v>
      </c>
      <c r="E159" s="219">
        <v>0</v>
      </c>
      <c r="F159" s="232">
        <f t="shared" si="12"/>
        <v>55344351138</v>
      </c>
      <c r="G159" s="232" t="b">
        <f t="shared" si="13"/>
        <v>1</v>
      </c>
      <c r="H159" s="230" t="s">
        <v>326</v>
      </c>
      <c r="I159" s="235">
        <f t="shared" si="14"/>
        <v>55344351138</v>
      </c>
      <c r="J159" s="234"/>
    </row>
    <row r="160" spans="1:10" ht="17.25" x14ac:dyDescent="0.3">
      <c r="A160" s="219">
        <v>311657922</v>
      </c>
      <c r="B160" s="219">
        <v>400580506</v>
      </c>
      <c r="C160" s="233" t="s">
        <v>241</v>
      </c>
      <c r="D160" s="219">
        <v>88922584</v>
      </c>
      <c r="E160" s="219">
        <v>0</v>
      </c>
      <c r="F160" s="232">
        <f t="shared" si="12"/>
        <v>311657922</v>
      </c>
      <c r="G160" s="232" t="b">
        <f t="shared" si="13"/>
        <v>1</v>
      </c>
      <c r="H160" s="230" t="s">
        <v>326</v>
      </c>
      <c r="I160" s="235">
        <f t="shared" si="14"/>
        <v>311657922</v>
      </c>
      <c r="J160" s="234"/>
    </row>
    <row r="161" spans="1:10" ht="17.25" x14ac:dyDescent="0.3">
      <c r="A161" s="219">
        <v>1287353287</v>
      </c>
      <c r="B161" s="219">
        <v>1297805927</v>
      </c>
      <c r="C161" s="233" t="s">
        <v>242</v>
      </c>
      <c r="D161" s="219">
        <v>10452640</v>
      </c>
      <c r="E161" s="219">
        <v>0</v>
      </c>
      <c r="F161" s="232">
        <f t="shared" si="12"/>
        <v>1287353287</v>
      </c>
      <c r="G161" s="232" t="b">
        <f t="shared" si="13"/>
        <v>1</v>
      </c>
      <c r="H161" s="230" t="s">
        <v>326</v>
      </c>
      <c r="I161" s="235">
        <f t="shared" si="14"/>
        <v>1287353287</v>
      </c>
      <c r="J161" s="234"/>
    </row>
    <row r="162" spans="1:10" ht="17.25" x14ac:dyDescent="0.3">
      <c r="A162" s="219">
        <v>354379428583</v>
      </c>
      <c r="B162" s="219">
        <v>767929247590</v>
      </c>
      <c r="C162" s="233" t="s">
        <v>243</v>
      </c>
      <c r="D162" s="219">
        <v>413549819007</v>
      </c>
      <c r="E162" s="219">
        <v>0</v>
      </c>
      <c r="F162" s="232">
        <f t="shared" si="12"/>
        <v>354379428583</v>
      </c>
      <c r="G162" s="232" t="b">
        <f t="shared" si="13"/>
        <v>1</v>
      </c>
      <c r="H162" s="230" t="s">
        <v>326</v>
      </c>
      <c r="I162" s="235">
        <f t="shared" si="14"/>
        <v>354379428583</v>
      </c>
      <c r="J162" s="234"/>
    </row>
    <row r="163" spans="1:10" ht="17.25" x14ac:dyDescent="0.3">
      <c r="A163" s="219">
        <v>9816862</v>
      </c>
      <c r="B163" s="219">
        <v>15321894</v>
      </c>
      <c r="C163" s="233" t="s">
        <v>362</v>
      </c>
      <c r="D163" s="219">
        <v>5505032</v>
      </c>
      <c r="E163" s="219">
        <v>0</v>
      </c>
      <c r="F163" s="232">
        <f t="shared" si="12"/>
        <v>9816862</v>
      </c>
      <c r="G163" s="232" t="b">
        <f t="shared" si="13"/>
        <v>1</v>
      </c>
      <c r="H163" s="230" t="s">
        <v>326</v>
      </c>
      <c r="I163" s="235">
        <f t="shared" si="14"/>
        <v>9816862</v>
      </c>
      <c r="J163" s="234"/>
    </row>
    <row r="164" spans="1:10" ht="17.25" x14ac:dyDescent="0.3">
      <c r="A164" s="219">
        <v>1500000</v>
      </c>
      <c r="B164" s="219">
        <v>1500000</v>
      </c>
      <c r="C164" s="233" t="s">
        <v>361</v>
      </c>
      <c r="D164" s="219">
        <v>0</v>
      </c>
      <c r="E164" s="219">
        <v>0</v>
      </c>
      <c r="F164" s="232"/>
      <c r="G164" s="232"/>
      <c r="I164" s="235"/>
      <c r="J164" s="234"/>
    </row>
    <row r="165" spans="1:10" ht="17.25" x14ac:dyDescent="0.3">
      <c r="A165" s="219">
        <v>6967369141</v>
      </c>
      <c r="B165" s="219">
        <v>10415858605</v>
      </c>
      <c r="C165" s="233" t="s">
        <v>245</v>
      </c>
      <c r="D165" s="219">
        <v>3448489464</v>
      </c>
      <c r="E165" s="219">
        <v>0</v>
      </c>
      <c r="F165" s="232">
        <f t="shared" ref="F165:F174" si="15">B165-D165</f>
        <v>6967369141</v>
      </c>
      <c r="G165" s="232" t="b">
        <f t="shared" ref="G165:G174" si="16">F165=I165</f>
        <v>1</v>
      </c>
      <c r="H165" s="230" t="s">
        <v>326</v>
      </c>
      <c r="I165" s="235">
        <f t="shared" ref="I165:I174" si="17">A165-E165</f>
        <v>6967369141</v>
      </c>
      <c r="J165" s="234"/>
    </row>
    <row r="166" spans="1:10" ht="17.25" x14ac:dyDescent="0.3">
      <c r="A166" s="219">
        <v>214192090</v>
      </c>
      <c r="B166" s="219">
        <v>217688260</v>
      </c>
      <c r="C166" s="233" t="s">
        <v>246</v>
      </c>
      <c r="D166" s="219">
        <v>3496170</v>
      </c>
      <c r="E166" s="219">
        <v>0</v>
      </c>
      <c r="F166" s="232">
        <f t="shared" si="15"/>
        <v>214192090</v>
      </c>
      <c r="G166" s="232" t="b">
        <f t="shared" si="16"/>
        <v>1</v>
      </c>
      <c r="H166" s="230" t="s">
        <v>326</v>
      </c>
      <c r="I166" s="235">
        <f t="shared" si="17"/>
        <v>214192090</v>
      </c>
      <c r="J166" s="234"/>
    </row>
    <row r="167" spans="1:10" ht="17.25" x14ac:dyDescent="0.3">
      <c r="A167" s="219">
        <v>426606431</v>
      </c>
      <c r="B167" s="219">
        <v>1259130900</v>
      </c>
      <c r="C167" s="233" t="s">
        <v>247</v>
      </c>
      <c r="D167" s="219">
        <v>832524469</v>
      </c>
      <c r="E167" s="219">
        <v>0</v>
      </c>
      <c r="F167" s="232">
        <f t="shared" si="15"/>
        <v>426606431</v>
      </c>
      <c r="G167" s="232" t="b">
        <f t="shared" si="16"/>
        <v>1</v>
      </c>
      <c r="H167" s="230" t="s">
        <v>326</v>
      </c>
      <c r="I167" s="235">
        <f t="shared" si="17"/>
        <v>426606431</v>
      </c>
      <c r="J167" s="234"/>
    </row>
    <row r="168" spans="1:10" ht="17.25" x14ac:dyDescent="0.3">
      <c r="A168" s="219">
        <v>40764893872</v>
      </c>
      <c r="B168" s="219">
        <v>48000291640</v>
      </c>
      <c r="C168" s="233" t="s">
        <v>248</v>
      </c>
      <c r="D168" s="219">
        <v>7235397768</v>
      </c>
      <c r="E168" s="219">
        <v>0</v>
      </c>
      <c r="F168" s="232">
        <f t="shared" si="15"/>
        <v>40764893872</v>
      </c>
      <c r="G168" s="232" t="b">
        <f t="shared" si="16"/>
        <v>1</v>
      </c>
      <c r="H168" s="230" t="s">
        <v>326</v>
      </c>
      <c r="I168" s="235">
        <f t="shared" si="17"/>
        <v>40764893872</v>
      </c>
      <c r="J168" s="234"/>
    </row>
    <row r="169" spans="1:10" ht="17.25" x14ac:dyDescent="0.3">
      <c r="A169" s="219">
        <v>0</v>
      </c>
      <c r="B169" s="219">
        <v>63</v>
      </c>
      <c r="C169" s="233" t="s">
        <v>360</v>
      </c>
      <c r="D169" s="219">
        <v>83</v>
      </c>
      <c r="E169" s="219">
        <v>20</v>
      </c>
      <c r="F169" s="232">
        <f t="shared" si="15"/>
        <v>-20</v>
      </c>
      <c r="G169" s="232" t="b">
        <f t="shared" si="16"/>
        <v>1</v>
      </c>
      <c r="H169" s="230" t="s">
        <v>326</v>
      </c>
      <c r="I169" s="235">
        <f t="shared" si="17"/>
        <v>-20</v>
      </c>
      <c r="J169" s="234"/>
    </row>
    <row r="170" spans="1:10" ht="17.25" x14ac:dyDescent="0.3">
      <c r="A170" s="219">
        <v>22230878633</v>
      </c>
      <c r="B170" s="219">
        <v>39824834749</v>
      </c>
      <c r="C170" s="233" t="s">
        <v>249</v>
      </c>
      <c r="D170" s="219">
        <v>17593956116</v>
      </c>
      <c r="E170" s="219">
        <v>0</v>
      </c>
      <c r="F170" s="232">
        <f t="shared" si="15"/>
        <v>22230878633</v>
      </c>
      <c r="G170" s="232" t="b">
        <f t="shared" si="16"/>
        <v>1</v>
      </c>
      <c r="H170" s="230" t="s">
        <v>326</v>
      </c>
      <c r="I170" s="235">
        <f t="shared" si="17"/>
        <v>22230878633</v>
      </c>
      <c r="J170" s="234"/>
    </row>
    <row r="171" spans="1:10" ht="17.25" x14ac:dyDescent="0.3">
      <c r="A171" s="219">
        <v>1432972517</v>
      </c>
      <c r="B171" s="219">
        <v>1822814979</v>
      </c>
      <c r="C171" s="233" t="s">
        <v>347</v>
      </c>
      <c r="D171" s="219">
        <v>389842462</v>
      </c>
      <c r="E171" s="219">
        <v>0</v>
      </c>
      <c r="F171" s="232">
        <f t="shared" si="15"/>
        <v>1432972517</v>
      </c>
      <c r="G171" s="232" t="b">
        <f t="shared" si="16"/>
        <v>1</v>
      </c>
      <c r="H171" s="230" t="s">
        <v>326</v>
      </c>
      <c r="I171" s="235">
        <f t="shared" si="17"/>
        <v>1432972517</v>
      </c>
      <c r="J171" s="234"/>
    </row>
    <row r="172" spans="1:10" ht="17.25" x14ac:dyDescent="0.3">
      <c r="A172" s="219">
        <v>0</v>
      </c>
      <c r="B172" s="219">
        <v>660410901785</v>
      </c>
      <c r="C172" s="233" t="s">
        <v>250</v>
      </c>
      <c r="D172" s="219">
        <v>660410901785</v>
      </c>
      <c r="E172" s="219">
        <v>0</v>
      </c>
      <c r="F172" s="232">
        <f t="shared" si="15"/>
        <v>0</v>
      </c>
      <c r="G172" s="232" t="b">
        <f t="shared" si="16"/>
        <v>1</v>
      </c>
      <c r="H172" s="230" t="s">
        <v>326</v>
      </c>
      <c r="I172" s="235">
        <f t="shared" si="17"/>
        <v>0</v>
      </c>
      <c r="J172" s="234"/>
    </row>
    <row r="173" spans="1:10" ht="17.25" x14ac:dyDescent="0.3">
      <c r="A173" s="219"/>
      <c r="B173" s="219"/>
      <c r="C173" s="233" t="s">
        <v>359</v>
      </c>
      <c r="D173" s="219"/>
      <c r="E173" s="219"/>
      <c r="F173" s="232">
        <f t="shared" si="15"/>
        <v>0</v>
      </c>
      <c r="G173" s="232" t="b">
        <f t="shared" si="16"/>
        <v>1</v>
      </c>
      <c r="H173" s="230" t="s">
        <v>326</v>
      </c>
      <c r="I173" s="235">
        <f t="shared" si="17"/>
        <v>0</v>
      </c>
      <c r="J173" s="234"/>
    </row>
    <row r="174" spans="1:10" ht="17.25" x14ac:dyDescent="0.3">
      <c r="A174" s="219">
        <v>49902393000</v>
      </c>
      <c r="B174" s="219">
        <v>49985804450</v>
      </c>
      <c r="C174" s="233" t="s">
        <v>229</v>
      </c>
      <c r="D174" s="219">
        <v>83411450</v>
      </c>
      <c r="E174" s="219">
        <v>0</v>
      </c>
      <c r="F174" s="232">
        <f t="shared" si="15"/>
        <v>49902393000</v>
      </c>
      <c r="G174" s="232" t="b">
        <f t="shared" si="16"/>
        <v>1</v>
      </c>
      <c r="H174" s="230" t="s">
        <v>326</v>
      </c>
      <c r="I174" s="235">
        <f t="shared" si="17"/>
        <v>49902393000</v>
      </c>
      <c r="J174" s="234"/>
    </row>
    <row r="175" spans="1:10" ht="17.25" x14ac:dyDescent="0.3">
      <c r="A175" s="219">
        <v>6051377530</v>
      </c>
      <c r="B175" s="219">
        <v>6067100220</v>
      </c>
      <c r="C175" s="233" t="s">
        <v>358</v>
      </c>
      <c r="D175" s="219">
        <v>15722690</v>
      </c>
      <c r="E175" s="219">
        <v>0</v>
      </c>
      <c r="F175" s="232"/>
      <c r="G175" s="232"/>
      <c r="I175" s="235"/>
      <c r="J175" s="234"/>
    </row>
    <row r="176" spans="1:10" ht="17.25" x14ac:dyDescent="0.3">
      <c r="A176" s="219">
        <v>5337827339</v>
      </c>
      <c r="B176" s="219">
        <v>5439640529</v>
      </c>
      <c r="C176" s="233" t="s">
        <v>230</v>
      </c>
      <c r="D176" s="219">
        <v>101813190</v>
      </c>
      <c r="E176" s="219">
        <v>0</v>
      </c>
      <c r="F176" s="232">
        <f t="shared" ref="F176:F190" si="18">B176-D176</f>
        <v>5337827339</v>
      </c>
      <c r="G176" s="232" t="b">
        <f t="shared" ref="G176:G190" si="19">F176=I176</f>
        <v>1</v>
      </c>
      <c r="H176" s="230" t="s">
        <v>326</v>
      </c>
      <c r="I176" s="235">
        <f t="shared" ref="I176:I190" si="20">A176-E176</f>
        <v>5337827339</v>
      </c>
      <c r="J176" s="234"/>
    </row>
    <row r="177" spans="1:10" ht="17.25" x14ac:dyDescent="0.3">
      <c r="A177" s="219">
        <v>9915877299</v>
      </c>
      <c r="B177" s="219">
        <v>9986912192</v>
      </c>
      <c r="C177" s="233" t="s">
        <v>231</v>
      </c>
      <c r="D177" s="219">
        <v>71034893</v>
      </c>
      <c r="E177" s="219">
        <v>0</v>
      </c>
      <c r="F177" s="232">
        <f t="shared" si="18"/>
        <v>9915877299</v>
      </c>
      <c r="G177" s="232" t="b">
        <f t="shared" si="19"/>
        <v>1</v>
      </c>
      <c r="H177" s="230" t="s">
        <v>326</v>
      </c>
      <c r="I177" s="235">
        <f t="shared" si="20"/>
        <v>9915877299</v>
      </c>
      <c r="J177" s="234"/>
    </row>
    <row r="178" spans="1:10" ht="17.25" x14ac:dyDescent="0.3">
      <c r="A178" s="219">
        <v>31810195</v>
      </c>
      <c r="B178" s="219">
        <v>32490413</v>
      </c>
      <c r="C178" s="233" t="s">
        <v>232</v>
      </c>
      <c r="D178" s="219">
        <v>680218</v>
      </c>
      <c r="E178" s="219">
        <v>0</v>
      </c>
      <c r="F178" s="232">
        <f t="shared" si="18"/>
        <v>31810195</v>
      </c>
      <c r="G178" s="232" t="b">
        <f t="shared" si="19"/>
        <v>1</v>
      </c>
      <c r="H178" s="230" t="s">
        <v>326</v>
      </c>
      <c r="I178" s="235">
        <f t="shared" si="20"/>
        <v>31810195</v>
      </c>
      <c r="J178" s="234"/>
    </row>
    <row r="179" spans="1:10" ht="17.25" x14ac:dyDescent="0.3">
      <c r="A179" s="219">
        <v>13419811576</v>
      </c>
      <c r="B179" s="219">
        <v>13443813450</v>
      </c>
      <c r="C179" s="233" t="s">
        <v>233</v>
      </c>
      <c r="D179" s="219">
        <v>24001874</v>
      </c>
      <c r="E179" s="219">
        <v>0</v>
      </c>
      <c r="F179" s="232">
        <f t="shared" si="18"/>
        <v>13419811576</v>
      </c>
      <c r="G179" s="232" t="b">
        <f t="shared" si="19"/>
        <v>1</v>
      </c>
      <c r="H179" s="230" t="s">
        <v>326</v>
      </c>
      <c r="I179" s="235">
        <f t="shared" si="20"/>
        <v>13419811576</v>
      </c>
      <c r="J179" s="234"/>
    </row>
    <row r="180" spans="1:10" ht="17.25" x14ac:dyDescent="0.3">
      <c r="A180" s="219">
        <v>931311144</v>
      </c>
      <c r="B180" s="219">
        <v>932359880</v>
      </c>
      <c r="C180" s="233" t="s">
        <v>234</v>
      </c>
      <c r="D180" s="219">
        <v>1048736</v>
      </c>
      <c r="E180" s="219">
        <v>0</v>
      </c>
      <c r="F180" s="232">
        <f t="shared" si="18"/>
        <v>931311144</v>
      </c>
      <c r="G180" s="232" t="b">
        <f t="shared" si="19"/>
        <v>1</v>
      </c>
      <c r="H180" s="230" t="s">
        <v>326</v>
      </c>
      <c r="I180" s="235">
        <f t="shared" si="20"/>
        <v>931311144</v>
      </c>
      <c r="J180" s="234"/>
    </row>
    <row r="181" spans="1:10" ht="17.25" x14ac:dyDescent="0.3">
      <c r="A181" s="219">
        <v>3843697567</v>
      </c>
      <c r="B181" s="219">
        <v>3852619161</v>
      </c>
      <c r="C181" s="233" t="s">
        <v>235</v>
      </c>
      <c r="D181" s="219">
        <v>8921594</v>
      </c>
      <c r="E181" s="219">
        <v>0</v>
      </c>
      <c r="F181" s="232">
        <f t="shared" si="18"/>
        <v>3843697567</v>
      </c>
      <c r="G181" s="232" t="b">
        <f t="shared" si="19"/>
        <v>1</v>
      </c>
      <c r="H181" s="230" t="s">
        <v>326</v>
      </c>
      <c r="I181" s="235">
        <f t="shared" si="20"/>
        <v>3843697567</v>
      </c>
      <c r="J181" s="234"/>
    </row>
    <row r="182" spans="1:10" ht="17.25" x14ac:dyDescent="0.3">
      <c r="A182" s="219">
        <v>44656877</v>
      </c>
      <c r="B182" s="219">
        <v>44733063</v>
      </c>
      <c r="C182" s="233" t="s">
        <v>236</v>
      </c>
      <c r="D182" s="219">
        <v>76186</v>
      </c>
      <c r="E182" s="219">
        <v>0</v>
      </c>
      <c r="F182" s="232">
        <f t="shared" si="18"/>
        <v>44656877</v>
      </c>
      <c r="G182" s="232" t="b">
        <f t="shared" si="19"/>
        <v>1</v>
      </c>
      <c r="H182" s="230" t="s">
        <v>326</v>
      </c>
      <c r="I182" s="235">
        <f t="shared" si="20"/>
        <v>44656877</v>
      </c>
      <c r="J182" s="234"/>
    </row>
    <row r="183" spans="1:10" ht="17.25" x14ac:dyDescent="0.3">
      <c r="A183" s="219">
        <v>740617237</v>
      </c>
      <c r="B183" s="219">
        <v>770491459</v>
      </c>
      <c r="C183" s="233" t="s">
        <v>237</v>
      </c>
      <c r="D183" s="219">
        <v>29874222</v>
      </c>
      <c r="E183" s="219">
        <v>0</v>
      </c>
      <c r="F183" s="232">
        <f t="shared" si="18"/>
        <v>740617237</v>
      </c>
      <c r="G183" s="232" t="b">
        <f t="shared" si="19"/>
        <v>1</v>
      </c>
      <c r="H183" s="230" t="s">
        <v>326</v>
      </c>
      <c r="I183" s="235">
        <f t="shared" si="20"/>
        <v>740617237</v>
      </c>
      <c r="J183" s="234"/>
    </row>
    <row r="184" spans="1:10" ht="17.25" x14ac:dyDescent="0.3">
      <c r="A184" s="219">
        <v>4800600711</v>
      </c>
      <c r="B184" s="219">
        <v>7696692464</v>
      </c>
      <c r="C184" s="233" t="s">
        <v>357</v>
      </c>
      <c r="D184" s="219">
        <v>2896091753</v>
      </c>
      <c r="E184" s="219">
        <v>0</v>
      </c>
      <c r="F184" s="232">
        <f t="shared" si="18"/>
        <v>4800600711</v>
      </c>
      <c r="G184" s="232" t="b">
        <f t="shared" si="19"/>
        <v>1</v>
      </c>
      <c r="H184" s="230" t="s">
        <v>326</v>
      </c>
      <c r="I184" s="235">
        <f t="shared" si="20"/>
        <v>4800600711</v>
      </c>
      <c r="J184" s="234"/>
    </row>
    <row r="185" spans="1:10" ht="17.25" x14ac:dyDescent="0.3">
      <c r="A185" s="219">
        <v>8597323</v>
      </c>
      <c r="B185" s="219">
        <v>9554513</v>
      </c>
      <c r="C185" s="233" t="s">
        <v>356</v>
      </c>
      <c r="D185" s="219">
        <v>957190</v>
      </c>
      <c r="E185" s="219">
        <v>0</v>
      </c>
      <c r="F185" s="232">
        <f t="shared" si="18"/>
        <v>8597323</v>
      </c>
      <c r="G185" s="232" t="b">
        <f t="shared" si="19"/>
        <v>1</v>
      </c>
      <c r="H185" s="230" t="s">
        <v>326</v>
      </c>
      <c r="I185" s="235">
        <f t="shared" si="20"/>
        <v>8597323</v>
      </c>
      <c r="J185" s="234"/>
    </row>
    <row r="186" spans="1:10" ht="17.25" x14ac:dyDescent="0.3">
      <c r="A186" s="219">
        <v>1302986873</v>
      </c>
      <c r="B186" s="219">
        <v>1302991065</v>
      </c>
      <c r="C186" s="233" t="s">
        <v>242</v>
      </c>
      <c r="D186" s="219">
        <v>4192</v>
      </c>
      <c r="E186" s="219">
        <v>0</v>
      </c>
      <c r="F186" s="232">
        <f t="shared" si="18"/>
        <v>1302986873</v>
      </c>
      <c r="G186" s="232" t="b">
        <f t="shared" si="19"/>
        <v>1</v>
      </c>
      <c r="H186" s="230" t="s">
        <v>326</v>
      </c>
      <c r="I186" s="235">
        <f t="shared" si="20"/>
        <v>1302986873</v>
      </c>
      <c r="J186" s="234"/>
    </row>
    <row r="187" spans="1:10" ht="17.25" x14ac:dyDescent="0.3">
      <c r="A187" s="219">
        <v>82392703175</v>
      </c>
      <c r="B187" s="219">
        <v>82625821481</v>
      </c>
      <c r="C187" s="233" t="s">
        <v>251</v>
      </c>
      <c r="D187" s="219">
        <v>233118306</v>
      </c>
      <c r="E187" s="219">
        <v>0</v>
      </c>
      <c r="F187" s="232">
        <f t="shared" si="18"/>
        <v>82392703175</v>
      </c>
      <c r="G187" s="232" t="b">
        <f t="shared" si="19"/>
        <v>1</v>
      </c>
      <c r="H187" s="230" t="s">
        <v>326</v>
      </c>
      <c r="I187" s="235">
        <f t="shared" si="20"/>
        <v>82392703175</v>
      </c>
      <c r="J187" s="234"/>
    </row>
    <row r="188" spans="1:10" ht="17.25" x14ac:dyDescent="0.3">
      <c r="A188" s="219">
        <v>7967190</v>
      </c>
      <c r="B188" s="219">
        <v>7967190</v>
      </c>
      <c r="C188" s="233" t="s">
        <v>244</v>
      </c>
      <c r="D188" s="219">
        <v>0</v>
      </c>
      <c r="E188" s="219">
        <v>0</v>
      </c>
      <c r="F188" s="232">
        <f t="shared" si="18"/>
        <v>7967190</v>
      </c>
      <c r="G188" s="232" t="b">
        <f t="shared" si="19"/>
        <v>1</v>
      </c>
      <c r="H188" s="230" t="s">
        <v>326</v>
      </c>
      <c r="I188" s="235">
        <f t="shared" si="20"/>
        <v>7967190</v>
      </c>
      <c r="J188" s="234"/>
    </row>
    <row r="189" spans="1:10" ht="17.25" x14ac:dyDescent="0.3">
      <c r="A189" s="219">
        <v>312712389</v>
      </c>
      <c r="B189" s="219">
        <v>315173406</v>
      </c>
      <c r="C189" s="233" t="s">
        <v>245</v>
      </c>
      <c r="D189" s="219">
        <v>2461017</v>
      </c>
      <c r="E189" s="219">
        <v>0</v>
      </c>
      <c r="F189" s="232">
        <f t="shared" si="18"/>
        <v>312712389</v>
      </c>
      <c r="G189" s="232" t="b">
        <f t="shared" si="19"/>
        <v>1</v>
      </c>
      <c r="H189" s="230" t="s">
        <v>326</v>
      </c>
      <c r="I189" s="235">
        <f t="shared" si="20"/>
        <v>312712389</v>
      </c>
      <c r="J189" s="234"/>
    </row>
    <row r="190" spans="1:10" ht="17.25" x14ac:dyDescent="0.3">
      <c r="A190" s="219">
        <v>8621727</v>
      </c>
      <c r="B190" s="219">
        <v>8621727</v>
      </c>
      <c r="C190" s="233" t="s">
        <v>355</v>
      </c>
      <c r="D190" s="219">
        <v>0</v>
      </c>
      <c r="E190" s="219">
        <v>0</v>
      </c>
      <c r="F190" s="232">
        <f t="shared" si="18"/>
        <v>8621727</v>
      </c>
      <c r="G190" s="232" t="b">
        <f t="shared" si="19"/>
        <v>1</v>
      </c>
      <c r="H190" s="230" t="s">
        <v>326</v>
      </c>
      <c r="I190" s="235">
        <f t="shared" si="20"/>
        <v>8621727</v>
      </c>
      <c r="J190" s="234"/>
    </row>
    <row r="191" spans="1:10" ht="17.25" x14ac:dyDescent="0.3">
      <c r="A191" s="219">
        <v>5500000</v>
      </c>
      <c r="B191" s="219">
        <v>5500000</v>
      </c>
      <c r="C191" s="233" t="s">
        <v>354</v>
      </c>
      <c r="D191" s="219">
        <v>0</v>
      </c>
      <c r="E191" s="219">
        <v>0</v>
      </c>
      <c r="F191" s="232"/>
      <c r="G191" s="232"/>
      <c r="I191" s="235"/>
      <c r="J191" s="234"/>
    </row>
    <row r="192" spans="1:10" ht="17.25" x14ac:dyDescent="0.3">
      <c r="A192" s="219">
        <v>128132606</v>
      </c>
      <c r="B192" s="219">
        <v>162184647</v>
      </c>
      <c r="C192" s="233" t="s">
        <v>353</v>
      </c>
      <c r="D192" s="219">
        <v>34052041</v>
      </c>
      <c r="E192" s="219">
        <v>0</v>
      </c>
      <c r="F192" s="232"/>
      <c r="G192" s="232"/>
      <c r="I192" s="235"/>
      <c r="J192" s="234"/>
    </row>
    <row r="193" spans="1:10" ht="17.25" x14ac:dyDescent="0.3">
      <c r="A193" s="219">
        <v>800095065</v>
      </c>
      <c r="B193" s="219">
        <v>803055096</v>
      </c>
      <c r="C193" s="233" t="s">
        <v>249</v>
      </c>
      <c r="D193" s="219">
        <v>2960031</v>
      </c>
      <c r="E193" s="219">
        <v>0</v>
      </c>
      <c r="F193" s="232">
        <f>B193-D193</f>
        <v>800095065</v>
      </c>
      <c r="G193" s="232" t="b">
        <f t="shared" ref="G193:G218" si="21">F193=I193</f>
        <v>1</v>
      </c>
      <c r="H193" s="230" t="s">
        <v>326</v>
      </c>
      <c r="I193" s="235">
        <f>A193-E193</f>
        <v>800095065</v>
      </c>
      <c r="J193" s="234"/>
    </row>
    <row r="194" spans="1:10" ht="15.75" customHeight="1" x14ac:dyDescent="0.3">
      <c r="A194" s="219">
        <v>100506437</v>
      </c>
      <c r="B194" s="219">
        <v>101080177</v>
      </c>
      <c r="C194" s="233" t="s">
        <v>347</v>
      </c>
      <c r="D194" s="219">
        <v>573740</v>
      </c>
      <c r="E194" s="219">
        <v>0</v>
      </c>
      <c r="F194" s="232">
        <f>B194-D194</f>
        <v>100506437</v>
      </c>
      <c r="G194" s="232" t="b">
        <f t="shared" si="21"/>
        <v>1</v>
      </c>
      <c r="H194" s="230" t="s">
        <v>326</v>
      </c>
      <c r="I194" s="235">
        <f>A194-E194</f>
        <v>100506437</v>
      </c>
      <c r="J194" s="234"/>
    </row>
    <row r="195" spans="1:10" ht="17.25" hidden="1" x14ac:dyDescent="0.3">
      <c r="A195" s="219"/>
      <c r="B195" s="219"/>
      <c r="C195" s="233" t="s">
        <v>352</v>
      </c>
      <c r="D195" s="219"/>
      <c r="E195" s="219"/>
      <c r="F195" s="232">
        <f>B195-D195</f>
        <v>0</v>
      </c>
      <c r="G195" s="232" t="b">
        <f t="shared" si="21"/>
        <v>1</v>
      </c>
      <c r="H195" s="230" t="s">
        <v>326</v>
      </c>
      <c r="I195" s="235">
        <f>A195-E195</f>
        <v>0</v>
      </c>
      <c r="J195" s="234"/>
    </row>
    <row r="196" spans="1:10" ht="17.25" x14ac:dyDescent="0.3">
      <c r="A196" s="229"/>
      <c r="B196" s="229"/>
      <c r="C196" s="233" t="s">
        <v>351</v>
      </c>
      <c r="D196" s="237"/>
      <c r="E196" s="236"/>
      <c r="F196" s="232">
        <f>B192-D196</f>
        <v>162184647</v>
      </c>
      <c r="G196" s="232" t="b">
        <f t="shared" si="21"/>
        <v>0</v>
      </c>
      <c r="H196" s="230" t="s">
        <v>326</v>
      </c>
      <c r="I196" s="235">
        <f>A192-E196</f>
        <v>128132606</v>
      </c>
      <c r="J196" s="234"/>
    </row>
    <row r="197" spans="1:10" ht="17.25" x14ac:dyDescent="0.3">
      <c r="A197" s="219">
        <v>60259435967</v>
      </c>
      <c r="B197" s="219">
        <v>66358726507</v>
      </c>
      <c r="C197" s="233" t="s">
        <v>229</v>
      </c>
      <c r="D197" s="219">
        <v>6099290540</v>
      </c>
      <c r="E197" s="219">
        <v>0</v>
      </c>
      <c r="F197" s="232">
        <f t="shared" ref="F197:F218" si="22">B197-D197</f>
        <v>60259435967</v>
      </c>
      <c r="G197" s="232" t="b">
        <f t="shared" si="21"/>
        <v>1</v>
      </c>
      <c r="H197" s="230" t="s">
        <v>326</v>
      </c>
      <c r="I197" s="235">
        <f t="shared" ref="I197:I218" si="23">A197-E197</f>
        <v>60259435967</v>
      </c>
      <c r="J197" s="234"/>
    </row>
    <row r="198" spans="1:10" ht="17.25" x14ac:dyDescent="0.3">
      <c r="A198" s="219">
        <v>8681361590</v>
      </c>
      <c r="B198" s="219">
        <v>13428375230</v>
      </c>
      <c r="C198" s="233" t="s">
        <v>350</v>
      </c>
      <c r="D198" s="219">
        <v>4747013640</v>
      </c>
      <c r="E198" s="219">
        <v>0</v>
      </c>
      <c r="F198" s="232">
        <f t="shared" si="22"/>
        <v>8681361590</v>
      </c>
      <c r="G198" s="232" t="b">
        <f t="shared" si="21"/>
        <v>1</v>
      </c>
      <c r="H198" s="230" t="s">
        <v>326</v>
      </c>
      <c r="I198" s="235">
        <f t="shared" si="23"/>
        <v>8681361590</v>
      </c>
      <c r="J198" s="234"/>
    </row>
    <row r="199" spans="1:10" ht="17.25" x14ac:dyDescent="0.3">
      <c r="A199" s="219">
        <v>12268689630</v>
      </c>
      <c r="B199" s="219">
        <v>16523677140</v>
      </c>
      <c r="C199" s="233" t="s">
        <v>230</v>
      </c>
      <c r="D199" s="219">
        <v>4254987510</v>
      </c>
      <c r="E199" s="219">
        <v>0</v>
      </c>
      <c r="F199" s="232">
        <f t="shared" si="22"/>
        <v>12268689630</v>
      </c>
      <c r="G199" s="232" t="b">
        <f t="shared" si="21"/>
        <v>1</v>
      </c>
      <c r="H199" s="230" t="s">
        <v>326</v>
      </c>
      <c r="I199" s="235">
        <f t="shared" si="23"/>
        <v>12268689630</v>
      </c>
      <c r="J199" s="234"/>
    </row>
    <row r="200" spans="1:10" ht="17.25" x14ac:dyDescent="0.3">
      <c r="A200" s="219">
        <v>9841938088</v>
      </c>
      <c r="B200" s="219">
        <v>12126493445</v>
      </c>
      <c r="C200" s="233" t="s">
        <v>231</v>
      </c>
      <c r="D200" s="219">
        <v>2284555357</v>
      </c>
      <c r="E200" s="219">
        <v>0</v>
      </c>
      <c r="F200" s="232">
        <f t="shared" si="22"/>
        <v>9841938088</v>
      </c>
      <c r="G200" s="232" t="b">
        <f t="shared" si="21"/>
        <v>1</v>
      </c>
      <c r="H200" s="230" t="s">
        <v>326</v>
      </c>
      <c r="I200" s="235">
        <f t="shared" si="23"/>
        <v>9841938088</v>
      </c>
      <c r="J200" s="234"/>
    </row>
    <row r="201" spans="1:10" ht="17.25" x14ac:dyDescent="0.3">
      <c r="A201" s="219">
        <v>133666778</v>
      </c>
      <c r="B201" s="219">
        <v>161625258</v>
      </c>
      <c r="C201" s="233" t="s">
        <v>232</v>
      </c>
      <c r="D201" s="219">
        <v>27958480</v>
      </c>
      <c r="E201" s="219">
        <v>0</v>
      </c>
      <c r="F201" s="232">
        <f t="shared" si="22"/>
        <v>133666778</v>
      </c>
      <c r="G201" s="232" t="b">
        <f t="shared" si="21"/>
        <v>1</v>
      </c>
      <c r="H201" s="230" t="s">
        <v>326</v>
      </c>
      <c r="I201" s="235">
        <f t="shared" si="23"/>
        <v>133666778</v>
      </c>
      <c r="J201" s="234"/>
    </row>
    <row r="202" spans="1:10" ht="17.25" x14ac:dyDescent="0.3">
      <c r="A202" s="219">
        <v>269335206</v>
      </c>
      <c r="B202" s="219">
        <v>274461152</v>
      </c>
      <c r="C202" s="233" t="s">
        <v>233</v>
      </c>
      <c r="D202" s="219">
        <v>5125946</v>
      </c>
      <c r="E202" s="219">
        <v>0</v>
      </c>
      <c r="F202" s="232">
        <f t="shared" si="22"/>
        <v>269335206</v>
      </c>
      <c r="G202" s="232" t="b">
        <f t="shared" si="21"/>
        <v>1</v>
      </c>
      <c r="H202" s="230" t="s">
        <v>326</v>
      </c>
      <c r="I202" s="235">
        <f t="shared" si="23"/>
        <v>269335206</v>
      </c>
      <c r="J202" s="234"/>
    </row>
    <row r="203" spans="1:10" ht="17.25" x14ac:dyDescent="0.3">
      <c r="A203" s="219">
        <v>1983151298</v>
      </c>
      <c r="B203" s="219">
        <v>2438080168</v>
      </c>
      <c r="C203" s="233" t="s">
        <v>234</v>
      </c>
      <c r="D203" s="219">
        <v>454928870</v>
      </c>
      <c r="E203" s="219">
        <v>0</v>
      </c>
      <c r="F203" s="232">
        <f t="shared" si="22"/>
        <v>1983151298</v>
      </c>
      <c r="G203" s="232" t="b">
        <f t="shared" si="21"/>
        <v>1</v>
      </c>
      <c r="H203" s="230" t="s">
        <v>326</v>
      </c>
      <c r="I203" s="235">
        <f t="shared" si="23"/>
        <v>1983151298</v>
      </c>
      <c r="J203" s="234"/>
    </row>
    <row r="204" spans="1:10" ht="17.25" x14ac:dyDescent="0.3">
      <c r="A204" s="219">
        <v>305343623</v>
      </c>
      <c r="B204" s="219">
        <v>316248355</v>
      </c>
      <c r="C204" s="233" t="s">
        <v>235</v>
      </c>
      <c r="D204" s="219">
        <v>10904732</v>
      </c>
      <c r="E204" s="219">
        <v>0</v>
      </c>
      <c r="F204" s="232">
        <f t="shared" si="22"/>
        <v>305343623</v>
      </c>
      <c r="G204" s="232" t="b">
        <f t="shared" si="21"/>
        <v>1</v>
      </c>
      <c r="H204" s="230" t="s">
        <v>326</v>
      </c>
      <c r="I204" s="235">
        <f t="shared" si="23"/>
        <v>305343623</v>
      </c>
      <c r="J204" s="234"/>
    </row>
    <row r="205" spans="1:10" ht="17.25" x14ac:dyDescent="0.3">
      <c r="A205" s="219">
        <v>249701176</v>
      </c>
      <c r="B205" s="219">
        <v>257367296</v>
      </c>
      <c r="C205" s="233" t="s">
        <v>236</v>
      </c>
      <c r="D205" s="219">
        <v>7666120</v>
      </c>
      <c r="E205" s="219">
        <v>0</v>
      </c>
      <c r="F205" s="232">
        <f t="shared" si="22"/>
        <v>249701176</v>
      </c>
      <c r="G205" s="232" t="b">
        <f t="shared" si="21"/>
        <v>1</v>
      </c>
      <c r="H205" s="230" t="s">
        <v>326</v>
      </c>
      <c r="I205" s="235">
        <f t="shared" si="23"/>
        <v>249701176</v>
      </c>
      <c r="J205" s="234"/>
    </row>
    <row r="206" spans="1:10" ht="17.25" x14ac:dyDescent="0.3">
      <c r="A206" s="219">
        <v>187335722</v>
      </c>
      <c r="B206" s="219">
        <v>192627830</v>
      </c>
      <c r="C206" s="233" t="s">
        <v>237</v>
      </c>
      <c r="D206" s="219">
        <v>5292108</v>
      </c>
      <c r="E206" s="219">
        <v>0</v>
      </c>
      <c r="F206" s="232">
        <f t="shared" si="22"/>
        <v>187335722</v>
      </c>
      <c r="G206" s="232" t="b">
        <f t="shared" si="21"/>
        <v>1</v>
      </c>
      <c r="H206" s="230" t="s">
        <v>326</v>
      </c>
      <c r="I206" s="235">
        <f t="shared" si="23"/>
        <v>187335722</v>
      </c>
      <c r="J206" s="234"/>
    </row>
    <row r="207" spans="1:10" ht="17.25" x14ac:dyDescent="0.3">
      <c r="A207" s="219">
        <v>4685107217</v>
      </c>
      <c r="B207" s="219">
        <v>6169145892</v>
      </c>
      <c r="C207" s="233" t="s">
        <v>238</v>
      </c>
      <c r="D207" s="219">
        <v>1484038675</v>
      </c>
      <c r="E207" s="219">
        <v>0</v>
      </c>
      <c r="F207" s="232">
        <f t="shared" si="22"/>
        <v>4685107217</v>
      </c>
      <c r="G207" s="232" t="b">
        <f t="shared" si="21"/>
        <v>1</v>
      </c>
      <c r="H207" s="230" t="s">
        <v>326</v>
      </c>
      <c r="I207" s="235">
        <f t="shared" si="23"/>
        <v>4685107217</v>
      </c>
      <c r="J207" s="234"/>
    </row>
    <row r="208" spans="1:10" ht="17.25" x14ac:dyDescent="0.3">
      <c r="A208" s="219">
        <v>1591150385</v>
      </c>
      <c r="B208" s="219">
        <v>1640003138</v>
      </c>
      <c r="C208" s="233" t="s">
        <v>239</v>
      </c>
      <c r="D208" s="219">
        <v>48852753</v>
      </c>
      <c r="E208" s="219">
        <v>0</v>
      </c>
      <c r="F208" s="232">
        <f t="shared" si="22"/>
        <v>1591150385</v>
      </c>
      <c r="G208" s="232" t="b">
        <f t="shared" si="21"/>
        <v>1</v>
      </c>
      <c r="H208" s="230" t="s">
        <v>326</v>
      </c>
      <c r="I208" s="235">
        <f t="shared" si="23"/>
        <v>1591150385</v>
      </c>
      <c r="J208" s="234"/>
    </row>
    <row r="209" spans="1:10" ht="17.25" x14ac:dyDescent="0.3">
      <c r="A209" s="219">
        <v>560147885</v>
      </c>
      <c r="B209" s="219">
        <v>4043583134</v>
      </c>
      <c r="C209" s="233" t="s">
        <v>240</v>
      </c>
      <c r="D209" s="219">
        <v>3483435249</v>
      </c>
      <c r="E209" s="219">
        <v>0</v>
      </c>
      <c r="F209" s="232">
        <f t="shared" si="22"/>
        <v>560147885</v>
      </c>
      <c r="G209" s="232" t="b">
        <f t="shared" si="21"/>
        <v>1</v>
      </c>
      <c r="H209" s="230" t="s">
        <v>326</v>
      </c>
      <c r="I209" s="235">
        <f t="shared" si="23"/>
        <v>560147885</v>
      </c>
      <c r="J209" s="234"/>
    </row>
    <row r="210" spans="1:10" ht="17.25" x14ac:dyDescent="0.3">
      <c r="A210" s="219">
        <v>12421398</v>
      </c>
      <c r="B210" s="219">
        <v>12850606</v>
      </c>
      <c r="C210" s="233" t="s">
        <v>241</v>
      </c>
      <c r="D210" s="219">
        <v>429208</v>
      </c>
      <c r="E210" s="219">
        <v>0</v>
      </c>
      <c r="F210" s="232">
        <f t="shared" si="22"/>
        <v>12421398</v>
      </c>
      <c r="G210" s="232" t="b">
        <f t="shared" si="21"/>
        <v>1</v>
      </c>
      <c r="H210" s="230" t="s">
        <v>326</v>
      </c>
      <c r="I210" s="235">
        <f t="shared" si="23"/>
        <v>12421398</v>
      </c>
      <c r="J210" s="234"/>
    </row>
    <row r="211" spans="1:10" ht="17.25" x14ac:dyDescent="0.3">
      <c r="A211" s="219">
        <v>12964679</v>
      </c>
      <c r="B211" s="219">
        <v>13028229</v>
      </c>
      <c r="C211" s="233" t="s">
        <v>242</v>
      </c>
      <c r="D211" s="219">
        <v>63550</v>
      </c>
      <c r="E211" s="219">
        <v>0</v>
      </c>
      <c r="F211" s="232">
        <f t="shared" si="22"/>
        <v>12964679</v>
      </c>
      <c r="G211" s="232" t="b">
        <f t="shared" si="21"/>
        <v>1</v>
      </c>
      <c r="H211" s="230" t="s">
        <v>326</v>
      </c>
      <c r="I211" s="235">
        <f t="shared" si="23"/>
        <v>12964679</v>
      </c>
      <c r="J211" s="234"/>
    </row>
    <row r="212" spans="1:10" ht="17.25" x14ac:dyDescent="0.3">
      <c r="A212" s="219">
        <v>11661851506</v>
      </c>
      <c r="B212" s="219">
        <v>12489091995</v>
      </c>
      <c r="C212" s="233" t="s">
        <v>243</v>
      </c>
      <c r="D212" s="219">
        <v>827240489</v>
      </c>
      <c r="E212" s="219">
        <v>0</v>
      </c>
      <c r="F212" s="232">
        <f t="shared" si="22"/>
        <v>11661851506</v>
      </c>
      <c r="G212" s="232" t="b">
        <f t="shared" si="21"/>
        <v>1</v>
      </c>
      <c r="H212" s="230" t="s">
        <v>326</v>
      </c>
      <c r="I212" s="235">
        <f t="shared" si="23"/>
        <v>11661851506</v>
      </c>
      <c r="J212" s="234"/>
    </row>
    <row r="213" spans="1:10" ht="17.25" x14ac:dyDescent="0.3">
      <c r="A213" s="219">
        <v>173007037</v>
      </c>
      <c r="B213" s="219">
        <v>186035417</v>
      </c>
      <c r="C213" s="233" t="s">
        <v>244</v>
      </c>
      <c r="D213" s="219">
        <v>13028380</v>
      </c>
      <c r="E213" s="219">
        <v>0</v>
      </c>
      <c r="F213" s="232">
        <f t="shared" si="22"/>
        <v>173007037</v>
      </c>
      <c r="G213" s="232" t="b">
        <f t="shared" si="21"/>
        <v>1</v>
      </c>
      <c r="H213" s="230" t="s">
        <v>326</v>
      </c>
      <c r="I213" s="235">
        <f t="shared" si="23"/>
        <v>173007037</v>
      </c>
      <c r="J213" s="234"/>
    </row>
    <row r="214" spans="1:10" ht="17.25" x14ac:dyDescent="0.3">
      <c r="A214" s="219">
        <v>2416041343</v>
      </c>
      <c r="B214" s="219">
        <v>3122170534</v>
      </c>
      <c r="C214" s="233" t="s">
        <v>253</v>
      </c>
      <c r="D214" s="219">
        <v>706129191</v>
      </c>
      <c r="E214" s="219">
        <v>0</v>
      </c>
      <c r="F214" s="232">
        <f t="shared" si="22"/>
        <v>2416041343</v>
      </c>
      <c r="G214" s="232" t="b">
        <f t="shared" si="21"/>
        <v>1</v>
      </c>
      <c r="H214" s="230" t="s">
        <v>326</v>
      </c>
      <c r="I214" s="235">
        <f t="shared" si="23"/>
        <v>2416041343</v>
      </c>
      <c r="J214" s="234"/>
    </row>
    <row r="215" spans="1:10" ht="17.25" x14ac:dyDescent="0.3">
      <c r="A215" s="219">
        <v>1241468402</v>
      </c>
      <c r="B215" s="219">
        <v>1279530090</v>
      </c>
      <c r="C215" s="233" t="s">
        <v>245</v>
      </c>
      <c r="D215" s="219">
        <v>38061688</v>
      </c>
      <c r="E215" s="219">
        <v>0</v>
      </c>
      <c r="F215" s="232">
        <f t="shared" si="22"/>
        <v>1241468402</v>
      </c>
      <c r="G215" s="232" t="b">
        <f t="shared" si="21"/>
        <v>1</v>
      </c>
      <c r="H215" s="230" t="s">
        <v>326</v>
      </c>
      <c r="I215" s="235">
        <f t="shared" si="23"/>
        <v>1241468402</v>
      </c>
      <c r="J215" s="234"/>
    </row>
    <row r="216" spans="1:10" ht="17.25" x14ac:dyDescent="0.3">
      <c r="A216" s="219">
        <v>1084103750</v>
      </c>
      <c r="B216" s="219">
        <v>1108690131</v>
      </c>
      <c r="C216" s="233" t="s">
        <v>252</v>
      </c>
      <c r="D216" s="219">
        <v>24586381</v>
      </c>
      <c r="E216" s="219">
        <v>0</v>
      </c>
      <c r="F216" s="232">
        <f t="shared" si="22"/>
        <v>1084103750</v>
      </c>
      <c r="G216" s="232" t="b">
        <f t="shared" si="21"/>
        <v>1</v>
      </c>
      <c r="H216" s="230" t="s">
        <v>326</v>
      </c>
      <c r="I216" s="235">
        <f t="shared" si="23"/>
        <v>1084103750</v>
      </c>
      <c r="J216" s="234"/>
    </row>
    <row r="217" spans="1:10" ht="17.25" x14ac:dyDescent="0.3">
      <c r="A217" s="219">
        <v>1665591231</v>
      </c>
      <c r="B217" s="219">
        <v>1695002654</v>
      </c>
      <c r="C217" s="233" t="s">
        <v>254</v>
      </c>
      <c r="D217" s="219">
        <v>29411423</v>
      </c>
      <c r="E217" s="219">
        <v>0</v>
      </c>
      <c r="F217" s="232">
        <f t="shared" si="22"/>
        <v>1665591231</v>
      </c>
      <c r="G217" s="232" t="b">
        <f t="shared" si="21"/>
        <v>1</v>
      </c>
      <c r="H217" s="230" t="s">
        <v>326</v>
      </c>
      <c r="I217" s="235">
        <f t="shared" si="23"/>
        <v>1665591231</v>
      </c>
      <c r="J217" s="234"/>
    </row>
    <row r="218" spans="1:10" ht="17.25" x14ac:dyDescent="0.3">
      <c r="A218" s="219">
        <v>18846486878</v>
      </c>
      <c r="B218" s="219">
        <v>63797728260</v>
      </c>
      <c r="C218" s="233" t="s">
        <v>246</v>
      </c>
      <c r="D218" s="219">
        <v>44951241382</v>
      </c>
      <c r="E218" s="219">
        <v>0</v>
      </c>
      <c r="F218" s="232">
        <f t="shared" si="22"/>
        <v>18846486878</v>
      </c>
      <c r="G218" s="232" t="b">
        <f t="shared" si="21"/>
        <v>1</v>
      </c>
      <c r="H218" s="230" t="s">
        <v>326</v>
      </c>
      <c r="I218" s="235">
        <f t="shared" si="23"/>
        <v>18846486878</v>
      </c>
      <c r="J218" s="234"/>
    </row>
    <row r="219" spans="1:10" ht="17.25" x14ac:dyDescent="0.3">
      <c r="A219" s="219">
        <v>297691652</v>
      </c>
      <c r="B219" s="219">
        <v>618067145</v>
      </c>
      <c r="C219" s="233" t="s">
        <v>349</v>
      </c>
      <c r="D219" s="219">
        <v>320375493</v>
      </c>
      <c r="E219" s="219">
        <v>0</v>
      </c>
      <c r="F219" s="232"/>
      <c r="G219" s="232"/>
      <c r="I219" s="235"/>
      <c r="J219" s="234"/>
    </row>
    <row r="220" spans="1:10" ht="17.25" x14ac:dyDescent="0.3">
      <c r="A220" s="219">
        <v>4274589285</v>
      </c>
      <c r="B220" s="219">
        <v>8420867144</v>
      </c>
      <c r="C220" s="233" t="s">
        <v>348</v>
      </c>
      <c r="D220" s="219">
        <v>4146277859</v>
      </c>
      <c r="E220" s="219">
        <v>0</v>
      </c>
      <c r="F220" s="232">
        <f>B220-D220</f>
        <v>4274589285</v>
      </c>
      <c r="G220" s="232" t="b">
        <f>F220=I220</f>
        <v>1</v>
      </c>
      <c r="H220" s="230" t="s">
        <v>326</v>
      </c>
      <c r="I220" s="235">
        <f>A220-E220</f>
        <v>4274589285</v>
      </c>
      <c r="J220" s="234"/>
    </row>
    <row r="221" spans="1:10" ht="17.25" x14ac:dyDescent="0.3">
      <c r="A221" s="219">
        <v>629277212</v>
      </c>
      <c r="B221" s="219">
        <v>685587056</v>
      </c>
      <c r="C221" s="233" t="s">
        <v>249</v>
      </c>
      <c r="D221" s="219">
        <v>56309844</v>
      </c>
      <c r="E221" s="219">
        <v>0</v>
      </c>
      <c r="F221" s="232">
        <f>B221-D221</f>
        <v>629277212</v>
      </c>
      <c r="G221" s="232" t="b">
        <f>F221=I221</f>
        <v>1</v>
      </c>
      <c r="H221" s="230" t="s">
        <v>326</v>
      </c>
      <c r="I221" s="235">
        <f>A221-E221</f>
        <v>629277212</v>
      </c>
      <c r="J221" s="234"/>
    </row>
    <row r="222" spans="1:10" ht="17.25" x14ac:dyDescent="0.3">
      <c r="A222" s="219">
        <v>413168100</v>
      </c>
      <c r="B222" s="219">
        <v>441656086</v>
      </c>
      <c r="C222" s="233" t="s">
        <v>347</v>
      </c>
      <c r="D222" s="219">
        <v>28487986</v>
      </c>
      <c r="E222" s="219">
        <v>0</v>
      </c>
      <c r="F222" s="232">
        <f>B222-D222</f>
        <v>413168100</v>
      </c>
      <c r="G222" s="232" t="b">
        <f>F222=I222</f>
        <v>1</v>
      </c>
      <c r="H222" s="230" t="s">
        <v>326</v>
      </c>
      <c r="I222" s="235">
        <f>A222-E222</f>
        <v>413168100</v>
      </c>
      <c r="J222" s="234"/>
    </row>
    <row r="223" spans="1:10" ht="17.25" x14ac:dyDescent="0.3">
      <c r="A223" s="219">
        <v>0</v>
      </c>
      <c r="B223" s="219">
        <v>31592827091</v>
      </c>
      <c r="C223" s="233" t="s">
        <v>346</v>
      </c>
      <c r="D223" s="219">
        <v>46884498817</v>
      </c>
      <c r="E223" s="219">
        <v>15291671726</v>
      </c>
      <c r="F223" s="232">
        <f>B223-D223</f>
        <v>-15291671726</v>
      </c>
      <c r="G223" s="232" t="b">
        <f>F223=I223</f>
        <v>1</v>
      </c>
      <c r="H223" s="230" t="s">
        <v>335</v>
      </c>
      <c r="I223" s="235">
        <f>A223-E223</f>
        <v>-15291671726</v>
      </c>
      <c r="J223" s="234"/>
    </row>
    <row r="224" spans="1:10" ht="17.25" x14ac:dyDescent="0.3">
      <c r="A224" s="219">
        <v>0</v>
      </c>
      <c r="B224" s="219">
        <v>12400000</v>
      </c>
      <c r="C224" s="233" t="s">
        <v>345</v>
      </c>
      <c r="D224" s="219">
        <v>18600000</v>
      </c>
      <c r="E224" s="219">
        <v>6200000</v>
      </c>
      <c r="F224" s="232"/>
      <c r="G224" s="232"/>
      <c r="I224" s="235"/>
      <c r="J224" s="234"/>
    </row>
    <row r="225" spans="1:10" ht="17.25" x14ac:dyDescent="0.3">
      <c r="A225" s="219">
        <v>0</v>
      </c>
      <c r="B225" s="219">
        <v>17089004759</v>
      </c>
      <c r="C225" s="233" t="s">
        <v>344</v>
      </c>
      <c r="D225" s="219">
        <v>22580629851</v>
      </c>
      <c r="E225" s="219">
        <v>5491625092</v>
      </c>
      <c r="F225" s="232"/>
      <c r="G225" s="232"/>
      <c r="I225" s="235"/>
      <c r="J225" s="234"/>
    </row>
    <row r="226" spans="1:10" ht="16.5" customHeight="1" x14ac:dyDescent="0.3">
      <c r="A226" s="219">
        <v>0</v>
      </c>
      <c r="B226" s="219">
        <v>42746214774</v>
      </c>
      <c r="C226" s="233" t="s">
        <v>343</v>
      </c>
      <c r="D226" s="219">
        <v>67175753478</v>
      </c>
      <c r="E226" s="219">
        <v>24429538704</v>
      </c>
      <c r="F226" s="232">
        <f>B226-D226</f>
        <v>-24429538704</v>
      </c>
      <c r="G226" s="232" t="b">
        <f>F226=I226</f>
        <v>1</v>
      </c>
      <c r="H226" s="230" t="s">
        <v>335</v>
      </c>
      <c r="I226" s="235">
        <f>A226-E226</f>
        <v>-24429538704</v>
      </c>
      <c r="J226" s="234"/>
    </row>
    <row r="227" spans="1:10" ht="0.75" hidden="1" customHeight="1" x14ac:dyDescent="0.3">
      <c r="A227" s="219"/>
      <c r="B227" s="219"/>
      <c r="C227" s="233" t="s">
        <v>342</v>
      </c>
      <c r="D227" s="219"/>
      <c r="E227" s="219"/>
      <c r="F227" s="232">
        <f>B227-D227</f>
        <v>0</v>
      </c>
      <c r="G227" s="232" t="b">
        <f>F227=I227</f>
        <v>1</v>
      </c>
      <c r="H227" s="230" t="s">
        <v>335</v>
      </c>
      <c r="I227" s="235">
        <f>A227-E227</f>
        <v>0</v>
      </c>
      <c r="J227" s="234"/>
    </row>
    <row r="228" spans="1:10" ht="17.25" x14ac:dyDescent="0.3">
      <c r="A228" s="219">
        <v>0</v>
      </c>
      <c r="B228" s="219">
        <v>10109726672</v>
      </c>
      <c r="C228" s="233" t="s">
        <v>341</v>
      </c>
      <c r="D228" s="219">
        <v>11229477773</v>
      </c>
      <c r="E228" s="219">
        <v>1119751101</v>
      </c>
      <c r="F228" s="232">
        <f>B228-D228</f>
        <v>-1119751101</v>
      </c>
      <c r="G228" s="232" t="b">
        <f>F228=I228</f>
        <v>1</v>
      </c>
      <c r="H228" s="230" t="s">
        <v>335</v>
      </c>
      <c r="I228" s="235">
        <f>A228-E228</f>
        <v>-1119751101</v>
      </c>
      <c r="J228" s="234"/>
    </row>
    <row r="229" spans="1:10" ht="17.25" x14ac:dyDescent="0.3">
      <c r="A229" s="219">
        <v>0</v>
      </c>
      <c r="B229" s="219">
        <v>107564994</v>
      </c>
      <c r="C229" s="233" t="s">
        <v>340</v>
      </c>
      <c r="D229" s="219">
        <v>161347491</v>
      </c>
      <c r="E229" s="219">
        <v>53782497</v>
      </c>
      <c r="F229" s="232"/>
      <c r="G229" s="232"/>
      <c r="I229" s="235"/>
      <c r="J229" s="234"/>
    </row>
    <row r="230" spans="1:10" ht="17.25" x14ac:dyDescent="0.3">
      <c r="A230" s="219">
        <v>0</v>
      </c>
      <c r="B230" s="219">
        <v>875619940</v>
      </c>
      <c r="C230" s="233" t="s">
        <v>339</v>
      </c>
      <c r="D230" s="219">
        <v>10922119618</v>
      </c>
      <c r="E230" s="219">
        <v>10046499678</v>
      </c>
      <c r="F230" s="232">
        <f>B230-D230</f>
        <v>-10046499678</v>
      </c>
      <c r="G230" s="232" t="b">
        <f>F230=I230</f>
        <v>1</v>
      </c>
      <c r="H230" s="230" t="s">
        <v>335</v>
      </c>
      <c r="I230" s="235">
        <f>A230-E230</f>
        <v>-10046499678</v>
      </c>
      <c r="J230" s="234"/>
    </row>
    <row r="231" spans="1:10" ht="17.25" x14ac:dyDescent="0.3">
      <c r="A231" s="219">
        <v>0</v>
      </c>
      <c r="B231" s="219">
        <v>400991793000</v>
      </c>
      <c r="C231" s="233" t="s">
        <v>338</v>
      </c>
      <c r="D231" s="219">
        <v>630991793000</v>
      </c>
      <c r="E231" s="219">
        <v>230000000000</v>
      </c>
      <c r="F231" s="232"/>
      <c r="G231" s="232"/>
      <c r="I231" s="235"/>
      <c r="J231" s="234"/>
    </row>
    <row r="232" spans="1:10" ht="17.25" x14ac:dyDescent="0.3">
      <c r="A232" s="219">
        <v>0</v>
      </c>
      <c r="B232" s="219">
        <v>38690136631</v>
      </c>
      <c r="C232" s="233" t="s">
        <v>337</v>
      </c>
      <c r="D232" s="219">
        <v>69263567353</v>
      </c>
      <c r="E232" s="219">
        <v>30573430722</v>
      </c>
      <c r="F232" s="232"/>
      <c r="G232" s="232"/>
      <c r="I232" s="235"/>
      <c r="J232" s="234"/>
    </row>
    <row r="233" spans="1:10" ht="16.5" customHeight="1" x14ac:dyDescent="0.3">
      <c r="A233" s="219">
        <v>0</v>
      </c>
      <c r="B233" s="219">
        <v>77657786189</v>
      </c>
      <c r="C233" s="233" t="s">
        <v>336</v>
      </c>
      <c r="D233" s="219">
        <v>125933392234</v>
      </c>
      <c r="E233" s="219">
        <v>48275606045</v>
      </c>
      <c r="F233" s="232">
        <f>B233-D233</f>
        <v>-48275606045</v>
      </c>
      <c r="G233" s="232" t="b">
        <f>F233=I233</f>
        <v>1</v>
      </c>
      <c r="H233" s="230" t="s">
        <v>335</v>
      </c>
      <c r="I233" s="235">
        <f>A233-E233</f>
        <v>-48275606045</v>
      </c>
      <c r="J233" s="234"/>
    </row>
    <row r="234" spans="1:10" ht="17.25" x14ac:dyDescent="0.3">
      <c r="A234" s="219">
        <v>130574329550</v>
      </c>
      <c r="B234" s="219">
        <v>554284548843</v>
      </c>
      <c r="C234" s="233" t="s">
        <v>334</v>
      </c>
      <c r="D234" s="219">
        <v>423710219293</v>
      </c>
      <c r="E234" s="219">
        <v>0</v>
      </c>
      <c r="F234" s="232">
        <f>B234-D234</f>
        <v>130574329550</v>
      </c>
      <c r="G234" s="232" t="b">
        <f>F234=I234</f>
        <v>1</v>
      </c>
      <c r="H234" s="230" t="s">
        <v>326</v>
      </c>
      <c r="I234" s="235">
        <f>A234-E234</f>
        <v>130574329550</v>
      </c>
      <c r="J234" s="234"/>
    </row>
    <row r="235" spans="1:10" ht="17.25" x14ac:dyDescent="0.3">
      <c r="A235" s="219">
        <v>906076787</v>
      </c>
      <c r="B235" s="219">
        <v>2718230361</v>
      </c>
      <c r="C235" s="233" t="s">
        <v>333</v>
      </c>
      <c r="D235" s="219">
        <v>1812153574</v>
      </c>
      <c r="E235" s="219">
        <v>0</v>
      </c>
      <c r="F235" s="232">
        <f>B235-D235</f>
        <v>906076787</v>
      </c>
      <c r="G235" s="232" t="b">
        <f>F235=I235</f>
        <v>1</v>
      </c>
      <c r="H235" s="230" t="s">
        <v>326</v>
      </c>
      <c r="I235" s="235">
        <f>A235-E235</f>
        <v>906076787</v>
      </c>
      <c r="J235" s="234"/>
    </row>
    <row r="236" spans="1:10" ht="17.25" x14ac:dyDescent="0.3">
      <c r="A236" s="219">
        <v>72000000</v>
      </c>
      <c r="B236" s="219">
        <v>209720000</v>
      </c>
      <c r="C236" s="233" t="s">
        <v>332</v>
      </c>
      <c r="D236" s="219">
        <v>137720000</v>
      </c>
      <c r="E236" s="219">
        <v>0</v>
      </c>
      <c r="F236" s="232"/>
      <c r="G236" s="232"/>
      <c r="I236" s="235"/>
      <c r="J236" s="234"/>
    </row>
    <row r="237" spans="1:10" ht="17.25" x14ac:dyDescent="0.3">
      <c r="A237" s="219">
        <v>9581798</v>
      </c>
      <c r="B237" s="219">
        <v>28745394</v>
      </c>
      <c r="C237" s="233" t="s">
        <v>331</v>
      </c>
      <c r="D237" s="219">
        <v>19163596</v>
      </c>
      <c r="E237" s="219">
        <v>0</v>
      </c>
      <c r="F237" s="232"/>
      <c r="G237" s="232"/>
      <c r="I237" s="235"/>
      <c r="J237" s="234"/>
    </row>
    <row r="238" spans="1:10" ht="17.25" x14ac:dyDescent="0.3">
      <c r="A238" s="219">
        <v>10069823947</v>
      </c>
      <c r="B238" s="219">
        <v>17883963719</v>
      </c>
      <c r="C238" s="233" t="s">
        <v>330</v>
      </c>
      <c r="D238" s="219">
        <v>7814139772</v>
      </c>
      <c r="E238" s="219">
        <v>0</v>
      </c>
      <c r="F238" s="232">
        <f>B238-D238</f>
        <v>10069823947</v>
      </c>
      <c r="G238" s="232" t="b">
        <f>F238=I238</f>
        <v>1</v>
      </c>
      <c r="H238" s="230" t="s">
        <v>326</v>
      </c>
      <c r="I238" s="235">
        <f>A238-E238</f>
        <v>10069823947</v>
      </c>
      <c r="J238" s="234"/>
    </row>
    <row r="239" spans="1:10" ht="17.25" x14ac:dyDescent="0.3">
      <c r="A239" s="219">
        <v>3577948</v>
      </c>
      <c r="B239" s="219">
        <v>10733844</v>
      </c>
      <c r="C239" s="233" t="s">
        <v>329</v>
      </c>
      <c r="D239" s="219">
        <v>7155896</v>
      </c>
      <c r="E239" s="219">
        <v>0</v>
      </c>
      <c r="F239" s="232"/>
      <c r="G239" s="232"/>
      <c r="I239" s="235"/>
      <c r="J239" s="234"/>
    </row>
    <row r="240" spans="1:10" ht="17.25" x14ac:dyDescent="0.3">
      <c r="A240" s="219">
        <v>747139713</v>
      </c>
      <c r="B240" s="219">
        <v>912183776</v>
      </c>
      <c r="C240" s="233" t="s">
        <v>328</v>
      </c>
      <c r="D240" s="219">
        <v>165044063</v>
      </c>
      <c r="E240" s="219">
        <v>0</v>
      </c>
      <c r="F240" s="232"/>
      <c r="G240" s="232"/>
      <c r="I240" s="235"/>
      <c r="J240" s="234"/>
    </row>
    <row r="241" spans="1:9" ht="18" customHeight="1" thickBot="1" x14ac:dyDescent="0.35">
      <c r="A241" s="219">
        <v>1540926941</v>
      </c>
      <c r="B241" s="219">
        <v>5829102408</v>
      </c>
      <c r="C241" s="233" t="s">
        <v>327</v>
      </c>
      <c r="D241" s="219">
        <v>4288175467</v>
      </c>
      <c r="E241" s="219">
        <v>0</v>
      </c>
      <c r="F241" s="232">
        <f>B241-D241</f>
        <v>1540926941</v>
      </c>
      <c r="G241" s="232" t="b">
        <f>F241=I241</f>
        <v>1</v>
      </c>
      <c r="H241" s="230" t="s">
        <v>326</v>
      </c>
      <c r="I241" s="229">
        <f>A241-E241</f>
        <v>1540926941</v>
      </c>
    </row>
    <row r="242" spans="1:9" ht="17.25" thickBot="1" x14ac:dyDescent="0.35">
      <c r="A242" s="231">
        <v>47713250083010</v>
      </c>
      <c r="B242" s="231">
        <v>108795353473632</v>
      </c>
      <c r="C242" s="231" t="s">
        <v>325</v>
      </c>
      <c r="D242" s="231">
        <v>108071702916874</v>
      </c>
      <c r="E242" s="231">
        <v>46989599526252</v>
      </c>
    </row>
  </sheetData>
  <autoFilter ref="A3:H241"/>
  <mergeCells count="1">
    <mergeCell ref="A1:E1"/>
  </mergeCells>
  <phoneticPr fontId="124" type="noConversion"/>
  <pageMargins left="0.7" right="0.7" top="0.75" bottom="0.75" header="0.3" footer="0.3"/>
  <pageSetup paperSize="9" scale="49" orientation="portrait" verticalDpi="0" r:id="rId1"/>
  <rowBreaks count="2" manualBreakCount="2">
    <brk id="79" max="8" man="1"/>
    <brk id="16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#1. 재무상태표</vt:lpstr>
      <vt:lpstr>#2. 손익계산서</vt:lpstr>
      <vt:lpstr>#3. 운영사업원가명세서</vt:lpstr>
      <vt:lpstr>#4. 수탁사업원가명세서</vt:lpstr>
      <vt:lpstr>#5. 영업비용명세서</vt:lpstr>
      <vt:lpstr>#6. 자본변동표</vt:lpstr>
      <vt:lpstr>#7. 현금흐름표</vt:lpstr>
      <vt:lpstr>#8. 합계잔액시산표.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사용자-전화번호</dc:creator>
  <cp:lastModifiedBy>홍길둥-0000</cp:lastModifiedBy>
  <cp:revision>1</cp:revision>
  <cp:lastPrinted>2024-03-11T01:55:57Z</cp:lastPrinted>
  <dcterms:created xsi:type="dcterms:W3CDTF">2019-07-05T01:59:17Z</dcterms:created>
  <dcterms:modified xsi:type="dcterms:W3CDTF">2025-04-22T07:59:34Z</dcterms:modified>
  <cp:version>0906.0200.01</cp:version>
</cp:coreProperties>
</file>