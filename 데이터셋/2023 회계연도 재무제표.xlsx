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박진영 PC\1. 결산업무\1-1. 결산 완료 자료(2016~2021)\결산 완료 자료(2023년)\12월\확정재무제표\확정자료 들\"/>
    </mc:Choice>
  </mc:AlternateContent>
  <bookViews>
    <workbookView xWindow="3930" yWindow="19095" windowWidth="23250" windowHeight="12450" tabRatio="852" firstSheet="1" activeTab="1"/>
  </bookViews>
  <sheets>
    <sheet name="#1-1. 재무상태표 입력서식" sheetId="66" state="hidden" r:id="rId1"/>
    <sheet name="#1. 재무상태표" sheetId="67" r:id="rId2"/>
    <sheet name="#2. 손익계산서" sheetId="3" r:id="rId3"/>
    <sheet name="#3. 운영사업원가명세서" sheetId="6" r:id="rId4"/>
    <sheet name="#4. 수탁사업원가명세서" sheetId="7" r:id="rId5"/>
    <sheet name="#5. 영업비용명세서" sheetId="8" r:id="rId6"/>
    <sheet name="#6. 자본변동표" sheetId="115" r:id="rId7"/>
    <sheet name="#7. 현금흐름표" sheetId="116" r:id="rId8"/>
    <sheet name="#8. 합계잔액시산표" sheetId="117" r:id="rId9"/>
  </sheets>
  <externalReferences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</externalReferences>
  <definedNames>
    <definedName name="______D580436">#REF!</definedName>
    <definedName name="______DAT17">#REF!</definedName>
    <definedName name="______DAT18">#REF!</definedName>
    <definedName name="______DAT19">#REF!</definedName>
    <definedName name="______DAT20">#REF!</definedName>
    <definedName name="______DAT21">#REF!</definedName>
    <definedName name="______DAT22">#REF!</definedName>
    <definedName name="______DAT23">#REF!</definedName>
    <definedName name="______DAT24">#REF!</definedName>
    <definedName name="____D580436">#REF!</definedName>
    <definedName name="____DAT17">#REF!</definedName>
    <definedName name="____DAT18">#REF!</definedName>
    <definedName name="____DAT19">#REF!</definedName>
    <definedName name="____DAT20">#REF!</definedName>
    <definedName name="____DAT21">#REF!</definedName>
    <definedName name="____DAT22">#REF!</definedName>
    <definedName name="____DAT23">#REF!</definedName>
    <definedName name="____DAT24">#REF!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123Graph_A" hidden="1">[1]시산표!#REF!</definedName>
    <definedName name="__123Graph_B" hidden="1">[1]시산표!#REF!</definedName>
    <definedName name="__123Graph_LBL_A" hidden="1">[1]시산표!#REF!</definedName>
    <definedName name="__123Graph_LBL_B" hidden="1">[1]시산표!#REF!</definedName>
    <definedName name="__123Graph_X" hidden="1">[1]시산표!#REF!</definedName>
    <definedName name="__D580436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#REF!</definedName>
    <definedName name="__DAT20">#REF!</definedName>
    <definedName name="__DAT21">#REF!</definedName>
    <definedName name="__DAT22">#REF!</definedName>
    <definedName name="__DAT23">#REF!</definedName>
    <definedName name="__DAT24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Fill" hidden="1">[2]시산표!$AB$496:$AB$560</definedName>
    <definedName name="_xlnm._FilterDatabase" localSheetId="0" hidden="1">'#1-1. 재무상태표 입력서식'!$A$2:$E$369</definedName>
    <definedName name="_xlnm._FilterDatabase" localSheetId="8" hidden="1">'#8. 합계잔액시산표'!$A$4:$L$4</definedName>
    <definedName name="_k110">[3]Krw!$G$3:$G$370</definedName>
    <definedName name="_k120">[3]Krw!$H$3:$H$370</definedName>
    <definedName name="_k126">[3]Krw!$I$3:$I$370</definedName>
    <definedName name="_k140">[3]Krw!$J$3:$J$370</definedName>
    <definedName name="_k150">[3]Krw!$K$3:$K$370</definedName>
    <definedName name="_k155">[3]Krw!$L$3:$L$370</definedName>
    <definedName name="_k160">[3]Krw!$M$3:$M$370</definedName>
    <definedName name="_k185">[3]Krw!$N$3:$N$370</definedName>
    <definedName name="_k310">[3]Krw!$O$3:$O$370</definedName>
    <definedName name="_k315">[3]Krw!$P$3:$P$370</definedName>
    <definedName name="_k320">[3]Krw!$Q$3:$Q$370</definedName>
    <definedName name="_k325">[3]Krw!$R$3:$R$370</definedName>
    <definedName name="_k330">[3]Krw!$S$3:$S$370</definedName>
    <definedName name="_k341">[3]Krw!$T$3:$T$370</definedName>
    <definedName name="_k410">[3]Krw!$U$3:$U$370</definedName>
    <definedName name="_k510">[3]Krw!$V$3:$V$370</definedName>
    <definedName name="_k511">[3]Krw!#REF!</definedName>
    <definedName name="_k512">[3]Krw!$W$3:$W$370</definedName>
    <definedName name="_kHKG">[3]Krw!$X$3:$X$370</definedName>
    <definedName name="_u110">#REF!</definedName>
    <definedName name="_u120">#REF!</definedName>
    <definedName name="_u126">#REF!</definedName>
    <definedName name="_u140">#REF!</definedName>
    <definedName name="_u150">#REF!</definedName>
    <definedName name="_u155">#REF!</definedName>
    <definedName name="_u160">#REF!</definedName>
    <definedName name="_u180">#REF!</definedName>
    <definedName name="_u310">#REF!</definedName>
    <definedName name="_u315">#REF!</definedName>
    <definedName name="_u320">#REF!</definedName>
    <definedName name="_u325">#REF!</definedName>
    <definedName name="_u330">#REF!</definedName>
    <definedName name="_u410">#REF!</definedName>
    <definedName name="_u510">#REF!</definedName>
    <definedName name="_u512">#REF!</definedName>
    <definedName name="_uHKG">#REF!</definedName>
    <definedName name="\c">[1]시산표!#REF!</definedName>
    <definedName name="\h">[1]시산표!#REF!</definedName>
    <definedName name="\p">[1]시산표!#REF!</definedName>
    <definedName name="A">#REF!</definedName>
    <definedName name="AS2DocOpenMode" hidden="1">"AS2DocumentEdit"</definedName>
    <definedName name="cellIsStratified">#REF!</definedName>
    <definedName name="cellSampleSize">#REF!</definedName>
    <definedName name="cellSSF">#REF!</definedName>
    <definedName name="DATA1" localSheetId="6">#REF!</definedName>
    <definedName name="DATA1">#REF!</definedName>
    <definedName name="DATA10" localSheetId="6">#REF!</definedName>
    <definedName name="DATA10">#REF!</definedName>
    <definedName name="DATA11" localSheetId="6">#REF!</definedName>
    <definedName name="DATA11">#REF!</definedName>
    <definedName name="DATA12" localSheetId="6">#REF!</definedName>
    <definedName name="DATA12">#REF!</definedName>
    <definedName name="DATA13" localSheetId="6">#REF!</definedName>
    <definedName name="DATA13">#REF!</definedName>
    <definedName name="DATA14" localSheetId="6">#REF!</definedName>
    <definedName name="DATA14">#REF!</definedName>
    <definedName name="DATA15" localSheetId="6">#REF!</definedName>
    <definedName name="DATA15">#REF!</definedName>
    <definedName name="DATA16" localSheetId="6">#REF!</definedName>
    <definedName name="DATA16">#REF!</definedName>
    <definedName name="DATA17" localSheetId="6">#REF!</definedName>
    <definedName name="DATA17">#REF!</definedName>
    <definedName name="DATA18" localSheetId="6">#REF!</definedName>
    <definedName name="DATA18">#REF!</definedName>
    <definedName name="DATA19" localSheetId="6">#REF!</definedName>
    <definedName name="DATA19">#REF!</definedName>
    <definedName name="DATA2" localSheetId="6">#REF!</definedName>
    <definedName name="DATA2">#REF!</definedName>
    <definedName name="DATA20" localSheetId="6">#REF!</definedName>
    <definedName name="DATA20">#REF!</definedName>
    <definedName name="DATA21" localSheetId="6">#REF!</definedName>
    <definedName name="DATA21">#REF!</definedName>
    <definedName name="DATA22" localSheetId="6">#REF!</definedName>
    <definedName name="DATA22">#REF!</definedName>
    <definedName name="DATA23" localSheetId="6">#REF!</definedName>
    <definedName name="DATA23">#REF!</definedName>
    <definedName name="DATA24" localSheetId="6">#REF!</definedName>
    <definedName name="DATA24">#REF!</definedName>
    <definedName name="DATA25" localSheetId="6">#REF!</definedName>
    <definedName name="DATA25">#REF!</definedName>
    <definedName name="DATA26" localSheetId="6">#REF!</definedName>
    <definedName name="DATA26">#REF!</definedName>
    <definedName name="DATA27" localSheetId="6">#REF!</definedName>
    <definedName name="DATA27">#REF!</definedName>
    <definedName name="DATA28" localSheetId="6">#REF!</definedName>
    <definedName name="DATA28">#REF!</definedName>
    <definedName name="DATA29" localSheetId="6">#REF!</definedName>
    <definedName name="DATA29">#REF!</definedName>
    <definedName name="DATA3" localSheetId="6">#REF!</definedName>
    <definedName name="DATA3">#REF!</definedName>
    <definedName name="DATA30" localSheetId="6">#REF!</definedName>
    <definedName name="DATA30">#REF!</definedName>
    <definedName name="DATA31" localSheetId="6">#REF!</definedName>
    <definedName name="DATA31">#REF!</definedName>
    <definedName name="DATA32" localSheetId="6">#REF!</definedName>
    <definedName name="DATA32">#REF!</definedName>
    <definedName name="DATA33" localSheetId="6">#REF!</definedName>
    <definedName name="DATA33">#REF!</definedName>
    <definedName name="DATA34" localSheetId="6">#REF!</definedName>
    <definedName name="DATA34">#REF!</definedName>
    <definedName name="DATA35" localSheetId="6">#REF!</definedName>
    <definedName name="DATA35">#REF!</definedName>
    <definedName name="DATA36" localSheetId="6">#REF!</definedName>
    <definedName name="DATA36">#REF!</definedName>
    <definedName name="DATA37" localSheetId="6">#REF!</definedName>
    <definedName name="DATA37">#REF!</definedName>
    <definedName name="DATA38">#REF!</definedName>
    <definedName name="DATA4" localSheetId="6">#REF!</definedName>
    <definedName name="DATA4">#REF!</definedName>
    <definedName name="DATA5" localSheetId="6">#REF!</definedName>
    <definedName name="DATA5">#REF!</definedName>
    <definedName name="DATA6" localSheetId="6">#REF!</definedName>
    <definedName name="DATA6">#REF!</definedName>
    <definedName name="DATA7" localSheetId="6">#REF!</definedName>
    <definedName name="DATA7">#REF!</definedName>
    <definedName name="DATA8" localSheetId="6">#REF!</definedName>
    <definedName name="DATA8">#REF!</definedName>
    <definedName name="DATA9" localSheetId="6">#REF!</definedName>
    <definedName name="DATA9">#REF!</definedName>
    <definedName name="_xlnm.Database">#REF!</definedName>
    <definedName name="dItemsToTest">#REF!</definedName>
    <definedName name="dPlanningMateriality">#REF!</definedName>
    <definedName name="dTotalPopulationBookValue">#REF!</definedName>
    <definedName name="_xlnm.Extract">#REF!</definedName>
    <definedName name="G">'[4] 견적서'!#REF!</definedName>
    <definedName name="krw">[3]Krw!$A$3:$A$370</definedName>
    <definedName name="Print">[5]합손!#REF!</definedName>
    <definedName name="_xlnm.Print_Area" localSheetId="1">'#1. 재무상태표'!$A$1:$I$121</definedName>
    <definedName name="_xlnm.Print_Area" localSheetId="3">'#3. 운영사업원가명세서'!$A$1:$H$33</definedName>
    <definedName name="_xlnm.Print_Area" localSheetId="4">'#4. 수탁사업원가명세서'!$A$1:$H$35</definedName>
    <definedName name="_xlnm.Print_Area" localSheetId="5">'#5. 영업비용명세서'!$A$1:$H$35</definedName>
    <definedName name="_xlnm.Print_Area" localSheetId="6">'#6. 자본변동표'!$A$1:$E$23</definedName>
    <definedName name="_xlnm.Print_Area" localSheetId="7">'#7. 현금흐름표'!$A$1:$E$92</definedName>
    <definedName name="_xlnm.Print_Area" localSheetId="8">'#8. 합계잔액시산표'!$A$1:$E$251</definedName>
    <definedName name="_xlnm.Print_Area">[6]합손!#REF!</definedName>
    <definedName name="_xlnm.Print_Titles" localSheetId="1">'#1. 재무상태표'!$6:$6</definedName>
    <definedName name="_xlnm.Print_Titles" localSheetId="2">'#2. 손익계산서'!$6:$6</definedName>
    <definedName name="_xlnm.Print_Titles">#N/A</definedName>
    <definedName name="rate">[7]rate!$A$1</definedName>
    <definedName name="RKSK" hidden="1">[8]시산표!#REF!</definedName>
    <definedName name="SAPBEXrevision" hidden="1">6</definedName>
    <definedName name="SAPBEXsysID" hidden="1">"SBP"</definedName>
    <definedName name="SAPBEXwbID" hidden="1">"3MONAOKEVD0YVJ7BYB16D4KYJ"</definedName>
    <definedName name="TEST" hidden="1">[9]시산표!#REF!</definedName>
    <definedName name="TEST0">#REF!</definedName>
    <definedName name="TEST1" localSheetId="6">#REF!</definedName>
    <definedName name="TEST1">#REF!</definedName>
    <definedName name="TEST10" localSheetId="6">#REF!</definedName>
    <definedName name="TEST10">#REF!</definedName>
    <definedName name="TEST100" localSheetId="6">#REF!</definedName>
    <definedName name="TEST100">#REF!</definedName>
    <definedName name="TEST1000" localSheetId="6">#REF!</definedName>
    <definedName name="TEST1000">#REF!</definedName>
    <definedName name="TEST1001" localSheetId="6">#REF!</definedName>
    <definedName name="TEST1001">#REF!</definedName>
    <definedName name="TEST1002" localSheetId="6">#REF!</definedName>
    <definedName name="TEST1002">#REF!</definedName>
    <definedName name="TEST1003" localSheetId="6">#REF!</definedName>
    <definedName name="TEST1003">#REF!</definedName>
    <definedName name="TEST1004" localSheetId="6">#REF!</definedName>
    <definedName name="TEST1004">#REF!</definedName>
    <definedName name="TEST1005" localSheetId="6">#REF!</definedName>
    <definedName name="TEST1005">#REF!</definedName>
    <definedName name="TEST1006" localSheetId="6">#REF!</definedName>
    <definedName name="TEST1006">#REF!</definedName>
    <definedName name="TEST1007" localSheetId="6">#REF!</definedName>
    <definedName name="TEST1007">#REF!</definedName>
    <definedName name="TEST1008" localSheetId="6">#REF!</definedName>
    <definedName name="TEST1008">#REF!</definedName>
    <definedName name="TEST1009" localSheetId="6">#REF!</definedName>
    <definedName name="TEST1009">#REF!</definedName>
    <definedName name="TEST101" localSheetId="6">#REF!</definedName>
    <definedName name="TEST101">#REF!</definedName>
    <definedName name="TEST1010" localSheetId="6">#REF!</definedName>
    <definedName name="TEST1010">#REF!</definedName>
    <definedName name="TEST1011" localSheetId="6">#REF!</definedName>
    <definedName name="TEST1011">#REF!</definedName>
    <definedName name="TEST1012" localSheetId="6">#REF!</definedName>
    <definedName name="TEST1012">#REF!</definedName>
    <definedName name="TEST1013" localSheetId="6">#REF!</definedName>
    <definedName name="TEST1013">#REF!</definedName>
    <definedName name="TEST1014" localSheetId="6">#REF!</definedName>
    <definedName name="TEST1014">#REF!</definedName>
    <definedName name="TEST1015" localSheetId="6">#REF!</definedName>
    <definedName name="TEST1015">#REF!</definedName>
    <definedName name="TEST1016" localSheetId="6">#REF!</definedName>
    <definedName name="TEST1016">#REF!</definedName>
    <definedName name="TEST1017" localSheetId="6">#REF!</definedName>
    <definedName name="TEST1017">#REF!</definedName>
    <definedName name="TEST1018" localSheetId="6">#REF!</definedName>
    <definedName name="TEST1018">#REF!</definedName>
    <definedName name="TEST1019" localSheetId="6">#REF!</definedName>
    <definedName name="TEST1019">#REF!</definedName>
    <definedName name="TEST102" localSheetId="6">#REF!</definedName>
    <definedName name="TEST102">#REF!</definedName>
    <definedName name="TEST1020" localSheetId="6">#REF!</definedName>
    <definedName name="TEST1020">#REF!</definedName>
    <definedName name="TEST1021" localSheetId="6">#REF!</definedName>
    <definedName name="TEST1021">#REF!</definedName>
    <definedName name="TEST1022" localSheetId="6">#REF!</definedName>
    <definedName name="TEST1022">#REF!</definedName>
    <definedName name="TEST1023" localSheetId="6">#REF!</definedName>
    <definedName name="TEST1023">#REF!</definedName>
    <definedName name="TEST1024" localSheetId="6">#REF!</definedName>
    <definedName name="TEST1024">#REF!</definedName>
    <definedName name="TEST1025" localSheetId="6">#REF!</definedName>
    <definedName name="TEST1025">#REF!</definedName>
    <definedName name="TEST1026" localSheetId="6">#REF!</definedName>
    <definedName name="TEST1026">#REF!</definedName>
    <definedName name="TEST1027" localSheetId="6">#REF!</definedName>
    <definedName name="TEST1027">#REF!</definedName>
    <definedName name="TEST1028" localSheetId="6">#REF!</definedName>
    <definedName name="TEST1028">#REF!</definedName>
    <definedName name="TEST1029" localSheetId="6">#REF!</definedName>
    <definedName name="TEST1029">#REF!</definedName>
    <definedName name="TEST103" localSheetId="6">#REF!</definedName>
    <definedName name="TEST103">#REF!</definedName>
    <definedName name="TEST1030" localSheetId="6">#REF!</definedName>
    <definedName name="TEST1030">#REF!</definedName>
    <definedName name="TEST1031" localSheetId="6">#REF!</definedName>
    <definedName name="TEST1031">#REF!</definedName>
    <definedName name="TEST1032" localSheetId="6">#REF!</definedName>
    <definedName name="TEST1032">#REF!</definedName>
    <definedName name="TEST1033" localSheetId="6">#REF!</definedName>
    <definedName name="TEST1033">#REF!</definedName>
    <definedName name="TEST1034" localSheetId="6">#REF!</definedName>
    <definedName name="TEST1034">#REF!</definedName>
    <definedName name="TEST1035" localSheetId="6">#REF!</definedName>
    <definedName name="TEST1035">#REF!</definedName>
    <definedName name="TEST1036" localSheetId="6">#REF!</definedName>
    <definedName name="TEST1036">#REF!</definedName>
    <definedName name="TEST1037" localSheetId="6">#REF!</definedName>
    <definedName name="TEST1037">#REF!</definedName>
    <definedName name="TEST1038" localSheetId="6">#REF!</definedName>
    <definedName name="TEST1038">#REF!</definedName>
    <definedName name="TEST1039" localSheetId="6">#REF!</definedName>
    <definedName name="TEST1039">#REF!</definedName>
    <definedName name="TEST104" localSheetId="6">#REF!</definedName>
    <definedName name="TEST104">#REF!</definedName>
    <definedName name="TEST1040" localSheetId="6">#REF!</definedName>
    <definedName name="TEST1040">#REF!</definedName>
    <definedName name="TEST1041" localSheetId="6">#REF!</definedName>
    <definedName name="TEST1041">#REF!</definedName>
    <definedName name="TEST1042" localSheetId="6">#REF!</definedName>
    <definedName name="TEST1042">#REF!</definedName>
    <definedName name="TEST1043" localSheetId="6">#REF!</definedName>
    <definedName name="TEST1043">#REF!</definedName>
    <definedName name="TEST1044" localSheetId="6">#REF!</definedName>
    <definedName name="TEST1044">#REF!</definedName>
    <definedName name="TEST1045" localSheetId="6">#REF!</definedName>
    <definedName name="TEST1045">#REF!</definedName>
    <definedName name="TEST1046" localSheetId="6">#REF!</definedName>
    <definedName name="TEST1046">#REF!</definedName>
    <definedName name="TEST1047" localSheetId="6">#REF!</definedName>
    <definedName name="TEST1047">#REF!</definedName>
    <definedName name="TEST1048" localSheetId="6">#REF!</definedName>
    <definedName name="TEST1048">#REF!</definedName>
    <definedName name="TEST1049" localSheetId="6">#REF!</definedName>
    <definedName name="TEST1049">#REF!</definedName>
    <definedName name="TEST105" localSheetId="6">#REF!</definedName>
    <definedName name="TEST105">#REF!</definedName>
    <definedName name="TEST1050" localSheetId="6">#REF!</definedName>
    <definedName name="TEST1050">#REF!</definedName>
    <definedName name="TEST1051" localSheetId="6">#REF!</definedName>
    <definedName name="TEST1051">#REF!</definedName>
    <definedName name="TEST1052" localSheetId="6">#REF!</definedName>
    <definedName name="TEST1052">#REF!</definedName>
    <definedName name="TEST1053" localSheetId="6">#REF!</definedName>
    <definedName name="TEST1053">#REF!</definedName>
    <definedName name="TEST1054" localSheetId="6">#REF!</definedName>
    <definedName name="TEST1054">#REF!</definedName>
    <definedName name="TEST1055" localSheetId="6">#REF!</definedName>
    <definedName name="TEST1055">#REF!</definedName>
    <definedName name="TEST1056" localSheetId="6">#REF!</definedName>
    <definedName name="TEST1056">#REF!</definedName>
    <definedName name="TEST1057" localSheetId="6">#REF!</definedName>
    <definedName name="TEST1057">#REF!</definedName>
    <definedName name="TEST1058" localSheetId="6">#REF!</definedName>
    <definedName name="TEST1058">#REF!</definedName>
    <definedName name="TEST1059" localSheetId="6">#REF!</definedName>
    <definedName name="TEST1059">#REF!</definedName>
    <definedName name="TEST106" localSheetId="6">#REF!</definedName>
    <definedName name="TEST106">#REF!</definedName>
    <definedName name="TEST1060" localSheetId="6">#REF!</definedName>
    <definedName name="TEST1060">#REF!</definedName>
    <definedName name="TEST1061" localSheetId="6">#REF!</definedName>
    <definedName name="TEST1061">#REF!</definedName>
    <definedName name="TEST1062" localSheetId="6">#REF!</definedName>
    <definedName name="TEST1062">#REF!</definedName>
    <definedName name="TEST1063" localSheetId="6">#REF!</definedName>
    <definedName name="TEST1063">#REF!</definedName>
    <definedName name="TEST1064" localSheetId="6">#REF!</definedName>
    <definedName name="TEST1064">#REF!</definedName>
    <definedName name="TEST1065" localSheetId="6">#REF!</definedName>
    <definedName name="TEST1065">#REF!</definedName>
    <definedName name="TEST1066" localSheetId="6">#REF!</definedName>
    <definedName name="TEST1066">#REF!</definedName>
    <definedName name="TEST1067" localSheetId="6">#REF!</definedName>
    <definedName name="TEST1067">#REF!</definedName>
    <definedName name="TEST1068" localSheetId="6">#REF!</definedName>
    <definedName name="TEST1068">#REF!</definedName>
    <definedName name="TEST1069" localSheetId="6">#REF!</definedName>
    <definedName name="TEST1069">#REF!</definedName>
    <definedName name="TEST107" localSheetId="6">#REF!</definedName>
    <definedName name="TEST107">#REF!</definedName>
    <definedName name="TEST1070" localSheetId="6">#REF!</definedName>
    <definedName name="TEST1070">#REF!</definedName>
    <definedName name="TEST1071" localSheetId="6">#REF!</definedName>
    <definedName name="TEST1071">#REF!</definedName>
    <definedName name="TEST1072" localSheetId="6">#REF!</definedName>
    <definedName name="TEST1072">#REF!</definedName>
    <definedName name="TEST1073" localSheetId="6">#REF!</definedName>
    <definedName name="TEST1073">#REF!</definedName>
    <definedName name="TEST1074" localSheetId="6">#REF!</definedName>
    <definedName name="TEST1074">#REF!</definedName>
    <definedName name="TEST1075" localSheetId="6">#REF!</definedName>
    <definedName name="TEST1075">#REF!</definedName>
    <definedName name="TEST1076" localSheetId="6">#REF!</definedName>
    <definedName name="TEST1076">#REF!</definedName>
    <definedName name="TEST1077" localSheetId="6">#REF!</definedName>
    <definedName name="TEST1077">#REF!</definedName>
    <definedName name="TEST1078" localSheetId="6">#REF!</definedName>
    <definedName name="TEST1078">#REF!</definedName>
    <definedName name="TEST1079" localSheetId="6">#REF!</definedName>
    <definedName name="TEST1079">#REF!</definedName>
    <definedName name="TEST108" localSheetId="6">#REF!</definedName>
    <definedName name="TEST108">#REF!</definedName>
    <definedName name="TEST1080" localSheetId="6">#REF!</definedName>
    <definedName name="TEST1080">#REF!</definedName>
    <definedName name="TEST1081" localSheetId="6">#REF!</definedName>
    <definedName name="TEST1081">#REF!</definedName>
    <definedName name="TEST1082" localSheetId="6">#REF!</definedName>
    <definedName name="TEST1082">#REF!</definedName>
    <definedName name="TEST1083" localSheetId="6">#REF!</definedName>
    <definedName name="TEST1083">#REF!</definedName>
    <definedName name="TEST1084" localSheetId="6">#REF!</definedName>
    <definedName name="TEST1084">#REF!</definedName>
    <definedName name="TEST1085" localSheetId="6">#REF!</definedName>
    <definedName name="TEST1085">#REF!</definedName>
    <definedName name="TEST1086" localSheetId="6">#REF!</definedName>
    <definedName name="TEST1086">#REF!</definedName>
    <definedName name="TEST1087" localSheetId="6">#REF!</definedName>
    <definedName name="TEST1087">#REF!</definedName>
    <definedName name="TEST1088" localSheetId="6">#REF!</definedName>
    <definedName name="TEST1088">#REF!</definedName>
    <definedName name="TEST1089" localSheetId="6">#REF!</definedName>
    <definedName name="TEST1089">#REF!</definedName>
    <definedName name="TEST109" localSheetId="6">#REF!</definedName>
    <definedName name="TEST109">#REF!</definedName>
    <definedName name="TEST1090" localSheetId="6">#REF!</definedName>
    <definedName name="TEST1090">#REF!</definedName>
    <definedName name="TEST1091" localSheetId="6">#REF!</definedName>
    <definedName name="TEST1091">#REF!</definedName>
    <definedName name="TEST1092" localSheetId="6">#REF!</definedName>
    <definedName name="TEST1092">#REF!</definedName>
    <definedName name="TEST1093" localSheetId="6">#REF!</definedName>
    <definedName name="TEST1093">#REF!</definedName>
    <definedName name="TEST1094" localSheetId="6">#REF!</definedName>
    <definedName name="TEST1094">#REF!</definedName>
    <definedName name="TEST1095" localSheetId="6">#REF!</definedName>
    <definedName name="TEST1095">#REF!</definedName>
    <definedName name="TEST1096" localSheetId="6">#REF!</definedName>
    <definedName name="TEST1096">#REF!</definedName>
    <definedName name="TEST1097" localSheetId="6">#REF!</definedName>
    <definedName name="TEST1097">#REF!</definedName>
    <definedName name="TEST1098" localSheetId="6">#REF!</definedName>
    <definedName name="TEST1098">#REF!</definedName>
    <definedName name="TEST1099" localSheetId="6">#REF!</definedName>
    <definedName name="TEST1099">#REF!</definedName>
    <definedName name="TEST11" localSheetId="6">#REF!</definedName>
    <definedName name="TEST11">#REF!</definedName>
    <definedName name="TEST110" localSheetId="6">#REF!</definedName>
    <definedName name="TEST110">#REF!</definedName>
    <definedName name="TEST1100" localSheetId="6">#REF!</definedName>
    <definedName name="TEST1100">#REF!</definedName>
    <definedName name="TEST1101" localSheetId="6">#REF!</definedName>
    <definedName name="TEST1101">#REF!</definedName>
    <definedName name="TEST1102" localSheetId="6">#REF!</definedName>
    <definedName name="TEST1102">#REF!</definedName>
    <definedName name="TEST1103" localSheetId="6">#REF!</definedName>
    <definedName name="TEST1103">#REF!</definedName>
    <definedName name="TEST1104" localSheetId="6">#REF!</definedName>
    <definedName name="TEST1104">#REF!</definedName>
    <definedName name="TEST1105" localSheetId="6">#REF!</definedName>
    <definedName name="TEST1105">#REF!</definedName>
    <definedName name="TEST1106" localSheetId="6">#REF!</definedName>
    <definedName name="TEST1106">#REF!</definedName>
    <definedName name="TEST1107" localSheetId="6">#REF!</definedName>
    <definedName name="TEST1107">#REF!</definedName>
    <definedName name="TEST1108" localSheetId="6">#REF!</definedName>
    <definedName name="TEST1108">#REF!</definedName>
    <definedName name="TEST1109" localSheetId="6">#REF!</definedName>
    <definedName name="TEST1109">#REF!</definedName>
    <definedName name="TEST111" localSheetId="6">#REF!</definedName>
    <definedName name="TEST111">#REF!</definedName>
    <definedName name="TEST1110" localSheetId="6">#REF!</definedName>
    <definedName name="TEST1110">#REF!</definedName>
    <definedName name="TEST1111" localSheetId="6">#REF!</definedName>
    <definedName name="TEST1111">#REF!</definedName>
    <definedName name="TEST1112" localSheetId="6">#REF!</definedName>
    <definedName name="TEST1112">#REF!</definedName>
    <definedName name="TEST1113" localSheetId="6">#REF!</definedName>
    <definedName name="TEST1113">#REF!</definedName>
    <definedName name="TEST1114" localSheetId="6">#REF!</definedName>
    <definedName name="TEST1114">#REF!</definedName>
    <definedName name="TEST1115" localSheetId="6">#REF!</definedName>
    <definedName name="TEST1115">#REF!</definedName>
    <definedName name="TEST1116" localSheetId="6">#REF!</definedName>
    <definedName name="TEST1116">#REF!</definedName>
    <definedName name="TEST1117" localSheetId="6">#REF!</definedName>
    <definedName name="TEST1117">#REF!</definedName>
    <definedName name="TEST1118" localSheetId="6">#REF!</definedName>
    <definedName name="TEST1118">#REF!</definedName>
    <definedName name="TEST1119" localSheetId="6">#REF!</definedName>
    <definedName name="TEST1119">#REF!</definedName>
    <definedName name="TEST112" localSheetId="6">#REF!</definedName>
    <definedName name="TEST112">#REF!</definedName>
    <definedName name="TEST1120" localSheetId="6">#REF!</definedName>
    <definedName name="TEST1120">#REF!</definedName>
    <definedName name="TEST1121" localSheetId="6">#REF!</definedName>
    <definedName name="TEST1121">#REF!</definedName>
    <definedName name="TEST1122" localSheetId="6">#REF!</definedName>
    <definedName name="TEST1122">#REF!</definedName>
    <definedName name="TEST1123" localSheetId="6">#REF!</definedName>
    <definedName name="TEST1123">#REF!</definedName>
    <definedName name="TEST1124" localSheetId="6">#REF!</definedName>
    <definedName name="TEST1124">#REF!</definedName>
    <definedName name="TEST1125" localSheetId="6">#REF!</definedName>
    <definedName name="TEST1125">#REF!</definedName>
    <definedName name="TEST1126" localSheetId="6">#REF!</definedName>
    <definedName name="TEST1126">#REF!</definedName>
    <definedName name="TEST1127" localSheetId="6">#REF!</definedName>
    <definedName name="TEST1127">#REF!</definedName>
    <definedName name="TEST1128" localSheetId="6">#REF!</definedName>
    <definedName name="TEST1128">#REF!</definedName>
    <definedName name="TEST1129" localSheetId="6">#REF!</definedName>
    <definedName name="TEST1129">#REF!</definedName>
    <definedName name="TEST113" localSheetId="6">#REF!</definedName>
    <definedName name="TEST113">#REF!</definedName>
    <definedName name="TEST1130" localSheetId="6">#REF!</definedName>
    <definedName name="TEST1130">#REF!</definedName>
    <definedName name="TEST1131" localSheetId="6">#REF!</definedName>
    <definedName name="TEST1131">#REF!</definedName>
    <definedName name="TEST1132" localSheetId="6">#REF!</definedName>
    <definedName name="TEST1132">#REF!</definedName>
    <definedName name="TEST1133" localSheetId="6">#REF!</definedName>
    <definedName name="TEST1133">#REF!</definedName>
    <definedName name="TEST1134" localSheetId="6">#REF!</definedName>
    <definedName name="TEST1134">#REF!</definedName>
    <definedName name="TEST1135" localSheetId="6">#REF!</definedName>
    <definedName name="TEST1135">#REF!</definedName>
    <definedName name="TEST1136" localSheetId="6">#REF!</definedName>
    <definedName name="TEST1136">#REF!</definedName>
    <definedName name="TEST1137" localSheetId="6">#REF!</definedName>
    <definedName name="TEST1137">#REF!</definedName>
    <definedName name="TEST1138" localSheetId="6">#REF!</definedName>
    <definedName name="TEST1138">#REF!</definedName>
    <definedName name="TEST1139" localSheetId="6">#REF!</definedName>
    <definedName name="TEST1139">#REF!</definedName>
    <definedName name="TEST114" localSheetId="6">#REF!</definedName>
    <definedName name="TEST114">#REF!</definedName>
    <definedName name="TEST1140" localSheetId="6">#REF!</definedName>
    <definedName name="TEST1140">#REF!</definedName>
    <definedName name="TEST1141" localSheetId="6">#REF!</definedName>
    <definedName name="TEST1141">#REF!</definedName>
    <definedName name="TEST1142" localSheetId="6">#REF!</definedName>
    <definedName name="TEST1142">#REF!</definedName>
    <definedName name="TEST1143" localSheetId="6">#REF!</definedName>
    <definedName name="TEST1143">#REF!</definedName>
    <definedName name="TEST1144" localSheetId="6">#REF!</definedName>
    <definedName name="TEST1144">#REF!</definedName>
    <definedName name="TEST1145" localSheetId="6">#REF!</definedName>
    <definedName name="TEST1145">#REF!</definedName>
    <definedName name="TEST1146" localSheetId="6">#REF!</definedName>
    <definedName name="TEST1146">#REF!</definedName>
    <definedName name="TEST1147" localSheetId="6">#REF!</definedName>
    <definedName name="TEST1147">#REF!</definedName>
    <definedName name="TEST1148" localSheetId="6">#REF!</definedName>
    <definedName name="TEST1148">#REF!</definedName>
    <definedName name="TEST1149" localSheetId="6">#REF!</definedName>
    <definedName name="TEST1149">#REF!</definedName>
    <definedName name="TEST115" localSheetId="6">#REF!</definedName>
    <definedName name="TEST115">#REF!</definedName>
    <definedName name="TEST1150" localSheetId="6">#REF!</definedName>
    <definedName name="TEST1150">#REF!</definedName>
    <definedName name="TEST1151" localSheetId="6">#REF!</definedName>
    <definedName name="TEST1151">#REF!</definedName>
    <definedName name="TEST1152" localSheetId="6">#REF!</definedName>
    <definedName name="TEST1152">#REF!</definedName>
    <definedName name="TEST1153" localSheetId="6">#REF!</definedName>
    <definedName name="TEST1153">#REF!</definedName>
    <definedName name="TEST1154" localSheetId="6">#REF!</definedName>
    <definedName name="TEST1154">#REF!</definedName>
    <definedName name="TEST1155" localSheetId="6">#REF!</definedName>
    <definedName name="TEST1155">#REF!</definedName>
    <definedName name="TEST1156" localSheetId="6">#REF!</definedName>
    <definedName name="TEST1156">#REF!</definedName>
    <definedName name="TEST1157" localSheetId="6">#REF!</definedName>
    <definedName name="TEST1157">#REF!</definedName>
    <definedName name="TEST1158" localSheetId="6">#REF!</definedName>
    <definedName name="TEST1158">#REF!</definedName>
    <definedName name="TEST1159" localSheetId="6">#REF!</definedName>
    <definedName name="TEST1159">#REF!</definedName>
    <definedName name="TEST116" localSheetId="6">#REF!</definedName>
    <definedName name="TEST116">#REF!</definedName>
    <definedName name="TEST1160" localSheetId="6">#REF!</definedName>
    <definedName name="TEST1160">#REF!</definedName>
    <definedName name="TEST1161" localSheetId="6">#REF!</definedName>
    <definedName name="TEST1161">#REF!</definedName>
    <definedName name="TEST1162" localSheetId="6">#REF!</definedName>
    <definedName name="TEST1162">#REF!</definedName>
    <definedName name="TEST1163" localSheetId="6">#REF!</definedName>
    <definedName name="TEST1163">#REF!</definedName>
    <definedName name="TEST1164" localSheetId="6">#REF!</definedName>
    <definedName name="TEST1164">#REF!</definedName>
    <definedName name="TEST1165" localSheetId="6">#REF!</definedName>
    <definedName name="TEST1165">#REF!</definedName>
    <definedName name="TEST1166" localSheetId="6">#REF!</definedName>
    <definedName name="TEST1166">#REF!</definedName>
    <definedName name="TEST1167" localSheetId="6">#REF!</definedName>
    <definedName name="TEST1167">#REF!</definedName>
    <definedName name="TEST1168" localSheetId="6">#REF!</definedName>
    <definedName name="TEST1168">#REF!</definedName>
    <definedName name="TEST1169" localSheetId="6">#REF!</definedName>
    <definedName name="TEST1169">#REF!</definedName>
    <definedName name="TEST117" localSheetId="6">#REF!</definedName>
    <definedName name="TEST117">#REF!</definedName>
    <definedName name="TEST1170" localSheetId="6">#REF!</definedName>
    <definedName name="TEST1170">#REF!</definedName>
    <definedName name="TEST1171" localSheetId="6">#REF!</definedName>
    <definedName name="TEST1171">#REF!</definedName>
    <definedName name="TEST1172" localSheetId="6">#REF!</definedName>
    <definedName name="TEST1172">#REF!</definedName>
    <definedName name="TEST1173" localSheetId="6">#REF!</definedName>
    <definedName name="TEST1173">#REF!</definedName>
    <definedName name="TEST1174" localSheetId="6">#REF!</definedName>
    <definedName name="TEST1174">#REF!</definedName>
    <definedName name="TEST1175" localSheetId="6">#REF!</definedName>
    <definedName name="TEST1175">#REF!</definedName>
    <definedName name="TEST1176" localSheetId="6">#REF!</definedName>
    <definedName name="TEST1176">#REF!</definedName>
    <definedName name="TEST1177" localSheetId="6">#REF!</definedName>
    <definedName name="TEST1177">#REF!</definedName>
    <definedName name="TEST1178" localSheetId="6">#REF!</definedName>
    <definedName name="TEST1178">#REF!</definedName>
    <definedName name="TEST1179" localSheetId="6">#REF!</definedName>
    <definedName name="TEST1179">#REF!</definedName>
    <definedName name="TEST118" localSheetId="6">#REF!</definedName>
    <definedName name="TEST118">#REF!</definedName>
    <definedName name="TEST1180" localSheetId="6">#REF!</definedName>
    <definedName name="TEST1180">#REF!</definedName>
    <definedName name="TEST1181" localSheetId="6">#REF!</definedName>
    <definedName name="TEST1181">#REF!</definedName>
    <definedName name="TEST1182" localSheetId="6">#REF!</definedName>
    <definedName name="TEST1182">#REF!</definedName>
    <definedName name="TEST1183" localSheetId="6">#REF!</definedName>
    <definedName name="TEST1183">#REF!</definedName>
    <definedName name="TEST1184" localSheetId="6">#REF!</definedName>
    <definedName name="TEST1184">#REF!</definedName>
    <definedName name="TEST1185" localSheetId="6">#REF!</definedName>
    <definedName name="TEST1185">#REF!</definedName>
    <definedName name="TEST1186" localSheetId="6">#REF!</definedName>
    <definedName name="TEST1186">#REF!</definedName>
    <definedName name="TEST1187" localSheetId="6">#REF!</definedName>
    <definedName name="TEST1187">#REF!</definedName>
    <definedName name="TEST1188" localSheetId="6">#REF!</definedName>
    <definedName name="TEST1188">#REF!</definedName>
    <definedName name="TEST1189" localSheetId="6">#REF!</definedName>
    <definedName name="TEST1189">#REF!</definedName>
    <definedName name="TEST119" localSheetId="6">#REF!</definedName>
    <definedName name="TEST119">#REF!</definedName>
    <definedName name="TEST1190" localSheetId="6">#REF!</definedName>
    <definedName name="TEST1190">#REF!</definedName>
    <definedName name="TEST1191" localSheetId="6">#REF!</definedName>
    <definedName name="TEST1191">#REF!</definedName>
    <definedName name="TEST1192" localSheetId="6">#REF!</definedName>
    <definedName name="TEST1192">#REF!</definedName>
    <definedName name="TEST1193" localSheetId="6">#REF!</definedName>
    <definedName name="TEST1193">#REF!</definedName>
    <definedName name="TEST1194" localSheetId="6">#REF!</definedName>
    <definedName name="TEST1194">#REF!</definedName>
    <definedName name="TEST1195" localSheetId="6">#REF!</definedName>
    <definedName name="TEST1195">#REF!</definedName>
    <definedName name="TEST1196" localSheetId="6">#REF!</definedName>
    <definedName name="TEST1196">#REF!</definedName>
    <definedName name="TEST1197" localSheetId="6">#REF!</definedName>
    <definedName name="TEST1197">#REF!</definedName>
    <definedName name="TEST1198" localSheetId="6">#REF!</definedName>
    <definedName name="TEST1198">#REF!</definedName>
    <definedName name="TEST1199" localSheetId="6">#REF!</definedName>
    <definedName name="TEST1199">#REF!</definedName>
    <definedName name="TEST12" localSheetId="6">#REF!</definedName>
    <definedName name="TEST12">#REF!</definedName>
    <definedName name="TEST120" localSheetId="6">#REF!</definedName>
    <definedName name="TEST120">#REF!</definedName>
    <definedName name="TEST1200" localSheetId="6">#REF!</definedName>
    <definedName name="TEST1200">#REF!</definedName>
    <definedName name="TEST1201" localSheetId="6">#REF!</definedName>
    <definedName name="TEST1201">#REF!</definedName>
    <definedName name="TEST1202" localSheetId="6">#REF!</definedName>
    <definedName name="TEST1202">#REF!</definedName>
    <definedName name="TEST1203" localSheetId="6">#REF!</definedName>
    <definedName name="TEST1203">#REF!</definedName>
    <definedName name="TEST1204" localSheetId="6">#REF!</definedName>
    <definedName name="TEST1204">#REF!</definedName>
    <definedName name="TEST1205" localSheetId="6">#REF!</definedName>
    <definedName name="TEST1205">#REF!</definedName>
    <definedName name="TEST1206" localSheetId="6">#REF!</definedName>
    <definedName name="TEST1206">#REF!</definedName>
    <definedName name="TEST1207" localSheetId="6">#REF!</definedName>
    <definedName name="TEST1207">#REF!</definedName>
    <definedName name="TEST1208" localSheetId="6">#REF!</definedName>
    <definedName name="TEST1208">#REF!</definedName>
    <definedName name="TEST1209" localSheetId="6">#REF!</definedName>
    <definedName name="TEST1209">#REF!</definedName>
    <definedName name="TEST121" localSheetId="6">#REF!</definedName>
    <definedName name="TEST121">#REF!</definedName>
    <definedName name="TEST1210" localSheetId="6">#REF!</definedName>
    <definedName name="TEST1210">#REF!</definedName>
    <definedName name="TEST1211" localSheetId="6">#REF!</definedName>
    <definedName name="TEST1211">#REF!</definedName>
    <definedName name="TEST1212" localSheetId="6">#REF!</definedName>
    <definedName name="TEST1212">#REF!</definedName>
    <definedName name="TEST1213" localSheetId="6">#REF!</definedName>
    <definedName name="TEST1213">#REF!</definedName>
    <definedName name="TEST1214" localSheetId="6">#REF!</definedName>
    <definedName name="TEST1214">#REF!</definedName>
    <definedName name="TEST1215" localSheetId="6">#REF!</definedName>
    <definedName name="TEST1215">#REF!</definedName>
    <definedName name="TEST1216" localSheetId="6">#REF!</definedName>
    <definedName name="TEST1216">#REF!</definedName>
    <definedName name="TEST1217" localSheetId="6">#REF!</definedName>
    <definedName name="TEST1217">#REF!</definedName>
    <definedName name="TEST1218" localSheetId="6">#REF!</definedName>
    <definedName name="TEST1218">#REF!</definedName>
    <definedName name="TEST1219" localSheetId="6">#REF!</definedName>
    <definedName name="TEST1219">#REF!</definedName>
    <definedName name="TEST122" localSheetId="6">#REF!</definedName>
    <definedName name="TEST122">#REF!</definedName>
    <definedName name="TEST1220" localSheetId="6">#REF!</definedName>
    <definedName name="TEST1220">#REF!</definedName>
    <definedName name="TEST1221" localSheetId="6">#REF!</definedName>
    <definedName name="TEST1221">#REF!</definedName>
    <definedName name="TEST1222" localSheetId="6">#REF!</definedName>
    <definedName name="TEST1222">#REF!</definedName>
    <definedName name="TEST1223" localSheetId="6">#REF!</definedName>
    <definedName name="TEST1223">#REF!</definedName>
    <definedName name="TEST1224" localSheetId="6">#REF!</definedName>
    <definedName name="TEST1224">#REF!</definedName>
    <definedName name="TEST1225" localSheetId="6">#REF!</definedName>
    <definedName name="TEST1225">#REF!</definedName>
    <definedName name="TEST1226" localSheetId="6">#REF!</definedName>
    <definedName name="TEST1226">#REF!</definedName>
    <definedName name="TEST1227" localSheetId="6">#REF!</definedName>
    <definedName name="TEST1227">#REF!</definedName>
    <definedName name="TEST1228" localSheetId="6">#REF!</definedName>
    <definedName name="TEST1228">#REF!</definedName>
    <definedName name="TEST1229" localSheetId="6">#REF!</definedName>
    <definedName name="TEST1229">#REF!</definedName>
    <definedName name="TEST123" localSheetId="6">#REF!</definedName>
    <definedName name="TEST123">#REF!</definedName>
    <definedName name="TEST1230" localSheetId="6">#REF!</definedName>
    <definedName name="TEST1230">#REF!</definedName>
    <definedName name="TEST1231" localSheetId="6">#REF!</definedName>
    <definedName name="TEST1231">#REF!</definedName>
    <definedName name="TEST1232" localSheetId="6">#REF!</definedName>
    <definedName name="TEST1232">#REF!</definedName>
    <definedName name="TEST1233" localSheetId="6">#REF!</definedName>
    <definedName name="TEST1233">#REF!</definedName>
    <definedName name="TEST1234" localSheetId="6">#REF!</definedName>
    <definedName name="TEST1234">#REF!</definedName>
    <definedName name="TEST1235" localSheetId="6">#REF!</definedName>
    <definedName name="TEST1235">#REF!</definedName>
    <definedName name="TEST1236" localSheetId="6">#REF!</definedName>
    <definedName name="TEST1236">#REF!</definedName>
    <definedName name="TEST1237" localSheetId="6">#REF!</definedName>
    <definedName name="TEST1237">#REF!</definedName>
    <definedName name="TEST1238" localSheetId="6">#REF!</definedName>
    <definedName name="TEST1238">#REF!</definedName>
    <definedName name="TEST1239" localSheetId="6">#REF!</definedName>
    <definedName name="TEST1239">#REF!</definedName>
    <definedName name="TEST124" localSheetId="6">#REF!</definedName>
    <definedName name="TEST124">#REF!</definedName>
    <definedName name="TEST1240" localSheetId="6">#REF!</definedName>
    <definedName name="TEST1240">#REF!</definedName>
    <definedName name="TEST1241" localSheetId="6">#REF!</definedName>
    <definedName name="TEST1241">#REF!</definedName>
    <definedName name="TEST1242" localSheetId="6">#REF!</definedName>
    <definedName name="TEST1242">#REF!</definedName>
    <definedName name="TEST1243" localSheetId="6">#REF!</definedName>
    <definedName name="TEST1243">#REF!</definedName>
    <definedName name="TEST1244" localSheetId="6">#REF!</definedName>
    <definedName name="TEST1244">#REF!</definedName>
    <definedName name="TEST1245" localSheetId="6">#REF!</definedName>
    <definedName name="TEST1245">#REF!</definedName>
    <definedName name="TEST1246" localSheetId="6">#REF!</definedName>
    <definedName name="TEST1246">#REF!</definedName>
    <definedName name="TEST1247" localSheetId="6">#REF!</definedName>
    <definedName name="TEST1247">#REF!</definedName>
    <definedName name="TEST1248" localSheetId="6">#REF!</definedName>
    <definedName name="TEST1248">#REF!</definedName>
    <definedName name="TEST1249" localSheetId="6">#REF!</definedName>
    <definedName name="TEST1249">#REF!</definedName>
    <definedName name="TEST125" localSheetId="6">#REF!</definedName>
    <definedName name="TEST125">#REF!</definedName>
    <definedName name="TEST1250" localSheetId="6">#REF!</definedName>
    <definedName name="TEST1250">#REF!</definedName>
    <definedName name="TEST1251" localSheetId="6">#REF!</definedName>
    <definedName name="TEST1251">#REF!</definedName>
    <definedName name="TEST1252" localSheetId="6">#REF!</definedName>
    <definedName name="TEST1252">#REF!</definedName>
    <definedName name="TEST1253" localSheetId="6">#REF!</definedName>
    <definedName name="TEST1253">#REF!</definedName>
    <definedName name="TEST1254" localSheetId="6">#REF!</definedName>
    <definedName name="TEST1254">#REF!</definedName>
    <definedName name="TEST1255" localSheetId="6">#REF!</definedName>
    <definedName name="TEST1255">#REF!</definedName>
    <definedName name="TEST1256" localSheetId="6">#REF!</definedName>
    <definedName name="TEST1256">#REF!</definedName>
    <definedName name="TEST1257" localSheetId="6">#REF!</definedName>
    <definedName name="TEST1257">#REF!</definedName>
    <definedName name="TEST1258" localSheetId="6">#REF!</definedName>
    <definedName name="TEST1258">#REF!</definedName>
    <definedName name="TEST1259" localSheetId="6">#REF!</definedName>
    <definedName name="TEST1259">#REF!</definedName>
    <definedName name="TEST126" localSheetId="6">#REF!</definedName>
    <definedName name="TEST126">#REF!</definedName>
    <definedName name="TEST1260" localSheetId="6">#REF!</definedName>
    <definedName name="TEST1260">#REF!</definedName>
    <definedName name="TEST1261" localSheetId="6">#REF!</definedName>
    <definedName name="TEST1261">#REF!</definedName>
    <definedName name="TEST1262" localSheetId="6">#REF!</definedName>
    <definedName name="TEST1262">#REF!</definedName>
    <definedName name="TEST1263" localSheetId="6">#REF!</definedName>
    <definedName name="TEST1263">#REF!</definedName>
    <definedName name="TEST1264" localSheetId="6">#REF!</definedName>
    <definedName name="TEST1264">#REF!</definedName>
    <definedName name="TEST1265" localSheetId="6">#REF!</definedName>
    <definedName name="TEST1265">#REF!</definedName>
    <definedName name="TEST1266" localSheetId="6">#REF!</definedName>
    <definedName name="TEST1266">#REF!</definedName>
    <definedName name="TEST1267" localSheetId="6">#REF!</definedName>
    <definedName name="TEST1267">#REF!</definedName>
    <definedName name="TEST1268" localSheetId="6">#REF!</definedName>
    <definedName name="TEST1268">#REF!</definedName>
    <definedName name="TEST1269" localSheetId="6">#REF!</definedName>
    <definedName name="TEST1269">#REF!</definedName>
    <definedName name="TEST127" localSheetId="6">#REF!</definedName>
    <definedName name="TEST127">#REF!</definedName>
    <definedName name="TEST1270" localSheetId="6">#REF!</definedName>
    <definedName name="TEST1270">#REF!</definedName>
    <definedName name="TEST1271" localSheetId="6">#REF!</definedName>
    <definedName name="TEST1271">#REF!</definedName>
    <definedName name="TEST1272" localSheetId="6">#REF!</definedName>
    <definedName name="TEST1272">#REF!</definedName>
    <definedName name="TEST1273" localSheetId="6">#REF!</definedName>
    <definedName name="TEST1273">#REF!</definedName>
    <definedName name="TEST1274" localSheetId="6">#REF!</definedName>
    <definedName name="TEST1274">#REF!</definedName>
    <definedName name="TEST1275" localSheetId="6">#REF!</definedName>
    <definedName name="TEST1275">#REF!</definedName>
    <definedName name="TEST1276" localSheetId="6">#REF!</definedName>
    <definedName name="TEST1276">#REF!</definedName>
    <definedName name="TEST1277" localSheetId="6">#REF!</definedName>
    <definedName name="TEST1277">#REF!</definedName>
    <definedName name="TEST1278" localSheetId="6">#REF!</definedName>
    <definedName name="TEST1278">#REF!</definedName>
    <definedName name="TEST1279" localSheetId="6">#REF!</definedName>
    <definedName name="TEST1279">#REF!</definedName>
    <definedName name="TEST128" localSheetId="6">#REF!</definedName>
    <definedName name="TEST128">#REF!</definedName>
    <definedName name="TEST1280" localSheetId="6">#REF!</definedName>
    <definedName name="TEST1280">#REF!</definedName>
    <definedName name="TEST1281" localSheetId="6">#REF!</definedName>
    <definedName name="TEST1281">#REF!</definedName>
    <definedName name="TEST1282" localSheetId="6">#REF!</definedName>
    <definedName name="TEST1282">#REF!</definedName>
    <definedName name="TEST1283" localSheetId="6">#REF!</definedName>
    <definedName name="TEST1283">#REF!</definedName>
    <definedName name="TEST1284" localSheetId="6">#REF!</definedName>
    <definedName name="TEST1284">#REF!</definedName>
    <definedName name="TEST1285" localSheetId="6">#REF!</definedName>
    <definedName name="TEST1285">#REF!</definedName>
    <definedName name="TEST1286" localSheetId="6">#REF!</definedName>
    <definedName name="TEST1286">#REF!</definedName>
    <definedName name="TEST1287" localSheetId="6">#REF!</definedName>
    <definedName name="TEST1287">#REF!</definedName>
    <definedName name="TEST1288" localSheetId="6">#REF!</definedName>
    <definedName name="TEST1288">#REF!</definedName>
    <definedName name="TEST1289" localSheetId="6">#REF!</definedName>
    <definedName name="TEST1289">#REF!</definedName>
    <definedName name="TEST129" localSheetId="6">#REF!</definedName>
    <definedName name="TEST129">#REF!</definedName>
    <definedName name="TEST1290" localSheetId="6">#REF!</definedName>
    <definedName name="TEST1290">#REF!</definedName>
    <definedName name="TEST1291" localSheetId="6">#REF!</definedName>
    <definedName name="TEST1291">#REF!</definedName>
    <definedName name="TEST1292" localSheetId="6">#REF!</definedName>
    <definedName name="TEST1292">#REF!</definedName>
    <definedName name="TEST1293" localSheetId="6">#REF!</definedName>
    <definedName name="TEST1293">#REF!</definedName>
    <definedName name="TEST1294" localSheetId="6">#REF!</definedName>
    <definedName name="TEST1294">#REF!</definedName>
    <definedName name="TEST1295" localSheetId="6">#REF!</definedName>
    <definedName name="TEST1295">#REF!</definedName>
    <definedName name="TEST1296" localSheetId="6">#REF!</definedName>
    <definedName name="TEST1296">#REF!</definedName>
    <definedName name="TEST1297" localSheetId="6">#REF!</definedName>
    <definedName name="TEST1297">#REF!</definedName>
    <definedName name="TEST1298" localSheetId="6">#REF!</definedName>
    <definedName name="TEST1298">#REF!</definedName>
    <definedName name="TEST1299" localSheetId="6">#REF!</definedName>
    <definedName name="TEST1299">#REF!</definedName>
    <definedName name="TEST13" localSheetId="6">#REF!</definedName>
    <definedName name="TEST13">#REF!</definedName>
    <definedName name="TEST130" localSheetId="6">#REF!</definedName>
    <definedName name="TEST130">#REF!</definedName>
    <definedName name="TEST1300" localSheetId="6">#REF!</definedName>
    <definedName name="TEST1300">#REF!</definedName>
    <definedName name="TEST1301" localSheetId="6">#REF!</definedName>
    <definedName name="TEST1301">#REF!</definedName>
    <definedName name="TEST1302" localSheetId="6">#REF!</definedName>
    <definedName name="TEST1302">#REF!</definedName>
    <definedName name="TEST1303" localSheetId="6">#REF!</definedName>
    <definedName name="TEST1303">#REF!</definedName>
    <definedName name="TEST1304" localSheetId="6">#REF!</definedName>
    <definedName name="TEST1304">#REF!</definedName>
    <definedName name="TEST1305" localSheetId="6">#REF!</definedName>
    <definedName name="TEST1305">#REF!</definedName>
    <definedName name="TEST1306" localSheetId="6">#REF!</definedName>
    <definedName name="TEST1306">#REF!</definedName>
    <definedName name="TEST1307" localSheetId="6">#REF!</definedName>
    <definedName name="TEST1307">#REF!</definedName>
    <definedName name="TEST1308" localSheetId="6">#REF!</definedName>
    <definedName name="TEST1308">#REF!</definedName>
    <definedName name="TEST1309" localSheetId="6">#REF!</definedName>
    <definedName name="TEST1309">#REF!</definedName>
    <definedName name="TEST131" localSheetId="6">#REF!</definedName>
    <definedName name="TEST131">#REF!</definedName>
    <definedName name="TEST1310" localSheetId="6">#REF!</definedName>
    <definedName name="TEST1310">#REF!</definedName>
    <definedName name="TEST1311" localSheetId="6">#REF!</definedName>
    <definedName name="TEST1311">#REF!</definedName>
    <definedName name="TEST1312" localSheetId="6">#REF!</definedName>
    <definedName name="TEST1312">#REF!</definedName>
    <definedName name="TEST1313" localSheetId="6">#REF!</definedName>
    <definedName name="TEST1313">#REF!</definedName>
    <definedName name="TEST1314" localSheetId="6">#REF!</definedName>
    <definedName name="TEST1314">#REF!</definedName>
    <definedName name="TEST1315" localSheetId="6">#REF!</definedName>
    <definedName name="TEST1315">#REF!</definedName>
    <definedName name="TEST1316" localSheetId="6">#REF!</definedName>
    <definedName name="TEST1316">#REF!</definedName>
    <definedName name="TEST1317" localSheetId="6">#REF!</definedName>
    <definedName name="TEST1317">#REF!</definedName>
    <definedName name="TEST1318" localSheetId="6">#REF!</definedName>
    <definedName name="TEST1318">#REF!</definedName>
    <definedName name="TEST1319" localSheetId="6">#REF!</definedName>
    <definedName name="TEST1319">#REF!</definedName>
    <definedName name="TEST132" localSheetId="6">#REF!</definedName>
    <definedName name="TEST132">#REF!</definedName>
    <definedName name="TEST1320" localSheetId="6">#REF!</definedName>
    <definedName name="TEST1320">#REF!</definedName>
    <definedName name="TEST1321" localSheetId="6">#REF!</definedName>
    <definedName name="TEST1321">#REF!</definedName>
    <definedName name="TEST1322" localSheetId="6">#REF!</definedName>
    <definedName name="TEST1322">#REF!</definedName>
    <definedName name="TEST1323" localSheetId="6">#REF!</definedName>
    <definedName name="TEST1323">#REF!</definedName>
    <definedName name="TEST1324" localSheetId="6">#REF!</definedName>
    <definedName name="TEST1324">#REF!</definedName>
    <definedName name="TEST1325" localSheetId="6">#REF!</definedName>
    <definedName name="TEST1325">#REF!</definedName>
    <definedName name="TEST1326" localSheetId="6">#REF!</definedName>
    <definedName name="TEST1326">#REF!</definedName>
    <definedName name="TEST1327" localSheetId="6">#REF!</definedName>
    <definedName name="TEST1327">#REF!</definedName>
    <definedName name="TEST1328" localSheetId="6">#REF!</definedName>
    <definedName name="TEST1328">#REF!</definedName>
    <definedName name="TEST1329" localSheetId="6">#REF!</definedName>
    <definedName name="TEST1329">#REF!</definedName>
    <definedName name="TEST133" localSheetId="6">#REF!</definedName>
    <definedName name="TEST133">#REF!</definedName>
    <definedName name="TEST1330" localSheetId="6">#REF!</definedName>
    <definedName name="TEST1330">#REF!</definedName>
    <definedName name="TEST1331" localSheetId="6">#REF!</definedName>
    <definedName name="TEST1331">#REF!</definedName>
    <definedName name="TEST1332" localSheetId="6">#REF!</definedName>
    <definedName name="TEST1332">#REF!</definedName>
    <definedName name="TEST1333" localSheetId="6">#REF!</definedName>
    <definedName name="TEST1333">#REF!</definedName>
    <definedName name="TEST1334" localSheetId="6">#REF!</definedName>
    <definedName name="TEST1334">#REF!</definedName>
    <definedName name="TEST1335" localSheetId="6">#REF!</definedName>
    <definedName name="TEST1335">#REF!</definedName>
    <definedName name="TEST1336" localSheetId="6">#REF!</definedName>
    <definedName name="TEST1336">#REF!</definedName>
    <definedName name="TEST1337" localSheetId="6">#REF!</definedName>
    <definedName name="TEST1337">#REF!</definedName>
    <definedName name="TEST1338" localSheetId="6">#REF!</definedName>
    <definedName name="TEST1338">#REF!</definedName>
    <definedName name="TEST1339" localSheetId="6">#REF!</definedName>
    <definedName name="TEST1339">#REF!</definedName>
    <definedName name="TEST134" localSheetId="6">#REF!</definedName>
    <definedName name="TEST134">#REF!</definedName>
    <definedName name="TEST1340" localSheetId="6">#REF!</definedName>
    <definedName name="TEST1340">#REF!</definedName>
    <definedName name="TEST1341" localSheetId="6">#REF!</definedName>
    <definedName name="TEST1341">#REF!</definedName>
    <definedName name="TEST1342" localSheetId="6">#REF!</definedName>
    <definedName name="TEST1342">#REF!</definedName>
    <definedName name="TEST1343" localSheetId="6">#REF!</definedName>
    <definedName name="TEST1343">#REF!</definedName>
    <definedName name="TEST1344" localSheetId="6">#REF!</definedName>
    <definedName name="TEST1344">#REF!</definedName>
    <definedName name="TEST1345" localSheetId="6">#REF!</definedName>
    <definedName name="TEST1345">#REF!</definedName>
    <definedName name="TEST1346" localSheetId="6">#REF!</definedName>
    <definedName name="TEST1346">#REF!</definedName>
    <definedName name="TEST1347" localSheetId="6">#REF!</definedName>
    <definedName name="TEST1347">#REF!</definedName>
    <definedName name="TEST1348" localSheetId="6">#REF!</definedName>
    <definedName name="TEST1348">#REF!</definedName>
    <definedName name="TEST1349" localSheetId="6">#REF!</definedName>
    <definedName name="TEST1349">#REF!</definedName>
    <definedName name="TEST135" localSheetId="6">#REF!</definedName>
    <definedName name="TEST135">#REF!</definedName>
    <definedName name="TEST1350" localSheetId="6">#REF!</definedName>
    <definedName name="TEST1350">#REF!</definedName>
    <definedName name="TEST1351" localSheetId="6">#REF!</definedName>
    <definedName name="TEST1351">#REF!</definedName>
    <definedName name="TEST1352" localSheetId="6">#REF!</definedName>
    <definedName name="TEST1352">#REF!</definedName>
    <definedName name="TEST1353" localSheetId="6">#REF!</definedName>
    <definedName name="TEST1353">#REF!</definedName>
    <definedName name="TEST1354" localSheetId="6">#REF!</definedName>
    <definedName name="TEST1354">#REF!</definedName>
    <definedName name="TEST1355" localSheetId="6">#REF!</definedName>
    <definedName name="TEST1355">#REF!</definedName>
    <definedName name="TEST1356" localSheetId="6">#REF!</definedName>
    <definedName name="TEST1356">#REF!</definedName>
    <definedName name="TEST1357" localSheetId="6">#REF!</definedName>
    <definedName name="TEST1357">#REF!</definedName>
    <definedName name="TEST1358" localSheetId="6">#REF!</definedName>
    <definedName name="TEST1358">#REF!</definedName>
    <definedName name="TEST1359" localSheetId="6">#REF!</definedName>
    <definedName name="TEST1359">#REF!</definedName>
    <definedName name="TEST136" localSheetId="6">#REF!</definedName>
    <definedName name="TEST136">#REF!</definedName>
    <definedName name="TEST1360" localSheetId="6">#REF!</definedName>
    <definedName name="TEST1360">#REF!</definedName>
    <definedName name="TEST1361" localSheetId="6">#REF!</definedName>
    <definedName name="TEST1361">#REF!</definedName>
    <definedName name="TEST1362" localSheetId="6">#REF!</definedName>
    <definedName name="TEST1362">#REF!</definedName>
    <definedName name="TEST1363" localSheetId="6">#REF!</definedName>
    <definedName name="TEST1363">#REF!</definedName>
    <definedName name="TEST1364" localSheetId="6">#REF!</definedName>
    <definedName name="TEST1364">#REF!</definedName>
    <definedName name="TEST1365" localSheetId="6">#REF!</definedName>
    <definedName name="TEST1365">#REF!</definedName>
    <definedName name="TEST1366" localSheetId="6">#REF!</definedName>
    <definedName name="TEST1366">#REF!</definedName>
    <definedName name="TEST1367" localSheetId="6">#REF!</definedName>
    <definedName name="TEST1367">#REF!</definedName>
    <definedName name="TEST1368" localSheetId="6">#REF!</definedName>
    <definedName name="TEST1368">#REF!</definedName>
    <definedName name="TEST1369" localSheetId="6">#REF!</definedName>
    <definedName name="TEST1369">#REF!</definedName>
    <definedName name="TEST137" localSheetId="6">#REF!</definedName>
    <definedName name="TEST137">#REF!</definedName>
    <definedName name="TEST1370" localSheetId="6">#REF!</definedName>
    <definedName name="TEST1370">#REF!</definedName>
    <definedName name="TEST1371" localSheetId="6">#REF!</definedName>
    <definedName name="TEST1371">#REF!</definedName>
    <definedName name="TEST1372" localSheetId="6">#REF!</definedName>
    <definedName name="TEST1372">#REF!</definedName>
    <definedName name="TEST1373" localSheetId="6">#REF!</definedName>
    <definedName name="TEST1373">#REF!</definedName>
    <definedName name="TEST1374" localSheetId="6">#REF!</definedName>
    <definedName name="TEST1374">#REF!</definedName>
    <definedName name="TEST1375" localSheetId="6">#REF!</definedName>
    <definedName name="TEST1375">#REF!</definedName>
    <definedName name="TEST1376" localSheetId="6">#REF!</definedName>
    <definedName name="TEST1376">#REF!</definedName>
    <definedName name="TEST1377" localSheetId="6">#REF!</definedName>
    <definedName name="TEST1377">#REF!</definedName>
    <definedName name="TEST1378" localSheetId="6">#REF!</definedName>
    <definedName name="TEST1378">#REF!</definedName>
    <definedName name="TEST1379" localSheetId="6">#REF!</definedName>
    <definedName name="TEST1379">#REF!</definedName>
    <definedName name="TEST138" localSheetId="6">#REF!</definedName>
    <definedName name="TEST138">#REF!</definedName>
    <definedName name="TEST1380" localSheetId="6">#REF!</definedName>
    <definedName name="TEST1380">#REF!</definedName>
    <definedName name="TEST1381" localSheetId="6">#REF!</definedName>
    <definedName name="TEST1381">#REF!</definedName>
    <definedName name="TEST1382" localSheetId="6">#REF!</definedName>
    <definedName name="TEST1382">#REF!</definedName>
    <definedName name="TEST1383" localSheetId="6">#REF!</definedName>
    <definedName name="TEST1383">#REF!</definedName>
    <definedName name="TEST1384" localSheetId="6">#REF!</definedName>
    <definedName name="TEST1384">#REF!</definedName>
    <definedName name="TEST1385" localSheetId="6">#REF!</definedName>
    <definedName name="TEST1385">#REF!</definedName>
    <definedName name="TEST1386" localSheetId="6">#REF!</definedName>
    <definedName name="TEST1386">#REF!</definedName>
    <definedName name="TEST1387" localSheetId="6">#REF!</definedName>
    <definedName name="TEST1387">#REF!</definedName>
    <definedName name="TEST1388" localSheetId="6">#REF!</definedName>
    <definedName name="TEST1388">#REF!</definedName>
    <definedName name="TEST1389" localSheetId="6">#REF!</definedName>
    <definedName name="TEST1389">#REF!</definedName>
    <definedName name="TEST139" localSheetId="6">#REF!</definedName>
    <definedName name="TEST139">#REF!</definedName>
    <definedName name="TEST1390" localSheetId="6">#REF!</definedName>
    <definedName name="TEST1390">#REF!</definedName>
    <definedName name="TEST1391" localSheetId="6">#REF!</definedName>
    <definedName name="TEST1391">#REF!</definedName>
    <definedName name="TEST1392" localSheetId="6">#REF!</definedName>
    <definedName name="TEST1392">#REF!</definedName>
    <definedName name="TEST1393" localSheetId="6">#REF!</definedName>
    <definedName name="TEST1393">#REF!</definedName>
    <definedName name="TEST1394" localSheetId="6">#REF!</definedName>
    <definedName name="TEST1394">#REF!</definedName>
    <definedName name="TEST1395" localSheetId="6">#REF!</definedName>
    <definedName name="TEST1395">#REF!</definedName>
    <definedName name="TEST1396" localSheetId="6">#REF!</definedName>
    <definedName name="TEST1396">#REF!</definedName>
    <definedName name="TEST1397" localSheetId="6">#REF!</definedName>
    <definedName name="TEST1397">#REF!</definedName>
    <definedName name="TEST1398" localSheetId="6">#REF!</definedName>
    <definedName name="TEST1398">#REF!</definedName>
    <definedName name="TEST1399" localSheetId="6">#REF!</definedName>
    <definedName name="TEST1399">#REF!</definedName>
    <definedName name="TEST14" localSheetId="6">#REF!</definedName>
    <definedName name="TEST14">#REF!</definedName>
    <definedName name="TEST140" localSheetId="6">#REF!</definedName>
    <definedName name="TEST140">#REF!</definedName>
    <definedName name="TEST1400" localSheetId="6">#REF!</definedName>
    <definedName name="TEST1400">#REF!</definedName>
    <definedName name="TEST1401" localSheetId="6">#REF!</definedName>
    <definedName name="TEST1401">#REF!</definedName>
    <definedName name="TEST1402" localSheetId="6">#REF!</definedName>
    <definedName name="TEST1402">#REF!</definedName>
    <definedName name="TEST1403" localSheetId="6">#REF!</definedName>
    <definedName name="TEST1403">#REF!</definedName>
    <definedName name="TEST1404" localSheetId="6">#REF!</definedName>
    <definedName name="TEST1404">#REF!</definedName>
    <definedName name="TEST1405" localSheetId="6">#REF!</definedName>
    <definedName name="TEST1405">#REF!</definedName>
    <definedName name="TEST1406" localSheetId="6">#REF!</definedName>
    <definedName name="TEST1406">#REF!</definedName>
    <definedName name="TEST1407" localSheetId="6">#REF!</definedName>
    <definedName name="TEST1407">#REF!</definedName>
    <definedName name="TEST1408" localSheetId="6">#REF!</definedName>
    <definedName name="TEST1408">#REF!</definedName>
    <definedName name="TEST1409" localSheetId="6">#REF!</definedName>
    <definedName name="TEST1409">#REF!</definedName>
    <definedName name="TEST141" localSheetId="6">#REF!</definedName>
    <definedName name="TEST141">#REF!</definedName>
    <definedName name="TEST1410" localSheetId="6">#REF!</definedName>
    <definedName name="TEST1410">#REF!</definedName>
    <definedName name="TEST1411" localSheetId="6">#REF!</definedName>
    <definedName name="TEST1411">#REF!</definedName>
    <definedName name="TEST1412" localSheetId="6">#REF!</definedName>
    <definedName name="TEST1412">#REF!</definedName>
    <definedName name="TEST1413" localSheetId="6">#REF!</definedName>
    <definedName name="TEST1413">#REF!</definedName>
    <definedName name="TEST1414" localSheetId="6">#REF!</definedName>
    <definedName name="TEST1414">#REF!</definedName>
    <definedName name="TEST1415" localSheetId="6">#REF!</definedName>
    <definedName name="TEST1415">#REF!</definedName>
    <definedName name="TEST1416" localSheetId="6">#REF!</definedName>
    <definedName name="TEST1416">#REF!</definedName>
    <definedName name="TEST1417" localSheetId="6">#REF!</definedName>
    <definedName name="TEST1417">#REF!</definedName>
    <definedName name="TEST1418" localSheetId="6">#REF!</definedName>
    <definedName name="TEST1418">#REF!</definedName>
    <definedName name="TEST1419" localSheetId="6">#REF!</definedName>
    <definedName name="TEST1419">#REF!</definedName>
    <definedName name="TEST142" localSheetId="6">#REF!</definedName>
    <definedName name="TEST142">#REF!</definedName>
    <definedName name="TEST1420" localSheetId="6">#REF!</definedName>
    <definedName name="TEST1420">#REF!</definedName>
    <definedName name="TEST1421" localSheetId="6">#REF!</definedName>
    <definedName name="TEST1421">#REF!</definedName>
    <definedName name="TEST1422" localSheetId="6">#REF!</definedName>
    <definedName name="TEST1422">#REF!</definedName>
    <definedName name="TEST1423" localSheetId="6">#REF!</definedName>
    <definedName name="TEST1423">#REF!</definedName>
    <definedName name="TEST1424" localSheetId="6">#REF!</definedName>
    <definedName name="TEST1424">#REF!</definedName>
    <definedName name="TEST1425" localSheetId="6">#REF!</definedName>
    <definedName name="TEST1425">#REF!</definedName>
    <definedName name="TEST1426" localSheetId="6">#REF!</definedName>
    <definedName name="TEST1426">#REF!</definedName>
    <definedName name="TEST1427" localSheetId="6">#REF!</definedName>
    <definedName name="TEST1427">#REF!</definedName>
    <definedName name="TEST1428" localSheetId="6">#REF!</definedName>
    <definedName name="TEST1428">#REF!</definedName>
    <definedName name="TEST1429" localSheetId="6">#REF!</definedName>
    <definedName name="TEST1429">#REF!</definedName>
    <definedName name="TEST143" localSheetId="6">#REF!</definedName>
    <definedName name="TEST143">#REF!</definedName>
    <definedName name="TEST1430" localSheetId="6">#REF!</definedName>
    <definedName name="TEST1430">#REF!</definedName>
    <definedName name="TEST1431" localSheetId="6">#REF!</definedName>
    <definedName name="TEST1431">#REF!</definedName>
    <definedName name="TEST1432" localSheetId="6">#REF!</definedName>
    <definedName name="TEST1432">#REF!</definedName>
    <definedName name="TEST1433" localSheetId="6">#REF!</definedName>
    <definedName name="TEST1433">#REF!</definedName>
    <definedName name="TEST1434" localSheetId="6">#REF!</definedName>
    <definedName name="TEST1434">#REF!</definedName>
    <definedName name="TEST1435" localSheetId="6">#REF!</definedName>
    <definedName name="TEST1435">#REF!</definedName>
    <definedName name="TEST1436" localSheetId="6">#REF!</definedName>
    <definedName name="TEST1436">#REF!</definedName>
    <definedName name="TEST1437" localSheetId="6">#REF!</definedName>
    <definedName name="TEST1437">#REF!</definedName>
    <definedName name="TEST1438" localSheetId="6">#REF!</definedName>
    <definedName name="TEST1438">#REF!</definedName>
    <definedName name="TEST1439" localSheetId="6">#REF!</definedName>
    <definedName name="TEST1439">#REF!</definedName>
    <definedName name="TEST144" localSheetId="6">#REF!</definedName>
    <definedName name="TEST144">#REF!</definedName>
    <definedName name="TEST1440" localSheetId="6">#REF!</definedName>
    <definedName name="TEST1440">#REF!</definedName>
    <definedName name="TEST1441" localSheetId="6">#REF!</definedName>
    <definedName name="TEST1441">#REF!</definedName>
    <definedName name="TEST1442" localSheetId="6">#REF!</definedName>
    <definedName name="TEST1442">#REF!</definedName>
    <definedName name="TEST1443" localSheetId="6">#REF!</definedName>
    <definedName name="TEST1443">#REF!</definedName>
    <definedName name="TEST1444" localSheetId="6">#REF!</definedName>
    <definedName name="TEST1444">#REF!</definedName>
    <definedName name="TEST1445" localSheetId="6">#REF!</definedName>
    <definedName name="TEST1445">#REF!</definedName>
    <definedName name="TEST1446" localSheetId="6">#REF!</definedName>
    <definedName name="TEST1446">#REF!</definedName>
    <definedName name="TEST1447" localSheetId="6">#REF!</definedName>
    <definedName name="TEST1447">#REF!</definedName>
    <definedName name="TEST1448" localSheetId="6">#REF!</definedName>
    <definedName name="TEST1448">#REF!</definedName>
    <definedName name="TEST1449" localSheetId="6">#REF!</definedName>
    <definedName name="TEST1449">#REF!</definedName>
    <definedName name="TEST145" localSheetId="6">#REF!</definedName>
    <definedName name="TEST145">#REF!</definedName>
    <definedName name="TEST1450" localSheetId="6">#REF!</definedName>
    <definedName name="TEST1450">#REF!</definedName>
    <definedName name="TEST1451" localSheetId="6">#REF!</definedName>
    <definedName name="TEST1451">#REF!</definedName>
    <definedName name="TEST1452" localSheetId="6">#REF!</definedName>
    <definedName name="TEST1452">#REF!</definedName>
    <definedName name="TEST1453" localSheetId="6">#REF!</definedName>
    <definedName name="TEST1453">#REF!</definedName>
    <definedName name="TEST1454" localSheetId="6">#REF!</definedName>
    <definedName name="TEST1454">#REF!</definedName>
    <definedName name="TEST1455" localSheetId="6">#REF!</definedName>
    <definedName name="TEST1455">#REF!</definedName>
    <definedName name="TEST1456" localSheetId="6">#REF!</definedName>
    <definedName name="TEST1456">#REF!</definedName>
    <definedName name="TEST1457" localSheetId="6">#REF!</definedName>
    <definedName name="TEST1457">#REF!</definedName>
    <definedName name="TEST1458" localSheetId="6">#REF!</definedName>
    <definedName name="TEST1458">#REF!</definedName>
    <definedName name="TEST1459" localSheetId="6">#REF!</definedName>
    <definedName name="TEST1459">#REF!</definedName>
    <definedName name="TEST146" localSheetId="6">#REF!</definedName>
    <definedName name="TEST146">#REF!</definedName>
    <definedName name="TEST1460" localSheetId="6">#REF!</definedName>
    <definedName name="TEST1460">#REF!</definedName>
    <definedName name="TEST1461" localSheetId="6">#REF!</definedName>
    <definedName name="TEST1461">#REF!</definedName>
    <definedName name="TEST1462" localSheetId="6">#REF!</definedName>
    <definedName name="TEST1462">#REF!</definedName>
    <definedName name="TEST1463" localSheetId="6">#REF!</definedName>
    <definedName name="TEST1463">#REF!</definedName>
    <definedName name="TEST1464" localSheetId="6">#REF!</definedName>
    <definedName name="TEST1464">#REF!</definedName>
    <definedName name="TEST1465" localSheetId="6">#REF!</definedName>
    <definedName name="TEST1465">#REF!</definedName>
    <definedName name="TEST1466" localSheetId="6">#REF!</definedName>
    <definedName name="TEST1466">#REF!</definedName>
    <definedName name="TEST1467" localSheetId="6">#REF!</definedName>
    <definedName name="TEST1467">#REF!</definedName>
    <definedName name="TEST1468" localSheetId="6">#REF!</definedName>
    <definedName name="TEST1468">#REF!</definedName>
    <definedName name="TEST1469" localSheetId="6">#REF!</definedName>
    <definedName name="TEST1469">#REF!</definedName>
    <definedName name="TEST147" localSheetId="6">#REF!</definedName>
    <definedName name="TEST147">#REF!</definedName>
    <definedName name="TEST1470" localSheetId="6">#REF!</definedName>
    <definedName name="TEST1470">#REF!</definedName>
    <definedName name="TEST1471" localSheetId="6">#REF!</definedName>
    <definedName name="TEST1471">#REF!</definedName>
    <definedName name="TEST1472" localSheetId="6">#REF!</definedName>
    <definedName name="TEST1472">#REF!</definedName>
    <definedName name="TEST1473" localSheetId="6">#REF!</definedName>
    <definedName name="TEST1473">#REF!</definedName>
    <definedName name="TEST1474" localSheetId="6">#REF!</definedName>
    <definedName name="TEST1474">#REF!</definedName>
    <definedName name="TEST1475" localSheetId="6">#REF!</definedName>
    <definedName name="TEST1475">#REF!</definedName>
    <definedName name="TEST1476" localSheetId="6">#REF!</definedName>
    <definedName name="TEST1476">#REF!</definedName>
    <definedName name="TEST1477" localSheetId="6">#REF!</definedName>
    <definedName name="TEST1477">#REF!</definedName>
    <definedName name="TEST1478" localSheetId="6">#REF!</definedName>
    <definedName name="TEST1478">#REF!</definedName>
    <definedName name="TEST1479" localSheetId="6">#REF!</definedName>
    <definedName name="TEST1479">#REF!</definedName>
    <definedName name="TEST148" localSheetId="6">#REF!</definedName>
    <definedName name="TEST148">#REF!</definedName>
    <definedName name="TEST1480" localSheetId="6">#REF!</definedName>
    <definedName name="TEST1480">#REF!</definedName>
    <definedName name="TEST1481" localSheetId="6">#REF!</definedName>
    <definedName name="TEST1481">#REF!</definedName>
    <definedName name="TEST1482" localSheetId="6">#REF!</definedName>
    <definedName name="TEST1482">#REF!</definedName>
    <definedName name="TEST1483" localSheetId="6">#REF!</definedName>
    <definedName name="TEST1483">#REF!</definedName>
    <definedName name="TEST1484" localSheetId="6">#REF!</definedName>
    <definedName name="TEST1484">#REF!</definedName>
    <definedName name="TEST1485" localSheetId="6">#REF!</definedName>
    <definedName name="TEST1485">#REF!</definedName>
    <definedName name="TEST1486" localSheetId="6">#REF!</definedName>
    <definedName name="TEST1486">#REF!</definedName>
    <definedName name="TEST1487" localSheetId="6">#REF!</definedName>
    <definedName name="TEST1487">#REF!</definedName>
    <definedName name="TEST1488" localSheetId="6">#REF!</definedName>
    <definedName name="TEST1488">#REF!</definedName>
    <definedName name="TEST1489" localSheetId="6">#REF!</definedName>
    <definedName name="TEST1489">#REF!</definedName>
    <definedName name="TEST149" localSheetId="6">#REF!</definedName>
    <definedName name="TEST149">#REF!</definedName>
    <definedName name="TEST1490" localSheetId="6">#REF!</definedName>
    <definedName name="TEST1490">#REF!</definedName>
    <definedName name="TEST1491" localSheetId="6">#REF!</definedName>
    <definedName name="TEST1491">#REF!</definedName>
    <definedName name="TEST1492" localSheetId="6">#REF!</definedName>
    <definedName name="TEST1492">#REF!</definedName>
    <definedName name="TEST1493" localSheetId="6">#REF!</definedName>
    <definedName name="TEST1493">#REF!</definedName>
    <definedName name="TEST1494" localSheetId="6">#REF!</definedName>
    <definedName name="TEST1494">#REF!</definedName>
    <definedName name="TEST1495" localSheetId="6">#REF!</definedName>
    <definedName name="TEST1495">#REF!</definedName>
    <definedName name="TEST1496" localSheetId="6">#REF!</definedName>
    <definedName name="TEST1496">#REF!</definedName>
    <definedName name="TEST1497" localSheetId="6">#REF!</definedName>
    <definedName name="TEST1497">#REF!</definedName>
    <definedName name="TEST1498" localSheetId="6">#REF!</definedName>
    <definedName name="TEST1498">#REF!</definedName>
    <definedName name="TEST1499" localSheetId="6">#REF!</definedName>
    <definedName name="TEST1499">#REF!</definedName>
    <definedName name="TEST15" localSheetId="6">#REF!</definedName>
    <definedName name="TEST15">#REF!</definedName>
    <definedName name="TEST150" localSheetId="6">#REF!</definedName>
    <definedName name="TEST150">#REF!</definedName>
    <definedName name="TEST1500" localSheetId="6">#REF!</definedName>
    <definedName name="TEST1500">#REF!</definedName>
    <definedName name="TEST1501" localSheetId="6">#REF!</definedName>
    <definedName name="TEST1501">#REF!</definedName>
    <definedName name="TEST1502" localSheetId="6">#REF!</definedName>
    <definedName name="TEST1502">#REF!</definedName>
    <definedName name="TEST1503" localSheetId="6">#REF!</definedName>
    <definedName name="TEST1503">#REF!</definedName>
    <definedName name="TEST1504" localSheetId="6">#REF!</definedName>
    <definedName name="TEST1504">#REF!</definedName>
    <definedName name="TEST1505" localSheetId="6">#REF!</definedName>
    <definedName name="TEST1505">#REF!</definedName>
    <definedName name="TEST1506" localSheetId="6">#REF!</definedName>
    <definedName name="TEST1506">#REF!</definedName>
    <definedName name="TEST1507" localSheetId="6">#REF!</definedName>
    <definedName name="TEST1507">#REF!</definedName>
    <definedName name="TEST1508" localSheetId="6">#REF!</definedName>
    <definedName name="TEST1508">#REF!</definedName>
    <definedName name="TEST1509" localSheetId="6">#REF!</definedName>
    <definedName name="TEST1509">#REF!</definedName>
    <definedName name="TEST151" localSheetId="6">#REF!</definedName>
    <definedName name="TEST151">#REF!</definedName>
    <definedName name="TEST1510" localSheetId="6">#REF!</definedName>
    <definedName name="TEST1510">#REF!</definedName>
    <definedName name="TEST1511" localSheetId="6">#REF!</definedName>
    <definedName name="TEST1511">#REF!</definedName>
    <definedName name="TEST1512" localSheetId="6">#REF!</definedName>
    <definedName name="TEST1512">#REF!</definedName>
    <definedName name="TEST1513" localSheetId="6">#REF!</definedName>
    <definedName name="TEST1513">#REF!</definedName>
    <definedName name="TEST1514" localSheetId="6">#REF!</definedName>
    <definedName name="TEST1514">#REF!</definedName>
    <definedName name="TEST1515" localSheetId="6">#REF!</definedName>
    <definedName name="TEST1515">#REF!</definedName>
    <definedName name="TEST1516" localSheetId="6">#REF!</definedName>
    <definedName name="TEST1516">#REF!</definedName>
    <definedName name="TEST1517" localSheetId="6">#REF!</definedName>
    <definedName name="TEST1517">#REF!</definedName>
    <definedName name="TEST1518" localSheetId="6">#REF!</definedName>
    <definedName name="TEST1518">#REF!</definedName>
    <definedName name="TEST1519" localSheetId="6">#REF!</definedName>
    <definedName name="TEST1519">#REF!</definedName>
    <definedName name="TEST152" localSheetId="6">#REF!</definedName>
    <definedName name="TEST152">#REF!</definedName>
    <definedName name="TEST1520" localSheetId="6">#REF!</definedName>
    <definedName name="TEST1520">#REF!</definedName>
    <definedName name="TEST1521" localSheetId="6">#REF!</definedName>
    <definedName name="TEST1521">#REF!</definedName>
    <definedName name="TEST1522" localSheetId="6">#REF!</definedName>
    <definedName name="TEST1522">#REF!</definedName>
    <definedName name="TEST1523" localSheetId="6">#REF!</definedName>
    <definedName name="TEST1523">#REF!</definedName>
    <definedName name="TEST1524" localSheetId="6">#REF!</definedName>
    <definedName name="TEST1524">#REF!</definedName>
    <definedName name="TEST1525" localSheetId="6">#REF!</definedName>
    <definedName name="TEST1525">#REF!</definedName>
    <definedName name="TEST1526" localSheetId="6">#REF!</definedName>
    <definedName name="TEST1526">#REF!</definedName>
    <definedName name="TEST1527" localSheetId="6">#REF!</definedName>
    <definedName name="TEST1527">#REF!</definedName>
    <definedName name="TEST1528" localSheetId="6">#REF!</definedName>
    <definedName name="TEST1528">#REF!</definedName>
    <definedName name="TEST1529" localSheetId="6">#REF!</definedName>
    <definedName name="TEST1529">#REF!</definedName>
    <definedName name="TEST153" localSheetId="6">#REF!</definedName>
    <definedName name="TEST153">#REF!</definedName>
    <definedName name="TEST1530" localSheetId="6">#REF!</definedName>
    <definedName name="TEST1530">#REF!</definedName>
    <definedName name="TEST1531" localSheetId="6">#REF!</definedName>
    <definedName name="TEST1531">#REF!</definedName>
    <definedName name="TEST1532" localSheetId="6">#REF!</definedName>
    <definedName name="TEST1532">#REF!</definedName>
    <definedName name="TEST1533" localSheetId="6">#REF!</definedName>
    <definedName name="TEST1533">#REF!</definedName>
    <definedName name="TEST1534" localSheetId="6">#REF!</definedName>
    <definedName name="TEST1534">#REF!</definedName>
    <definedName name="TEST1535" localSheetId="6">#REF!</definedName>
    <definedName name="TEST1535">#REF!</definedName>
    <definedName name="TEST1536" localSheetId="6">#REF!</definedName>
    <definedName name="TEST1536">#REF!</definedName>
    <definedName name="TEST1537" localSheetId="6">#REF!</definedName>
    <definedName name="TEST1537">#REF!</definedName>
    <definedName name="TEST1538" localSheetId="6">#REF!</definedName>
    <definedName name="TEST1538">#REF!</definedName>
    <definedName name="TEST1539" localSheetId="6">#REF!</definedName>
    <definedName name="TEST1539">#REF!</definedName>
    <definedName name="TEST154" localSheetId="6">#REF!</definedName>
    <definedName name="TEST154">#REF!</definedName>
    <definedName name="TEST1540" localSheetId="6">#REF!</definedName>
    <definedName name="TEST1540">#REF!</definedName>
    <definedName name="TEST1541" localSheetId="6">#REF!</definedName>
    <definedName name="TEST1541">#REF!</definedName>
    <definedName name="TEST1542" localSheetId="6">#REF!</definedName>
    <definedName name="TEST1542">#REF!</definedName>
    <definedName name="TEST1543" localSheetId="6">#REF!</definedName>
    <definedName name="TEST1543">#REF!</definedName>
    <definedName name="TEST1544" localSheetId="6">#REF!</definedName>
    <definedName name="TEST1544">#REF!</definedName>
    <definedName name="TEST1545" localSheetId="6">#REF!</definedName>
    <definedName name="TEST1545">#REF!</definedName>
    <definedName name="TEST1546" localSheetId="6">#REF!</definedName>
    <definedName name="TEST1546">#REF!</definedName>
    <definedName name="TEST1547" localSheetId="6">#REF!</definedName>
    <definedName name="TEST1547">#REF!</definedName>
    <definedName name="TEST1548" localSheetId="6">#REF!</definedName>
    <definedName name="TEST1548">#REF!</definedName>
    <definedName name="TEST1549" localSheetId="6">#REF!</definedName>
    <definedName name="TEST1549">#REF!</definedName>
    <definedName name="TEST155" localSheetId="6">#REF!</definedName>
    <definedName name="TEST155">#REF!</definedName>
    <definedName name="TEST1550" localSheetId="6">#REF!</definedName>
    <definedName name="TEST1550">#REF!</definedName>
    <definedName name="TEST1551" localSheetId="6">#REF!</definedName>
    <definedName name="TEST1551">#REF!</definedName>
    <definedName name="TEST1552" localSheetId="6">#REF!</definedName>
    <definedName name="TEST1552">#REF!</definedName>
    <definedName name="TEST1553" localSheetId="6">#REF!</definedName>
    <definedName name="TEST1553">#REF!</definedName>
    <definedName name="TEST1554" localSheetId="6">#REF!</definedName>
    <definedName name="TEST1554">#REF!</definedName>
    <definedName name="TEST1555" localSheetId="6">#REF!</definedName>
    <definedName name="TEST1555">#REF!</definedName>
    <definedName name="TEST1556" localSheetId="6">#REF!</definedName>
    <definedName name="TEST1556">#REF!</definedName>
    <definedName name="TEST1557" localSheetId="6">#REF!</definedName>
    <definedName name="TEST1557">#REF!</definedName>
    <definedName name="TEST1558" localSheetId="6">#REF!</definedName>
    <definedName name="TEST1558">#REF!</definedName>
    <definedName name="TEST1559" localSheetId="6">#REF!</definedName>
    <definedName name="TEST1559">#REF!</definedName>
    <definedName name="TEST156" localSheetId="6">#REF!</definedName>
    <definedName name="TEST156">#REF!</definedName>
    <definedName name="TEST1560" localSheetId="6">#REF!</definedName>
    <definedName name="TEST1560">#REF!</definedName>
    <definedName name="TEST1561" localSheetId="6">#REF!</definedName>
    <definedName name="TEST1561">#REF!</definedName>
    <definedName name="TEST1562" localSheetId="6">#REF!</definedName>
    <definedName name="TEST1562">#REF!</definedName>
    <definedName name="TEST1563" localSheetId="6">#REF!</definedName>
    <definedName name="TEST1563">#REF!</definedName>
    <definedName name="TEST1564" localSheetId="6">#REF!</definedName>
    <definedName name="TEST1564">#REF!</definedName>
    <definedName name="TEST1565" localSheetId="6">#REF!</definedName>
    <definedName name="TEST1565">#REF!</definedName>
    <definedName name="TEST1566" localSheetId="6">#REF!</definedName>
    <definedName name="TEST1566">#REF!</definedName>
    <definedName name="TEST1567" localSheetId="6">#REF!</definedName>
    <definedName name="TEST1567">#REF!</definedName>
    <definedName name="TEST1568" localSheetId="6">#REF!</definedName>
    <definedName name="TEST1568">#REF!</definedName>
    <definedName name="TEST1569" localSheetId="6">#REF!</definedName>
    <definedName name="TEST1569">#REF!</definedName>
    <definedName name="TEST157" localSheetId="6">#REF!</definedName>
    <definedName name="TEST157">#REF!</definedName>
    <definedName name="TEST1570" localSheetId="6">#REF!</definedName>
    <definedName name="TEST1570">#REF!</definedName>
    <definedName name="TEST1571" localSheetId="6">#REF!</definedName>
    <definedName name="TEST1571">#REF!</definedName>
    <definedName name="TEST1572" localSheetId="6">#REF!</definedName>
    <definedName name="TEST1572">#REF!</definedName>
    <definedName name="TEST1573" localSheetId="6">#REF!</definedName>
    <definedName name="TEST1573">#REF!</definedName>
    <definedName name="TEST1574" localSheetId="6">#REF!</definedName>
    <definedName name="TEST1574">#REF!</definedName>
    <definedName name="TEST1575" localSheetId="6">#REF!</definedName>
    <definedName name="TEST1575">#REF!</definedName>
    <definedName name="TEST1576" localSheetId="6">#REF!</definedName>
    <definedName name="TEST1576">#REF!</definedName>
    <definedName name="TEST1577" localSheetId="6">#REF!</definedName>
    <definedName name="TEST1577">#REF!</definedName>
    <definedName name="TEST1578" localSheetId="6">#REF!</definedName>
    <definedName name="TEST1578">#REF!</definedName>
    <definedName name="TEST1579" localSheetId="6">#REF!</definedName>
    <definedName name="TEST1579">#REF!</definedName>
    <definedName name="TEST158" localSheetId="6">#REF!</definedName>
    <definedName name="TEST158">#REF!</definedName>
    <definedName name="TEST1580" localSheetId="6">#REF!</definedName>
    <definedName name="TEST1580">#REF!</definedName>
    <definedName name="TEST1581" localSheetId="6">#REF!</definedName>
    <definedName name="TEST1581">#REF!</definedName>
    <definedName name="TEST1582" localSheetId="6">#REF!</definedName>
    <definedName name="TEST1582">#REF!</definedName>
    <definedName name="TEST1583" localSheetId="6">#REF!</definedName>
    <definedName name="TEST1583">#REF!</definedName>
    <definedName name="TEST1584" localSheetId="6">#REF!</definedName>
    <definedName name="TEST1584">#REF!</definedName>
    <definedName name="TEST1585" localSheetId="6">#REF!</definedName>
    <definedName name="TEST1585">#REF!</definedName>
    <definedName name="TEST1586" localSheetId="6">#REF!</definedName>
    <definedName name="TEST1586">#REF!</definedName>
    <definedName name="TEST1587" localSheetId="6">#REF!</definedName>
    <definedName name="TEST1587">#REF!</definedName>
    <definedName name="TEST1588" localSheetId="6">#REF!</definedName>
    <definedName name="TEST1588">#REF!</definedName>
    <definedName name="TEST1589" localSheetId="6">#REF!</definedName>
    <definedName name="TEST1589">#REF!</definedName>
    <definedName name="TEST159" localSheetId="6">#REF!</definedName>
    <definedName name="TEST159">#REF!</definedName>
    <definedName name="TEST1590" localSheetId="6">#REF!</definedName>
    <definedName name="TEST1590">#REF!</definedName>
    <definedName name="TEST1591" localSheetId="6">#REF!</definedName>
    <definedName name="TEST1591">#REF!</definedName>
    <definedName name="TEST1592" localSheetId="6">#REF!</definedName>
    <definedName name="TEST1592">#REF!</definedName>
    <definedName name="TEST1593" localSheetId="6">#REF!</definedName>
    <definedName name="TEST1593">#REF!</definedName>
    <definedName name="TEST1594" localSheetId="6">#REF!</definedName>
    <definedName name="TEST1594">#REF!</definedName>
    <definedName name="TEST1595" localSheetId="6">#REF!</definedName>
    <definedName name="TEST1595">#REF!</definedName>
    <definedName name="TEST1596" localSheetId="6">#REF!</definedName>
    <definedName name="TEST1596">#REF!</definedName>
    <definedName name="TEST1597" localSheetId="6">#REF!</definedName>
    <definedName name="TEST1597">#REF!</definedName>
    <definedName name="TEST1598" localSheetId="6">#REF!</definedName>
    <definedName name="TEST1598">#REF!</definedName>
    <definedName name="TEST1599" localSheetId="6">#REF!</definedName>
    <definedName name="TEST1599">#REF!</definedName>
    <definedName name="TEST16" localSheetId="6">#REF!</definedName>
    <definedName name="TEST16">#REF!</definedName>
    <definedName name="TEST160" localSheetId="6">#REF!</definedName>
    <definedName name="TEST160">#REF!</definedName>
    <definedName name="TEST1600" localSheetId="6">#REF!</definedName>
    <definedName name="TEST1600">#REF!</definedName>
    <definedName name="TEST1601" localSheetId="6">#REF!</definedName>
    <definedName name="TEST1601">#REF!</definedName>
    <definedName name="TEST1602" localSheetId="6">#REF!</definedName>
    <definedName name="TEST1602">#REF!</definedName>
    <definedName name="TEST1603" localSheetId="6">#REF!</definedName>
    <definedName name="TEST1603">#REF!</definedName>
    <definedName name="TEST1604" localSheetId="6">#REF!</definedName>
    <definedName name="TEST1604">#REF!</definedName>
    <definedName name="TEST1605" localSheetId="6">#REF!</definedName>
    <definedName name="TEST1605">#REF!</definedName>
    <definedName name="TEST1606" localSheetId="6">#REF!</definedName>
    <definedName name="TEST1606">#REF!</definedName>
    <definedName name="TEST1607" localSheetId="6">#REF!</definedName>
    <definedName name="TEST1607">#REF!</definedName>
    <definedName name="TEST1608" localSheetId="6">#REF!</definedName>
    <definedName name="TEST1608">#REF!</definedName>
    <definedName name="TEST1609" localSheetId="6">#REF!</definedName>
    <definedName name="TEST1609">#REF!</definedName>
    <definedName name="TEST161" localSheetId="6">#REF!</definedName>
    <definedName name="TEST161">#REF!</definedName>
    <definedName name="TEST1610" localSheetId="6">#REF!</definedName>
    <definedName name="TEST1610">#REF!</definedName>
    <definedName name="TEST1611" localSheetId="6">#REF!</definedName>
    <definedName name="TEST1611">#REF!</definedName>
    <definedName name="TEST1612" localSheetId="6">#REF!</definedName>
    <definedName name="TEST1612">#REF!</definedName>
    <definedName name="TEST1613" localSheetId="6">#REF!</definedName>
    <definedName name="TEST1613">#REF!</definedName>
    <definedName name="TEST1614" localSheetId="6">#REF!</definedName>
    <definedName name="TEST1614">#REF!</definedName>
    <definedName name="TEST1615" localSheetId="6">#REF!</definedName>
    <definedName name="TEST1615">#REF!</definedName>
    <definedName name="TEST1616" localSheetId="6">#REF!</definedName>
    <definedName name="TEST1616">#REF!</definedName>
    <definedName name="TEST1617" localSheetId="6">#REF!</definedName>
    <definedName name="TEST1617">#REF!</definedName>
    <definedName name="TEST1618" localSheetId="6">#REF!</definedName>
    <definedName name="TEST1618">#REF!</definedName>
    <definedName name="TEST1619" localSheetId="6">#REF!</definedName>
    <definedName name="TEST1619">#REF!</definedName>
    <definedName name="TEST162" localSheetId="6">#REF!</definedName>
    <definedName name="TEST162">#REF!</definedName>
    <definedName name="TEST1620" localSheetId="6">#REF!</definedName>
    <definedName name="TEST1620">#REF!</definedName>
    <definedName name="TEST1621" localSheetId="6">#REF!</definedName>
    <definedName name="TEST1621">#REF!</definedName>
    <definedName name="TEST1622" localSheetId="6">#REF!</definedName>
    <definedName name="TEST1622">#REF!</definedName>
    <definedName name="TEST1623" localSheetId="6">#REF!</definedName>
    <definedName name="TEST1623">#REF!</definedName>
    <definedName name="TEST1624" localSheetId="6">#REF!</definedName>
    <definedName name="TEST1624">#REF!</definedName>
    <definedName name="TEST1625" localSheetId="6">#REF!</definedName>
    <definedName name="TEST1625">#REF!</definedName>
    <definedName name="TEST1626" localSheetId="6">#REF!</definedName>
    <definedName name="TEST1626">#REF!</definedName>
    <definedName name="TEST1627" localSheetId="6">#REF!</definedName>
    <definedName name="TEST1627">#REF!</definedName>
    <definedName name="TEST1628" localSheetId="6">#REF!</definedName>
    <definedName name="TEST1628">#REF!</definedName>
    <definedName name="TEST1629" localSheetId="6">#REF!</definedName>
    <definedName name="TEST1629">#REF!</definedName>
    <definedName name="TEST163" localSheetId="6">#REF!</definedName>
    <definedName name="TEST163">#REF!</definedName>
    <definedName name="TEST1630" localSheetId="6">#REF!</definedName>
    <definedName name="TEST1630">#REF!</definedName>
    <definedName name="TEST1631" localSheetId="6">#REF!</definedName>
    <definedName name="TEST1631">#REF!</definedName>
    <definedName name="TEST1632" localSheetId="6">#REF!</definedName>
    <definedName name="TEST1632">#REF!</definedName>
    <definedName name="TEST1633" localSheetId="6">#REF!</definedName>
    <definedName name="TEST1633">#REF!</definedName>
    <definedName name="TEST1634" localSheetId="6">#REF!</definedName>
    <definedName name="TEST1634">#REF!</definedName>
    <definedName name="TEST1635" localSheetId="6">#REF!</definedName>
    <definedName name="TEST1635">#REF!</definedName>
    <definedName name="TEST1636" localSheetId="6">#REF!</definedName>
    <definedName name="TEST1636">#REF!</definedName>
    <definedName name="TEST1637" localSheetId="6">#REF!</definedName>
    <definedName name="TEST1637">#REF!</definedName>
    <definedName name="TEST1638" localSheetId="6">#REF!</definedName>
    <definedName name="TEST1638">#REF!</definedName>
    <definedName name="TEST1639" localSheetId="6">#REF!</definedName>
    <definedName name="TEST1639">#REF!</definedName>
    <definedName name="TEST164" localSheetId="6">#REF!</definedName>
    <definedName name="TEST164">#REF!</definedName>
    <definedName name="TEST1640" localSheetId="6">#REF!</definedName>
    <definedName name="TEST1640">#REF!</definedName>
    <definedName name="TEST1641" localSheetId="6">#REF!</definedName>
    <definedName name="TEST1641">#REF!</definedName>
    <definedName name="TEST1642" localSheetId="6">#REF!</definedName>
    <definedName name="TEST1642">#REF!</definedName>
    <definedName name="TEST1643" localSheetId="6">#REF!</definedName>
    <definedName name="TEST1643">#REF!</definedName>
    <definedName name="TEST1644" localSheetId="6">#REF!</definedName>
    <definedName name="TEST1644">#REF!</definedName>
    <definedName name="TEST1645" localSheetId="6">#REF!</definedName>
    <definedName name="TEST1645">#REF!</definedName>
    <definedName name="TEST1646" localSheetId="6">#REF!</definedName>
    <definedName name="TEST1646">#REF!</definedName>
    <definedName name="TEST1647" localSheetId="6">#REF!</definedName>
    <definedName name="TEST1647">#REF!</definedName>
    <definedName name="TEST1648" localSheetId="6">#REF!</definedName>
    <definedName name="TEST1648">#REF!</definedName>
    <definedName name="TEST1649" localSheetId="6">#REF!</definedName>
    <definedName name="TEST1649">#REF!</definedName>
    <definedName name="TEST165" localSheetId="6">#REF!</definedName>
    <definedName name="TEST165">#REF!</definedName>
    <definedName name="TEST1650" localSheetId="6">#REF!</definedName>
    <definedName name="TEST1650">#REF!</definedName>
    <definedName name="TEST1651" localSheetId="6">#REF!</definedName>
    <definedName name="TEST1651">#REF!</definedName>
    <definedName name="TEST1652" localSheetId="6">#REF!</definedName>
    <definedName name="TEST1652">#REF!</definedName>
    <definedName name="TEST1653" localSheetId="6">#REF!</definedName>
    <definedName name="TEST1653">#REF!</definedName>
    <definedName name="TEST1654" localSheetId="6">#REF!</definedName>
    <definedName name="TEST1654">#REF!</definedName>
    <definedName name="TEST1655" localSheetId="6">#REF!</definedName>
    <definedName name="TEST1655">#REF!</definedName>
    <definedName name="TEST1656" localSheetId="6">#REF!</definedName>
    <definedName name="TEST1656">#REF!</definedName>
    <definedName name="TEST1657" localSheetId="6">#REF!</definedName>
    <definedName name="TEST1657">#REF!</definedName>
    <definedName name="TEST1658" localSheetId="6">#REF!</definedName>
    <definedName name="TEST1658">#REF!</definedName>
    <definedName name="TEST1659" localSheetId="6">#REF!</definedName>
    <definedName name="TEST1659">#REF!</definedName>
    <definedName name="TEST166" localSheetId="6">#REF!</definedName>
    <definedName name="TEST166">#REF!</definedName>
    <definedName name="TEST1660" localSheetId="6">#REF!</definedName>
    <definedName name="TEST1660">#REF!</definedName>
    <definedName name="TEST1661" localSheetId="6">#REF!</definedName>
    <definedName name="TEST1661">#REF!</definedName>
    <definedName name="TEST1662" localSheetId="6">#REF!</definedName>
    <definedName name="TEST1662">#REF!</definedName>
    <definedName name="TEST1663" localSheetId="6">#REF!</definedName>
    <definedName name="TEST1663">#REF!</definedName>
    <definedName name="TEST1664" localSheetId="6">#REF!</definedName>
    <definedName name="TEST1664">#REF!</definedName>
    <definedName name="TEST1665" localSheetId="6">#REF!</definedName>
    <definedName name="TEST1665">#REF!</definedName>
    <definedName name="TEST1666" localSheetId="6">#REF!</definedName>
    <definedName name="TEST1666">#REF!</definedName>
    <definedName name="TEST1667" localSheetId="6">#REF!</definedName>
    <definedName name="TEST1667">#REF!</definedName>
    <definedName name="TEST1668" localSheetId="6">#REF!</definedName>
    <definedName name="TEST1668">#REF!</definedName>
    <definedName name="TEST1669" localSheetId="6">#REF!</definedName>
    <definedName name="TEST1669">#REF!</definedName>
    <definedName name="TEST167" localSheetId="6">#REF!</definedName>
    <definedName name="TEST167">#REF!</definedName>
    <definedName name="TEST1670" localSheetId="6">#REF!</definedName>
    <definedName name="TEST1670">#REF!</definedName>
    <definedName name="TEST1671" localSheetId="6">#REF!</definedName>
    <definedName name="TEST1671">#REF!</definedName>
    <definedName name="TEST1672" localSheetId="6">#REF!</definedName>
    <definedName name="TEST1672">#REF!</definedName>
    <definedName name="TEST1673" localSheetId="6">#REF!</definedName>
    <definedName name="TEST1673">#REF!</definedName>
    <definedName name="TEST1674" localSheetId="6">#REF!</definedName>
    <definedName name="TEST1674">#REF!</definedName>
    <definedName name="TEST1675" localSheetId="6">#REF!</definedName>
    <definedName name="TEST1675">#REF!</definedName>
    <definedName name="TEST1676" localSheetId="6">#REF!</definedName>
    <definedName name="TEST1676">#REF!</definedName>
    <definedName name="TEST1677" localSheetId="6">#REF!</definedName>
    <definedName name="TEST1677">#REF!</definedName>
    <definedName name="TEST1678" localSheetId="6">#REF!</definedName>
    <definedName name="TEST1678">#REF!</definedName>
    <definedName name="TEST1679" localSheetId="6">#REF!</definedName>
    <definedName name="TEST1679">#REF!</definedName>
    <definedName name="TEST168" localSheetId="6">#REF!</definedName>
    <definedName name="TEST168">#REF!</definedName>
    <definedName name="TEST1680" localSheetId="6">#REF!</definedName>
    <definedName name="TEST1680">#REF!</definedName>
    <definedName name="TEST1681" localSheetId="6">#REF!</definedName>
    <definedName name="TEST1681">#REF!</definedName>
    <definedName name="TEST1682" localSheetId="6">#REF!</definedName>
    <definedName name="TEST1682">#REF!</definedName>
    <definedName name="TEST1683" localSheetId="6">#REF!</definedName>
    <definedName name="TEST1683">#REF!</definedName>
    <definedName name="TEST1684" localSheetId="6">#REF!</definedName>
    <definedName name="TEST1684">#REF!</definedName>
    <definedName name="TEST1685" localSheetId="6">#REF!</definedName>
    <definedName name="TEST1685">#REF!</definedName>
    <definedName name="TEST1686" localSheetId="6">#REF!</definedName>
    <definedName name="TEST1686">#REF!</definedName>
    <definedName name="TEST1687" localSheetId="6">#REF!</definedName>
    <definedName name="TEST1687">#REF!</definedName>
    <definedName name="TEST1688" localSheetId="6">#REF!</definedName>
    <definedName name="TEST1688">#REF!</definedName>
    <definedName name="TEST1689" localSheetId="6">#REF!</definedName>
    <definedName name="TEST1689">#REF!</definedName>
    <definedName name="TEST169" localSheetId="6">#REF!</definedName>
    <definedName name="TEST169">#REF!</definedName>
    <definedName name="TEST1690" localSheetId="6">#REF!</definedName>
    <definedName name="TEST1690">#REF!</definedName>
    <definedName name="TEST1691" localSheetId="6">#REF!</definedName>
    <definedName name="TEST1691">#REF!</definedName>
    <definedName name="TEST1692" localSheetId="6">#REF!</definedName>
    <definedName name="TEST1692">#REF!</definedName>
    <definedName name="TEST1693" localSheetId="6">#REF!</definedName>
    <definedName name="TEST1693">#REF!</definedName>
    <definedName name="TEST1694" localSheetId="6">#REF!</definedName>
    <definedName name="TEST1694">#REF!</definedName>
    <definedName name="TEST1695" localSheetId="6">#REF!</definedName>
    <definedName name="TEST1695">#REF!</definedName>
    <definedName name="TEST1696" localSheetId="6">#REF!</definedName>
    <definedName name="TEST1696">#REF!</definedName>
    <definedName name="TEST1697" localSheetId="6">#REF!</definedName>
    <definedName name="TEST1697">#REF!</definedName>
    <definedName name="TEST1698" localSheetId="6">#REF!</definedName>
    <definedName name="TEST1698">#REF!</definedName>
    <definedName name="TEST1699" localSheetId="6">#REF!</definedName>
    <definedName name="TEST1699">#REF!</definedName>
    <definedName name="TEST17" localSheetId="6">#REF!</definedName>
    <definedName name="TEST17">#REF!</definedName>
    <definedName name="TEST170" localSheetId="6">#REF!</definedName>
    <definedName name="TEST170">#REF!</definedName>
    <definedName name="TEST1700" localSheetId="6">#REF!</definedName>
    <definedName name="TEST1700">#REF!</definedName>
    <definedName name="TEST1701" localSheetId="6">#REF!</definedName>
    <definedName name="TEST1701">#REF!</definedName>
    <definedName name="TEST1702" localSheetId="6">#REF!</definedName>
    <definedName name="TEST1702">#REF!</definedName>
    <definedName name="TEST1703" localSheetId="6">#REF!</definedName>
    <definedName name="TEST1703">#REF!</definedName>
    <definedName name="TEST1704" localSheetId="6">#REF!</definedName>
    <definedName name="TEST1704">#REF!</definedName>
    <definedName name="TEST1705" localSheetId="6">#REF!</definedName>
    <definedName name="TEST1705">#REF!</definedName>
    <definedName name="TEST1706" localSheetId="6">#REF!</definedName>
    <definedName name="TEST1706">#REF!</definedName>
    <definedName name="TEST1707" localSheetId="6">#REF!</definedName>
    <definedName name="TEST1707">#REF!</definedName>
    <definedName name="TEST1708" localSheetId="6">#REF!</definedName>
    <definedName name="TEST1708">#REF!</definedName>
    <definedName name="TEST1709" localSheetId="6">#REF!</definedName>
    <definedName name="TEST1709">#REF!</definedName>
    <definedName name="TEST171" localSheetId="6">#REF!</definedName>
    <definedName name="TEST171">#REF!</definedName>
    <definedName name="TEST1710" localSheetId="6">#REF!</definedName>
    <definedName name="TEST1710">#REF!</definedName>
    <definedName name="TEST1711" localSheetId="6">#REF!</definedName>
    <definedName name="TEST1711">#REF!</definedName>
    <definedName name="TEST1712" localSheetId="6">#REF!</definedName>
    <definedName name="TEST1712">#REF!</definedName>
    <definedName name="TEST1713" localSheetId="6">#REF!</definedName>
    <definedName name="TEST1713">#REF!</definedName>
    <definedName name="TEST1714" localSheetId="6">#REF!</definedName>
    <definedName name="TEST1714">#REF!</definedName>
    <definedName name="TEST1715" localSheetId="6">#REF!</definedName>
    <definedName name="TEST1715">#REF!</definedName>
    <definedName name="TEST1716" localSheetId="6">#REF!</definedName>
    <definedName name="TEST1716">#REF!</definedName>
    <definedName name="TEST1717" localSheetId="6">#REF!</definedName>
    <definedName name="TEST1717">#REF!</definedName>
    <definedName name="TEST1718" localSheetId="6">#REF!</definedName>
    <definedName name="TEST1718">#REF!</definedName>
    <definedName name="TEST1719" localSheetId="6">#REF!</definedName>
    <definedName name="TEST1719">#REF!</definedName>
    <definedName name="TEST172" localSheetId="6">#REF!</definedName>
    <definedName name="TEST172">#REF!</definedName>
    <definedName name="TEST1720" localSheetId="6">#REF!</definedName>
    <definedName name="TEST1720">#REF!</definedName>
    <definedName name="TEST1721" localSheetId="6">#REF!</definedName>
    <definedName name="TEST1721">#REF!</definedName>
    <definedName name="TEST1722" localSheetId="6">#REF!</definedName>
    <definedName name="TEST1722">#REF!</definedName>
    <definedName name="TEST1723" localSheetId="6">#REF!</definedName>
    <definedName name="TEST1723">#REF!</definedName>
    <definedName name="TEST1724" localSheetId="6">#REF!</definedName>
    <definedName name="TEST1724">#REF!</definedName>
    <definedName name="TEST1725" localSheetId="6">#REF!</definedName>
    <definedName name="TEST1725">#REF!</definedName>
    <definedName name="TEST1726" localSheetId="6">#REF!</definedName>
    <definedName name="TEST1726">#REF!</definedName>
    <definedName name="TEST1727" localSheetId="6">#REF!</definedName>
    <definedName name="TEST1727">#REF!</definedName>
    <definedName name="TEST1728" localSheetId="6">#REF!</definedName>
    <definedName name="TEST1728">#REF!</definedName>
    <definedName name="TEST1729" localSheetId="6">#REF!</definedName>
    <definedName name="TEST1729">#REF!</definedName>
    <definedName name="TEST173" localSheetId="6">#REF!</definedName>
    <definedName name="TEST173">#REF!</definedName>
    <definedName name="TEST1730" localSheetId="6">#REF!</definedName>
    <definedName name="TEST1730">#REF!</definedName>
    <definedName name="TEST1731" localSheetId="6">#REF!</definedName>
    <definedName name="TEST1731">#REF!</definedName>
    <definedName name="TEST1732" localSheetId="6">#REF!</definedName>
    <definedName name="TEST1732">#REF!</definedName>
    <definedName name="TEST1733" localSheetId="6">#REF!</definedName>
    <definedName name="TEST1733">#REF!</definedName>
    <definedName name="TEST1734" localSheetId="6">#REF!</definedName>
    <definedName name="TEST1734">#REF!</definedName>
    <definedName name="TEST1735" localSheetId="6">#REF!</definedName>
    <definedName name="TEST1735">#REF!</definedName>
    <definedName name="TEST1736" localSheetId="6">#REF!</definedName>
    <definedName name="TEST1736">#REF!</definedName>
    <definedName name="TEST1737" localSheetId="6">#REF!</definedName>
    <definedName name="TEST1737">#REF!</definedName>
    <definedName name="TEST1738" localSheetId="6">#REF!</definedName>
    <definedName name="TEST1738">#REF!</definedName>
    <definedName name="TEST1739" localSheetId="6">#REF!</definedName>
    <definedName name="TEST1739">#REF!</definedName>
    <definedName name="TEST174" localSheetId="6">#REF!</definedName>
    <definedName name="TEST174">#REF!</definedName>
    <definedName name="TEST1740" localSheetId="6">#REF!</definedName>
    <definedName name="TEST1740">#REF!</definedName>
    <definedName name="TEST1741" localSheetId="6">#REF!</definedName>
    <definedName name="TEST1741">#REF!</definedName>
    <definedName name="TEST1742" localSheetId="6">#REF!</definedName>
    <definedName name="TEST1742">#REF!</definedName>
    <definedName name="TEST1743" localSheetId="6">#REF!</definedName>
    <definedName name="TEST1743">#REF!</definedName>
    <definedName name="TEST1744" localSheetId="6">#REF!</definedName>
    <definedName name="TEST1744">#REF!</definedName>
    <definedName name="TEST1745" localSheetId="6">#REF!</definedName>
    <definedName name="TEST1745">#REF!</definedName>
    <definedName name="TEST1746" localSheetId="6">#REF!</definedName>
    <definedName name="TEST1746">#REF!</definedName>
    <definedName name="TEST1747" localSheetId="6">#REF!</definedName>
    <definedName name="TEST1747">#REF!</definedName>
    <definedName name="TEST1748" localSheetId="6">#REF!</definedName>
    <definedName name="TEST1748">#REF!</definedName>
    <definedName name="TEST1749" localSheetId="6">#REF!</definedName>
    <definedName name="TEST1749">#REF!</definedName>
    <definedName name="TEST175" localSheetId="6">#REF!</definedName>
    <definedName name="TEST175">#REF!</definedName>
    <definedName name="TEST1750" localSheetId="6">#REF!</definedName>
    <definedName name="TEST1750">#REF!</definedName>
    <definedName name="TEST1751" localSheetId="6">#REF!</definedName>
    <definedName name="TEST1751">#REF!</definedName>
    <definedName name="TEST1752" localSheetId="6">#REF!</definedName>
    <definedName name="TEST1752">#REF!</definedName>
    <definedName name="TEST1753" localSheetId="6">#REF!</definedName>
    <definedName name="TEST1753">#REF!</definedName>
    <definedName name="TEST1754" localSheetId="6">#REF!</definedName>
    <definedName name="TEST1754">#REF!</definedName>
    <definedName name="TEST1755" localSheetId="6">#REF!</definedName>
    <definedName name="TEST1755">#REF!</definedName>
    <definedName name="TEST1756" localSheetId="6">#REF!</definedName>
    <definedName name="TEST1756">#REF!</definedName>
    <definedName name="TEST1757" localSheetId="6">#REF!</definedName>
    <definedName name="TEST1757">#REF!</definedName>
    <definedName name="TEST1758" localSheetId="6">#REF!</definedName>
    <definedName name="TEST1758">#REF!</definedName>
    <definedName name="TEST1759" localSheetId="6">#REF!</definedName>
    <definedName name="TEST1759">#REF!</definedName>
    <definedName name="TEST176" localSheetId="6">#REF!</definedName>
    <definedName name="TEST176">#REF!</definedName>
    <definedName name="TEST1760" localSheetId="6">#REF!</definedName>
    <definedName name="TEST1760">#REF!</definedName>
    <definedName name="TEST1761" localSheetId="6">#REF!</definedName>
    <definedName name="TEST1761">#REF!</definedName>
    <definedName name="TEST1762" localSheetId="6">#REF!</definedName>
    <definedName name="TEST1762">#REF!</definedName>
    <definedName name="TEST1763" localSheetId="6">#REF!</definedName>
    <definedName name="TEST1763">#REF!</definedName>
    <definedName name="TEST1764" localSheetId="6">#REF!</definedName>
    <definedName name="TEST1764">#REF!</definedName>
    <definedName name="TEST1765" localSheetId="6">#REF!</definedName>
    <definedName name="TEST1765">#REF!</definedName>
    <definedName name="TEST1766" localSheetId="6">#REF!</definedName>
    <definedName name="TEST1766">#REF!</definedName>
    <definedName name="TEST1767" localSheetId="6">#REF!</definedName>
    <definedName name="TEST1767">#REF!</definedName>
    <definedName name="TEST1768" localSheetId="6">#REF!</definedName>
    <definedName name="TEST1768">#REF!</definedName>
    <definedName name="TEST1769" localSheetId="6">#REF!</definedName>
    <definedName name="TEST1769">#REF!</definedName>
    <definedName name="TEST177" localSheetId="6">#REF!</definedName>
    <definedName name="TEST177">#REF!</definedName>
    <definedName name="TEST1770" localSheetId="6">#REF!</definedName>
    <definedName name="TEST1770">#REF!</definedName>
    <definedName name="TEST1771" localSheetId="6">#REF!</definedName>
    <definedName name="TEST1771">#REF!</definedName>
    <definedName name="TEST1772" localSheetId="6">#REF!</definedName>
    <definedName name="TEST1772">#REF!</definedName>
    <definedName name="TEST1773" localSheetId="6">#REF!</definedName>
    <definedName name="TEST1773">#REF!</definedName>
    <definedName name="TEST1774" localSheetId="6">#REF!</definedName>
    <definedName name="TEST1774">#REF!</definedName>
    <definedName name="TEST1775" localSheetId="6">#REF!</definedName>
    <definedName name="TEST1775">#REF!</definedName>
    <definedName name="TEST1776" localSheetId="6">#REF!</definedName>
    <definedName name="TEST1776">#REF!</definedName>
    <definedName name="TEST1777" localSheetId="6">#REF!</definedName>
    <definedName name="TEST1777">#REF!</definedName>
    <definedName name="TEST1778" localSheetId="6">#REF!</definedName>
    <definedName name="TEST1778">#REF!</definedName>
    <definedName name="TEST1779" localSheetId="6">#REF!</definedName>
    <definedName name="TEST1779">#REF!</definedName>
    <definedName name="TEST178" localSheetId="6">#REF!</definedName>
    <definedName name="TEST178">#REF!</definedName>
    <definedName name="TEST1780" localSheetId="6">#REF!</definedName>
    <definedName name="TEST1780">#REF!</definedName>
    <definedName name="TEST1781" localSheetId="6">#REF!</definedName>
    <definedName name="TEST1781">#REF!</definedName>
    <definedName name="TEST1782" localSheetId="6">#REF!</definedName>
    <definedName name="TEST1782">#REF!</definedName>
    <definedName name="TEST1783" localSheetId="6">#REF!</definedName>
    <definedName name="TEST1783">#REF!</definedName>
    <definedName name="TEST1784" localSheetId="6">#REF!</definedName>
    <definedName name="TEST1784">#REF!</definedName>
    <definedName name="TEST1785" localSheetId="6">#REF!</definedName>
    <definedName name="TEST1785">#REF!</definedName>
    <definedName name="TEST1786" localSheetId="6">#REF!</definedName>
    <definedName name="TEST1786">#REF!</definedName>
    <definedName name="TEST1787" localSheetId="6">#REF!</definedName>
    <definedName name="TEST1787">#REF!</definedName>
    <definedName name="TEST1788" localSheetId="6">#REF!</definedName>
    <definedName name="TEST1788">#REF!</definedName>
    <definedName name="TEST1789" localSheetId="6">#REF!</definedName>
    <definedName name="TEST1789">#REF!</definedName>
    <definedName name="TEST179" localSheetId="6">#REF!</definedName>
    <definedName name="TEST179">#REF!</definedName>
    <definedName name="TEST1790" localSheetId="6">#REF!</definedName>
    <definedName name="TEST1790">#REF!</definedName>
    <definedName name="TEST1791" localSheetId="6">#REF!</definedName>
    <definedName name="TEST1791">#REF!</definedName>
    <definedName name="TEST1792" localSheetId="6">#REF!</definedName>
    <definedName name="TEST1792">#REF!</definedName>
    <definedName name="TEST1793" localSheetId="6">#REF!</definedName>
    <definedName name="TEST1793">#REF!</definedName>
    <definedName name="TEST1794" localSheetId="6">#REF!</definedName>
    <definedName name="TEST1794">#REF!</definedName>
    <definedName name="TEST1795" localSheetId="6">#REF!</definedName>
    <definedName name="TEST1795">#REF!</definedName>
    <definedName name="TEST1796" localSheetId="6">#REF!</definedName>
    <definedName name="TEST1796">#REF!</definedName>
    <definedName name="TEST1797" localSheetId="6">#REF!</definedName>
    <definedName name="TEST1797">#REF!</definedName>
    <definedName name="TEST1798" localSheetId="6">#REF!</definedName>
    <definedName name="TEST1798">#REF!</definedName>
    <definedName name="TEST1799" localSheetId="6">#REF!</definedName>
    <definedName name="TEST1799">#REF!</definedName>
    <definedName name="TEST18" localSheetId="6">#REF!</definedName>
    <definedName name="TEST18">#REF!</definedName>
    <definedName name="TEST180" localSheetId="6">#REF!</definedName>
    <definedName name="TEST180">#REF!</definedName>
    <definedName name="TEST1800" localSheetId="6">#REF!</definedName>
    <definedName name="TEST1800">#REF!</definedName>
    <definedName name="TEST1801" localSheetId="6">#REF!</definedName>
    <definedName name="TEST1801">#REF!</definedName>
    <definedName name="TEST1802" localSheetId="6">#REF!</definedName>
    <definedName name="TEST1802">#REF!</definedName>
    <definedName name="TEST1803" localSheetId="6">#REF!</definedName>
    <definedName name="TEST1803">#REF!</definedName>
    <definedName name="TEST1804" localSheetId="6">#REF!</definedName>
    <definedName name="TEST1804">#REF!</definedName>
    <definedName name="TEST1805" localSheetId="6">#REF!</definedName>
    <definedName name="TEST1805">#REF!</definedName>
    <definedName name="TEST1806" localSheetId="6">#REF!</definedName>
    <definedName name="TEST1806">#REF!</definedName>
    <definedName name="TEST1807" localSheetId="6">#REF!</definedName>
    <definedName name="TEST1807">#REF!</definedName>
    <definedName name="TEST1808" localSheetId="6">#REF!</definedName>
    <definedName name="TEST1808">#REF!</definedName>
    <definedName name="TEST1809" localSheetId="6">#REF!</definedName>
    <definedName name="TEST1809">#REF!</definedName>
    <definedName name="TEST181" localSheetId="6">#REF!</definedName>
    <definedName name="TEST181">#REF!</definedName>
    <definedName name="TEST1810" localSheetId="6">#REF!</definedName>
    <definedName name="TEST1810">#REF!</definedName>
    <definedName name="TEST1811" localSheetId="6">#REF!</definedName>
    <definedName name="TEST1811">#REF!</definedName>
    <definedName name="TEST1812" localSheetId="6">#REF!</definedName>
    <definedName name="TEST1812">#REF!</definedName>
    <definedName name="TEST1813" localSheetId="6">#REF!</definedName>
    <definedName name="TEST1813">#REF!</definedName>
    <definedName name="TEST1814" localSheetId="6">#REF!</definedName>
    <definedName name="TEST1814">#REF!</definedName>
    <definedName name="TEST1815" localSheetId="6">#REF!</definedName>
    <definedName name="TEST1815">#REF!</definedName>
    <definedName name="TEST1816" localSheetId="6">#REF!</definedName>
    <definedName name="TEST1816">#REF!</definedName>
    <definedName name="TEST1817" localSheetId="6">#REF!</definedName>
    <definedName name="TEST1817">#REF!</definedName>
    <definedName name="TEST1818" localSheetId="6">#REF!</definedName>
    <definedName name="TEST1818">#REF!</definedName>
    <definedName name="TEST1819" localSheetId="6">#REF!</definedName>
    <definedName name="TEST1819">#REF!</definedName>
    <definedName name="TEST182" localSheetId="6">#REF!</definedName>
    <definedName name="TEST182">#REF!</definedName>
    <definedName name="TEST1820" localSheetId="6">#REF!</definedName>
    <definedName name="TEST1820">#REF!</definedName>
    <definedName name="TEST1821" localSheetId="6">#REF!</definedName>
    <definedName name="TEST1821">#REF!</definedName>
    <definedName name="TEST1822" localSheetId="6">#REF!</definedName>
    <definedName name="TEST1822">#REF!</definedName>
    <definedName name="TEST1823" localSheetId="6">#REF!</definedName>
    <definedName name="TEST1823">#REF!</definedName>
    <definedName name="TEST1824" localSheetId="6">#REF!</definedName>
    <definedName name="TEST1824">#REF!</definedName>
    <definedName name="TEST1825" localSheetId="6">#REF!</definedName>
    <definedName name="TEST1825">#REF!</definedName>
    <definedName name="TEST1826" localSheetId="6">#REF!</definedName>
    <definedName name="TEST1826">#REF!</definedName>
    <definedName name="TEST1827" localSheetId="6">#REF!</definedName>
    <definedName name="TEST1827">#REF!</definedName>
    <definedName name="TEST1828" localSheetId="6">#REF!</definedName>
    <definedName name="TEST1828">#REF!</definedName>
    <definedName name="TEST1829" localSheetId="6">#REF!</definedName>
    <definedName name="TEST1829">#REF!</definedName>
    <definedName name="TEST183" localSheetId="6">#REF!</definedName>
    <definedName name="TEST183">#REF!</definedName>
    <definedName name="TEST1830" localSheetId="6">#REF!</definedName>
    <definedName name="TEST1830">#REF!</definedName>
    <definedName name="TEST1831" localSheetId="6">#REF!</definedName>
    <definedName name="TEST1831">#REF!</definedName>
    <definedName name="TEST1832" localSheetId="6">#REF!</definedName>
    <definedName name="TEST1832">#REF!</definedName>
    <definedName name="TEST1833" localSheetId="6">#REF!</definedName>
    <definedName name="TEST1833">#REF!</definedName>
    <definedName name="TEST1834" localSheetId="6">#REF!</definedName>
    <definedName name="TEST1834">#REF!</definedName>
    <definedName name="TEST1835" localSheetId="6">#REF!</definedName>
    <definedName name="TEST1835">#REF!</definedName>
    <definedName name="TEST1836" localSheetId="6">#REF!</definedName>
    <definedName name="TEST1836">#REF!</definedName>
    <definedName name="TEST1837" localSheetId="6">#REF!</definedName>
    <definedName name="TEST1837">#REF!</definedName>
    <definedName name="TEST1838" localSheetId="6">#REF!</definedName>
    <definedName name="TEST1838">#REF!</definedName>
    <definedName name="TEST1839" localSheetId="6">#REF!</definedName>
    <definedName name="TEST1839">#REF!</definedName>
    <definedName name="TEST184" localSheetId="6">#REF!</definedName>
    <definedName name="TEST184">#REF!</definedName>
    <definedName name="TEST1840" localSheetId="6">#REF!</definedName>
    <definedName name="TEST1840">#REF!</definedName>
    <definedName name="TEST1841" localSheetId="6">#REF!</definedName>
    <definedName name="TEST1841">#REF!</definedName>
    <definedName name="TEST1842" localSheetId="6">#REF!</definedName>
    <definedName name="TEST1842">#REF!</definedName>
    <definedName name="TEST1843" localSheetId="6">#REF!</definedName>
    <definedName name="TEST1843">#REF!</definedName>
    <definedName name="TEST1844" localSheetId="6">#REF!</definedName>
    <definedName name="TEST1844">#REF!</definedName>
    <definedName name="TEST1845" localSheetId="6">#REF!</definedName>
    <definedName name="TEST1845">#REF!</definedName>
    <definedName name="TEST1846" localSheetId="6">#REF!</definedName>
    <definedName name="TEST1846">#REF!</definedName>
    <definedName name="TEST1847" localSheetId="6">#REF!</definedName>
    <definedName name="TEST1847">#REF!</definedName>
    <definedName name="TEST1848" localSheetId="6">#REF!</definedName>
    <definedName name="TEST1848">#REF!</definedName>
    <definedName name="TEST1849" localSheetId="6">#REF!</definedName>
    <definedName name="TEST1849">#REF!</definedName>
    <definedName name="TEST185" localSheetId="6">#REF!</definedName>
    <definedName name="TEST185">#REF!</definedName>
    <definedName name="TEST1850" localSheetId="6">#REF!</definedName>
    <definedName name="TEST1850">#REF!</definedName>
    <definedName name="TEST1851" localSheetId="6">#REF!</definedName>
    <definedName name="TEST1851">#REF!</definedName>
    <definedName name="TEST1852" localSheetId="6">#REF!</definedName>
    <definedName name="TEST1852">#REF!</definedName>
    <definedName name="TEST1853" localSheetId="6">#REF!</definedName>
    <definedName name="TEST1853">#REF!</definedName>
    <definedName name="TEST1854" localSheetId="6">#REF!</definedName>
    <definedName name="TEST1854">#REF!</definedName>
    <definedName name="TEST1855" localSheetId="6">#REF!</definedName>
    <definedName name="TEST1855">#REF!</definedName>
    <definedName name="TEST1856" localSheetId="6">#REF!</definedName>
    <definedName name="TEST1856">#REF!</definedName>
    <definedName name="TEST1857" localSheetId="6">#REF!</definedName>
    <definedName name="TEST1857">#REF!</definedName>
    <definedName name="TEST1858" localSheetId="6">#REF!</definedName>
    <definedName name="TEST1858">#REF!</definedName>
    <definedName name="TEST1859" localSheetId="6">#REF!</definedName>
    <definedName name="TEST1859">#REF!</definedName>
    <definedName name="TEST186" localSheetId="6">#REF!</definedName>
    <definedName name="TEST186">#REF!</definedName>
    <definedName name="TEST1860" localSheetId="6">#REF!</definedName>
    <definedName name="TEST1860">#REF!</definedName>
    <definedName name="TEST1861" localSheetId="6">#REF!</definedName>
    <definedName name="TEST1861">#REF!</definedName>
    <definedName name="TEST1862" localSheetId="6">#REF!</definedName>
    <definedName name="TEST1862">#REF!</definedName>
    <definedName name="TEST1863" localSheetId="6">#REF!</definedName>
    <definedName name="TEST1863">#REF!</definedName>
    <definedName name="TEST1864" localSheetId="6">#REF!</definedName>
    <definedName name="TEST1864">#REF!</definedName>
    <definedName name="TEST1865" localSheetId="6">#REF!</definedName>
    <definedName name="TEST1865">#REF!</definedName>
    <definedName name="TEST1866" localSheetId="6">#REF!</definedName>
    <definedName name="TEST1866">#REF!</definedName>
    <definedName name="TEST1867" localSheetId="6">#REF!</definedName>
    <definedName name="TEST1867">#REF!</definedName>
    <definedName name="TEST1868" localSheetId="6">#REF!</definedName>
    <definedName name="TEST1868">#REF!</definedName>
    <definedName name="TEST1869" localSheetId="6">#REF!</definedName>
    <definedName name="TEST1869">#REF!</definedName>
    <definedName name="TEST187" localSheetId="6">#REF!</definedName>
    <definedName name="TEST187">#REF!</definedName>
    <definedName name="TEST1870" localSheetId="6">#REF!</definedName>
    <definedName name="TEST1870">#REF!</definedName>
    <definedName name="TEST1871" localSheetId="6">#REF!</definedName>
    <definedName name="TEST1871">#REF!</definedName>
    <definedName name="TEST1872" localSheetId="6">#REF!</definedName>
    <definedName name="TEST1872">#REF!</definedName>
    <definedName name="TEST1873" localSheetId="6">#REF!</definedName>
    <definedName name="TEST1873">#REF!</definedName>
    <definedName name="TEST1874" localSheetId="6">#REF!</definedName>
    <definedName name="TEST1874">#REF!</definedName>
    <definedName name="TEST1875" localSheetId="6">#REF!</definedName>
    <definedName name="TEST1875">#REF!</definedName>
    <definedName name="TEST1876" localSheetId="6">#REF!</definedName>
    <definedName name="TEST1876">#REF!</definedName>
    <definedName name="TEST1877" localSheetId="6">#REF!</definedName>
    <definedName name="TEST1877">#REF!</definedName>
    <definedName name="TEST1878" localSheetId="6">#REF!</definedName>
    <definedName name="TEST1878">#REF!</definedName>
    <definedName name="TEST1879" localSheetId="6">#REF!</definedName>
    <definedName name="TEST1879">#REF!</definedName>
    <definedName name="TEST188" localSheetId="6">#REF!</definedName>
    <definedName name="TEST188">#REF!</definedName>
    <definedName name="TEST1880" localSheetId="6">#REF!</definedName>
    <definedName name="TEST1880">#REF!</definedName>
    <definedName name="TEST1881" localSheetId="6">#REF!</definedName>
    <definedName name="TEST1881">#REF!</definedName>
    <definedName name="TEST1882" localSheetId="6">#REF!</definedName>
    <definedName name="TEST1882">#REF!</definedName>
    <definedName name="TEST1883" localSheetId="6">#REF!</definedName>
    <definedName name="TEST1883">#REF!</definedName>
    <definedName name="TEST1884" localSheetId="6">#REF!</definedName>
    <definedName name="TEST1884">#REF!</definedName>
    <definedName name="TEST1885" localSheetId="6">#REF!</definedName>
    <definedName name="TEST1885">#REF!</definedName>
    <definedName name="TEST1886" localSheetId="6">#REF!</definedName>
    <definedName name="TEST1886">#REF!</definedName>
    <definedName name="TEST1887" localSheetId="6">#REF!</definedName>
    <definedName name="TEST1887">#REF!</definedName>
    <definedName name="TEST1888" localSheetId="6">#REF!</definedName>
    <definedName name="TEST1888">#REF!</definedName>
    <definedName name="TEST1889" localSheetId="6">#REF!</definedName>
    <definedName name="TEST1889">#REF!</definedName>
    <definedName name="TEST189" localSheetId="6">#REF!</definedName>
    <definedName name="TEST189">#REF!</definedName>
    <definedName name="TEST1890" localSheetId="6">#REF!</definedName>
    <definedName name="TEST1890">#REF!</definedName>
    <definedName name="TEST1891" localSheetId="6">#REF!</definedName>
    <definedName name="TEST1891">#REF!</definedName>
    <definedName name="TEST1892" localSheetId="6">#REF!</definedName>
    <definedName name="TEST1892">#REF!</definedName>
    <definedName name="TEST1893" localSheetId="6">#REF!</definedName>
    <definedName name="TEST1893">#REF!</definedName>
    <definedName name="TEST1894" localSheetId="6">#REF!</definedName>
    <definedName name="TEST1894">#REF!</definedName>
    <definedName name="TEST1895" localSheetId="6">#REF!</definedName>
    <definedName name="TEST1895">#REF!</definedName>
    <definedName name="TEST1896" localSheetId="6">#REF!</definedName>
    <definedName name="TEST1896">#REF!</definedName>
    <definedName name="TEST1897" localSheetId="6">#REF!</definedName>
    <definedName name="TEST1897">#REF!</definedName>
    <definedName name="TEST1898" localSheetId="6">#REF!</definedName>
    <definedName name="TEST1898">#REF!</definedName>
    <definedName name="TEST1899" localSheetId="6">#REF!</definedName>
    <definedName name="TEST1899">#REF!</definedName>
    <definedName name="TEST19" localSheetId="6">#REF!</definedName>
    <definedName name="TEST19">#REF!</definedName>
    <definedName name="TEST190" localSheetId="6">#REF!</definedName>
    <definedName name="TEST190">#REF!</definedName>
    <definedName name="TEST1900" localSheetId="6">#REF!</definedName>
    <definedName name="TEST1900">#REF!</definedName>
    <definedName name="TEST1901" localSheetId="6">#REF!</definedName>
    <definedName name="TEST1901">#REF!</definedName>
    <definedName name="TEST1902" localSheetId="6">#REF!</definedName>
    <definedName name="TEST1902">#REF!</definedName>
    <definedName name="TEST1903" localSheetId="6">#REF!</definedName>
    <definedName name="TEST1903">#REF!</definedName>
    <definedName name="TEST1904" localSheetId="6">#REF!</definedName>
    <definedName name="TEST1904">#REF!</definedName>
    <definedName name="TEST1905" localSheetId="6">#REF!</definedName>
    <definedName name="TEST1905">#REF!</definedName>
    <definedName name="TEST1906" localSheetId="6">#REF!</definedName>
    <definedName name="TEST1906">#REF!</definedName>
    <definedName name="TEST1907" localSheetId="6">#REF!</definedName>
    <definedName name="TEST1907">#REF!</definedName>
    <definedName name="TEST1908" localSheetId="6">#REF!</definedName>
    <definedName name="TEST1908">#REF!</definedName>
    <definedName name="TEST1909" localSheetId="6">#REF!</definedName>
    <definedName name="TEST1909">#REF!</definedName>
    <definedName name="TEST191" localSheetId="6">#REF!</definedName>
    <definedName name="TEST191">#REF!</definedName>
    <definedName name="TEST1910" localSheetId="6">#REF!</definedName>
    <definedName name="TEST1910">#REF!</definedName>
    <definedName name="TEST1911" localSheetId="6">#REF!</definedName>
    <definedName name="TEST1911">#REF!</definedName>
    <definedName name="TEST1912" localSheetId="6">#REF!</definedName>
    <definedName name="TEST1912">#REF!</definedName>
    <definedName name="TEST1913" localSheetId="6">#REF!</definedName>
    <definedName name="TEST1913">#REF!</definedName>
    <definedName name="TEST1914" localSheetId="6">#REF!</definedName>
    <definedName name="TEST1914">#REF!</definedName>
    <definedName name="TEST1915" localSheetId="6">#REF!</definedName>
    <definedName name="TEST1915">#REF!</definedName>
    <definedName name="TEST1916">#REF!</definedName>
    <definedName name="TEST1917">#REF!</definedName>
    <definedName name="TEST1918">#REF!</definedName>
    <definedName name="TEST1919">#REF!</definedName>
    <definedName name="TEST192" localSheetId="6">#REF!</definedName>
    <definedName name="TEST192">#REF!</definedName>
    <definedName name="TEST1920">#REF!</definedName>
    <definedName name="TEST1921">#REF!</definedName>
    <definedName name="TEST1922">#REF!</definedName>
    <definedName name="TEST1923">#REF!</definedName>
    <definedName name="TEST1924">#REF!</definedName>
    <definedName name="TEST1925">#REF!</definedName>
    <definedName name="TEST1926">#REF!</definedName>
    <definedName name="TEST1927">#REF!</definedName>
    <definedName name="TEST1928">#REF!</definedName>
    <definedName name="TEST1929">#REF!</definedName>
    <definedName name="TEST193" localSheetId="6">#REF!</definedName>
    <definedName name="TEST193">#REF!</definedName>
    <definedName name="TEST1930">#REF!</definedName>
    <definedName name="TEST1931">#REF!</definedName>
    <definedName name="TEST1932">#REF!</definedName>
    <definedName name="TEST1933">#REF!</definedName>
    <definedName name="TEST1934">#REF!</definedName>
    <definedName name="TEST1935">#REF!</definedName>
    <definedName name="TEST1936">#REF!</definedName>
    <definedName name="TEST1937">#REF!</definedName>
    <definedName name="TEST1938">#REF!</definedName>
    <definedName name="TEST1939">#REF!</definedName>
    <definedName name="TEST194" localSheetId="6">#REF!</definedName>
    <definedName name="TEST194">#REF!</definedName>
    <definedName name="TEST1940">#REF!</definedName>
    <definedName name="TEST1941">#REF!</definedName>
    <definedName name="TEST1942">#REF!</definedName>
    <definedName name="TEST1943">#REF!</definedName>
    <definedName name="TEST1944">#REF!</definedName>
    <definedName name="TEST1945">#REF!</definedName>
    <definedName name="TEST1946">#REF!</definedName>
    <definedName name="TEST1947">#REF!</definedName>
    <definedName name="TEST1948">#REF!</definedName>
    <definedName name="TEST1949">#REF!</definedName>
    <definedName name="TEST195" localSheetId="6">#REF!</definedName>
    <definedName name="TEST195">#REF!</definedName>
    <definedName name="TEST1950">#REF!</definedName>
    <definedName name="TEST1951">#REF!</definedName>
    <definedName name="TEST1952">#REF!</definedName>
    <definedName name="TEST1953">#REF!</definedName>
    <definedName name="TEST1954">#REF!</definedName>
    <definedName name="TEST1955">#REF!</definedName>
    <definedName name="TEST1956">#REF!</definedName>
    <definedName name="TEST1957">#REF!</definedName>
    <definedName name="TEST1958">#REF!</definedName>
    <definedName name="TEST1959">#REF!</definedName>
    <definedName name="TEST196" localSheetId="6">#REF!</definedName>
    <definedName name="TEST196">#REF!</definedName>
    <definedName name="TEST1960">#REF!</definedName>
    <definedName name="TEST1961">#REF!</definedName>
    <definedName name="TEST1962">#REF!</definedName>
    <definedName name="TEST1963">#REF!</definedName>
    <definedName name="TEST1964">#REF!</definedName>
    <definedName name="TEST1965">#REF!</definedName>
    <definedName name="TEST1966">#REF!</definedName>
    <definedName name="TEST1967">#REF!</definedName>
    <definedName name="TEST1968">#REF!</definedName>
    <definedName name="TEST1969">#REF!</definedName>
    <definedName name="TEST197" localSheetId="6">#REF!</definedName>
    <definedName name="TEST197">#REF!</definedName>
    <definedName name="TEST198" localSheetId="6">#REF!</definedName>
    <definedName name="TEST198">#REF!</definedName>
    <definedName name="TEST199" localSheetId="6">#REF!</definedName>
    <definedName name="TEST199">#REF!</definedName>
    <definedName name="TEST2" localSheetId="6">#REF!</definedName>
    <definedName name="TEST2">#REF!</definedName>
    <definedName name="TEST20" localSheetId="6">#REF!</definedName>
    <definedName name="TEST20">#REF!</definedName>
    <definedName name="TEST200" localSheetId="6">#REF!</definedName>
    <definedName name="TEST200">#REF!</definedName>
    <definedName name="TEST201" localSheetId="6">#REF!</definedName>
    <definedName name="TEST201">#REF!</definedName>
    <definedName name="TEST202" localSheetId="6">#REF!</definedName>
    <definedName name="TEST202">#REF!</definedName>
    <definedName name="TEST203" localSheetId="6">#REF!</definedName>
    <definedName name="TEST203">#REF!</definedName>
    <definedName name="TEST204" localSheetId="6">#REF!</definedName>
    <definedName name="TEST204">#REF!</definedName>
    <definedName name="TEST205" localSheetId="6">#REF!</definedName>
    <definedName name="TEST205">#REF!</definedName>
    <definedName name="TEST206" localSheetId="6">#REF!</definedName>
    <definedName name="TEST206">#REF!</definedName>
    <definedName name="TEST207" localSheetId="6">#REF!</definedName>
    <definedName name="TEST207">#REF!</definedName>
    <definedName name="TEST208" localSheetId="6">#REF!</definedName>
    <definedName name="TEST208">#REF!</definedName>
    <definedName name="TEST209" localSheetId="6">#REF!</definedName>
    <definedName name="TEST209">#REF!</definedName>
    <definedName name="TEST21" localSheetId="6">#REF!</definedName>
    <definedName name="TEST21">#REF!</definedName>
    <definedName name="TEST210" localSheetId="6">#REF!</definedName>
    <definedName name="TEST210">#REF!</definedName>
    <definedName name="TEST211" localSheetId="6">#REF!</definedName>
    <definedName name="TEST211">#REF!</definedName>
    <definedName name="TEST212" localSheetId="6">#REF!</definedName>
    <definedName name="TEST212">#REF!</definedName>
    <definedName name="TEST213" localSheetId="6">#REF!</definedName>
    <definedName name="TEST213">#REF!</definedName>
    <definedName name="TEST214" localSheetId="6">#REF!</definedName>
    <definedName name="TEST214">#REF!</definedName>
    <definedName name="TEST215" localSheetId="6">#REF!</definedName>
    <definedName name="TEST215">#REF!</definedName>
    <definedName name="TEST216" localSheetId="6">#REF!</definedName>
    <definedName name="TEST216">#REF!</definedName>
    <definedName name="TEST217" localSheetId="6">#REF!</definedName>
    <definedName name="TEST217">#REF!</definedName>
    <definedName name="TEST218" localSheetId="6">#REF!</definedName>
    <definedName name="TEST218">#REF!</definedName>
    <definedName name="TEST219" localSheetId="6">#REF!</definedName>
    <definedName name="TEST219">#REF!</definedName>
    <definedName name="TEST22" localSheetId="6">#REF!</definedName>
    <definedName name="TEST22">#REF!</definedName>
    <definedName name="TEST220" localSheetId="6">#REF!</definedName>
    <definedName name="TEST220">#REF!</definedName>
    <definedName name="TEST221" localSheetId="6">#REF!</definedName>
    <definedName name="TEST221">#REF!</definedName>
    <definedName name="TEST222" localSheetId="6">#REF!</definedName>
    <definedName name="TEST222">#REF!</definedName>
    <definedName name="TEST223" localSheetId="6">#REF!</definedName>
    <definedName name="TEST223">#REF!</definedName>
    <definedName name="TEST224" localSheetId="6">#REF!</definedName>
    <definedName name="TEST224">#REF!</definedName>
    <definedName name="TEST225" localSheetId="6">#REF!</definedName>
    <definedName name="TEST225">#REF!</definedName>
    <definedName name="TEST226" localSheetId="6">#REF!</definedName>
    <definedName name="TEST226">#REF!</definedName>
    <definedName name="TEST227" localSheetId="6">#REF!</definedName>
    <definedName name="TEST227">#REF!</definedName>
    <definedName name="TEST228" localSheetId="6">#REF!</definedName>
    <definedName name="TEST228">#REF!</definedName>
    <definedName name="TEST229" localSheetId="6">#REF!</definedName>
    <definedName name="TEST229">#REF!</definedName>
    <definedName name="TEST23" localSheetId="6">#REF!</definedName>
    <definedName name="TEST23">#REF!</definedName>
    <definedName name="TEST230" localSheetId="6">#REF!</definedName>
    <definedName name="TEST230">#REF!</definedName>
    <definedName name="TEST231" localSheetId="6">#REF!</definedName>
    <definedName name="TEST231">#REF!</definedName>
    <definedName name="TEST232" localSheetId="6">#REF!</definedName>
    <definedName name="TEST232">#REF!</definedName>
    <definedName name="TEST233" localSheetId="6">#REF!</definedName>
    <definedName name="TEST233">#REF!</definedName>
    <definedName name="TEST234" localSheetId="6">#REF!</definedName>
    <definedName name="TEST234">#REF!</definedName>
    <definedName name="TEST235" localSheetId="6">#REF!</definedName>
    <definedName name="TEST235">#REF!</definedName>
    <definedName name="TEST236" localSheetId="6">#REF!</definedName>
    <definedName name="TEST236">#REF!</definedName>
    <definedName name="TEST237" localSheetId="6">#REF!</definedName>
    <definedName name="TEST237">#REF!</definedName>
    <definedName name="TEST238" localSheetId="6">#REF!</definedName>
    <definedName name="TEST238">#REF!</definedName>
    <definedName name="TEST239" localSheetId="6">#REF!</definedName>
    <definedName name="TEST239">#REF!</definedName>
    <definedName name="TEST24" localSheetId="6">#REF!</definedName>
    <definedName name="TEST24">#REF!</definedName>
    <definedName name="TEST240" localSheetId="6">#REF!</definedName>
    <definedName name="TEST240">#REF!</definedName>
    <definedName name="TEST241" localSheetId="6">#REF!</definedName>
    <definedName name="TEST241">#REF!</definedName>
    <definedName name="TEST242" localSheetId="6">#REF!</definedName>
    <definedName name="TEST242">#REF!</definedName>
    <definedName name="TEST243" localSheetId="6">#REF!</definedName>
    <definedName name="TEST243">#REF!</definedName>
    <definedName name="TEST244" localSheetId="6">#REF!</definedName>
    <definedName name="TEST244">#REF!</definedName>
    <definedName name="TEST245" localSheetId="6">#REF!</definedName>
    <definedName name="TEST245">#REF!</definedName>
    <definedName name="TEST246" localSheetId="6">#REF!</definedName>
    <definedName name="TEST246">#REF!</definedName>
    <definedName name="TEST247" localSheetId="6">#REF!</definedName>
    <definedName name="TEST247">#REF!</definedName>
    <definedName name="TEST248" localSheetId="6">#REF!</definedName>
    <definedName name="TEST248">#REF!</definedName>
    <definedName name="TEST249" localSheetId="6">#REF!</definedName>
    <definedName name="TEST249">#REF!</definedName>
    <definedName name="TEST25" localSheetId="6">#REF!</definedName>
    <definedName name="TEST25">#REF!</definedName>
    <definedName name="TEST250" localSheetId="6">#REF!</definedName>
    <definedName name="TEST250">#REF!</definedName>
    <definedName name="TEST251" localSheetId="6">#REF!</definedName>
    <definedName name="TEST251">#REF!</definedName>
    <definedName name="TEST252" localSheetId="6">#REF!</definedName>
    <definedName name="TEST252">#REF!</definedName>
    <definedName name="TEST253" localSheetId="6">#REF!</definedName>
    <definedName name="TEST253">#REF!</definedName>
    <definedName name="TEST254" localSheetId="6">#REF!</definedName>
    <definedName name="TEST254">#REF!</definedName>
    <definedName name="TEST255" localSheetId="6">#REF!</definedName>
    <definedName name="TEST255">#REF!</definedName>
    <definedName name="TEST256" localSheetId="6">#REF!</definedName>
    <definedName name="TEST256">#REF!</definedName>
    <definedName name="TEST257" localSheetId="6">#REF!</definedName>
    <definedName name="TEST257">#REF!</definedName>
    <definedName name="TEST258" localSheetId="6">#REF!</definedName>
    <definedName name="TEST258">#REF!</definedName>
    <definedName name="TEST259" localSheetId="6">#REF!</definedName>
    <definedName name="TEST259">#REF!</definedName>
    <definedName name="TEST26" localSheetId="6">#REF!</definedName>
    <definedName name="TEST26">#REF!</definedName>
    <definedName name="TEST260" localSheetId="6">#REF!</definedName>
    <definedName name="TEST260">#REF!</definedName>
    <definedName name="TEST261" localSheetId="6">#REF!</definedName>
    <definedName name="TEST261">#REF!</definedName>
    <definedName name="TEST262" localSheetId="6">#REF!</definedName>
    <definedName name="TEST262">#REF!</definedName>
    <definedName name="TEST263" localSheetId="6">#REF!</definedName>
    <definedName name="TEST263">#REF!</definedName>
    <definedName name="TEST264" localSheetId="6">#REF!</definedName>
    <definedName name="TEST264">#REF!</definedName>
    <definedName name="TEST265" localSheetId="6">#REF!</definedName>
    <definedName name="TEST265">#REF!</definedName>
    <definedName name="TEST266" localSheetId="6">#REF!</definedName>
    <definedName name="TEST266">#REF!</definedName>
    <definedName name="TEST267" localSheetId="6">#REF!</definedName>
    <definedName name="TEST267">#REF!</definedName>
    <definedName name="TEST268" localSheetId="6">#REF!</definedName>
    <definedName name="TEST268">#REF!</definedName>
    <definedName name="TEST269" localSheetId="6">#REF!</definedName>
    <definedName name="TEST269">#REF!</definedName>
    <definedName name="TEST27" localSheetId="6">#REF!</definedName>
    <definedName name="TEST27">#REF!</definedName>
    <definedName name="TEST270" localSheetId="6">#REF!</definedName>
    <definedName name="TEST270">#REF!</definedName>
    <definedName name="TEST271" localSheetId="6">#REF!</definedName>
    <definedName name="TEST271">#REF!</definedName>
    <definedName name="TEST272" localSheetId="6">#REF!</definedName>
    <definedName name="TEST272">#REF!</definedName>
    <definedName name="TEST273" localSheetId="6">#REF!</definedName>
    <definedName name="TEST273">#REF!</definedName>
    <definedName name="TEST274" localSheetId="6">#REF!</definedName>
    <definedName name="TEST274">#REF!</definedName>
    <definedName name="TEST275" localSheetId="6">#REF!</definedName>
    <definedName name="TEST275">#REF!</definedName>
    <definedName name="TEST276" localSheetId="6">#REF!</definedName>
    <definedName name="TEST276">#REF!</definedName>
    <definedName name="TEST277" localSheetId="6">#REF!</definedName>
    <definedName name="TEST277">#REF!</definedName>
    <definedName name="TEST278" localSheetId="6">#REF!</definedName>
    <definedName name="TEST278">#REF!</definedName>
    <definedName name="TEST279" localSheetId="6">#REF!</definedName>
    <definedName name="TEST279">#REF!</definedName>
    <definedName name="TEST28" localSheetId="6">#REF!</definedName>
    <definedName name="TEST28">#REF!</definedName>
    <definedName name="TEST280" localSheetId="6">#REF!</definedName>
    <definedName name="TEST280">#REF!</definedName>
    <definedName name="TEST281" localSheetId="6">#REF!</definedName>
    <definedName name="TEST281">#REF!</definedName>
    <definedName name="TEST282" localSheetId="6">#REF!</definedName>
    <definedName name="TEST282">#REF!</definedName>
    <definedName name="TEST283" localSheetId="6">#REF!</definedName>
    <definedName name="TEST283">#REF!</definedName>
    <definedName name="TEST284" localSheetId="6">#REF!</definedName>
    <definedName name="TEST284">#REF!</definedName>
    <definedName name="TEST285" localSheetId="6">#REF!</definedName>
    <definedName name="TEST285">#REF!</definedName>
    <definedName name="TEST286" localSheetId="6">#REF!</definedName>
    <definedName name="TEST286">#REF!</definedName>
    <definedName name="TEST287" localSheetId="6">#REF!</definedName>
    <definedName name="TEST287">#REF!</definedName>
    <definedName name="TEST288" localSheetId="6">#REF!</definedName>
    <definedName name="TEST288">#REF!</definedName>
    <definedName name="TEST289" localSheetId="6">#REF!</definedName>
    <definedName name="TEST289">#REF!</definedName>
    <definedName name="TEST29" localSheetId="6">#REF!</definedName>
    <definedName name="TEST29">#REF!</definedName>
    <definedName name="TEST290" localSheetId="6">#REF!</definedName>
    <definedName name="TEST290">#REF!</definedName>
    <definedName name="TEST291" localSheetId="6">#REF!</definedName>
    <definedName name="TEST291">#REF!</definedName>
    <definedName name="TEST292" localSheetId="6">#REF!</definedName>
    <definedName name="TEST292">#REF!</definedName>
    <definedName name="TEST293" localSheetId="6">#REF!</definedName>
    <definedName name="TEST293">#REF!</definedName>
    <definedName name="TEST294" localSheetId="6">#REF!</definedName>
    <definedName name="TEST294">#REF!</definedName>
    <definedName name="TEST295" localSheetId="6">#REF!</definedName>
    <definedName name="TEST295">#REF!</definedName>
    <definedName name="TEST296" localSheetId="6">#REF!</definedName>
    <definedName name="TEST296">#REF!</definedName>
    <definedName name="TEST297" localSheetId="6">#REF!</definedName>
    <definedName name="TEST297">#REF!</definedName>
    <definedName name="TEST298" localSheetId="6">#REF!</definedName>
    <definedName name="TEST298">#REF!</definedName>
    <definedName name="TEST299" localSheetId="6">#REF!</definedName>
    <definedName name="TEST299">#REF!</definedName>
    <definedName name="TEST3" localSheetId="6">#REF!</definedName>
    <definedName name="TEST3">#REF!</definedName>
    <definedName name="TEST30" localSheetId="6">#REF!</definedName>
    <definedName name="TEST30">#REF!</definedName>
    <definedName name="TEST300" localSheetId="6">#REF!</definedName>
    <definedName name="TEST300">#REF!</definedName>
    <definedName name="TEST301" localSheetId="6">#REF!</definedName>
    <definedName name="TEST301">#REF!</definedName>
    <definedName name="TEST302" localSheetId="6">#REF!</definedName>
    <definedName name="TEST302">#REF!</definedName>
    <definedName name="TEST303" localSheetId="6">#REF!</definedName>
    <definedName name="TEST303">#REF!</definedName>
    <definedName name="TEST304" localSheetId="6">#REF!</definedName>
    <definedName name="TEST304">#REF!</definedName>
    <definedName name="TEST305" localSheetId="6">#REF!</definedName>
    <definedName name="TEST305">#REF!</definedName>
    <definedName name="TEST306" localSheetId="6">#REF!</definedName>
    <definedName name="TEST306">#REF!</definedName>
    <definedName name="TEST307" localSheetId="6">#REF!</definedName>
    <definedName name="TEST307">#REF!</definedName>
    <definedName name="TEST308" localSheetId="6">#REF!</definedName>
    <definedName name="TEST308">#REF!</definedName>
    <definedName name="TEST309" localSheetId="6">#REF!</definedName>
    <definedName name="TEST309">#REF!</definedName>
    <definedName name="TEST31" localSheetId="6">#REF!</definedName>
    <definedName name="TEST31">#REF!</definedName>
    <definedName name="TEST310" localSheetId="6">#REF!</definedName>
    <definedName name="TEST310">#REF!</definedName>
    <definedName name="TEST311" localSheetId="6">#REF!</definedName>
    <definedName name="TEST311">#REF!</definedName>
    <definedName name="TEST312" localSheetId="6">#REF!</definedName>
    <definedName name="TEST312">#REF!</definedName>
    <definedName name="TEST313" localSheetId="6">#REF!</definedName>
    <definedName name="TEST313">#REF!</definedName>
    <definedName name="TEST314" localSheetId="6">#REF!</definedName>
    <definedName name="TEST314">#REF!</definedName>
    <definedName name="TEST315" localSheetId="6">#REF!</definedName>
    <definedName name="TEST315">#REF!</definedName>
    <definedName name="TEST316" localSheetId="6">#REF!</definedName>
    <definedName name="TEST316">#REF!</definedName>
    <definedName name="TEST317" localSheetId="6">#REF!</definedName>
    <definedName name="TEST317">#REF!</definedName>
    <definedName name="TEST318" localSheetId="6">#REF!</definedName>
    <definedName name="TEST318">#REF!</definedName>
    <definedName name="TEST319" localSheetId="6">#REF!</definedName>
    <definedName name="TEST319">#REF!</definedName>
    <definedName name="TEST32" localSheetId="6">#REF!</definedName>
    <definedName name="TEST32">#REF!</definedName>
    <definedName name="TEST320" localSheetId="6">#REF!</definedName>
    <definedName name="TEST320">#REF!</definedName>
    <definedName name="TEST321" localSheetId="6">#REF!</definedName>
    <definedName name="TEST321">#REF!</definedName>
    <definedName name="TEST322" localSheetId="6">#REF!</definedName>
    <definedName name="TEST322">#REF!</definedName>
    <definedName name="TEST323" localSheetId="6">#REF!</definedName>
    <definedName name="TEST323">#REF!</definedName>
    <definedName name="TEST324" localSheetId="6">#REF!</definedName>
    <definedName name="TEST324">#REF!</definedName>
    <definedName name="TEST325" localSheetId="6">#REF!</definedName>
    <definedName name="TEST325">#REF!</definedName>
    <definedName name="TEST326" localSheetId="6">#REF!</definedName>
    <definedName name="TEST326">#REF!</definedName>
    <definedName name="TEST327" localSheetId="6">#REF!</definedName>
    <definedName name="TEST327">#REF!</definedName>
    <definedName name="TEST328" localSheetId="6">#REF!</definedName>
    <definedName name="TEST328">#REF!</definedName>
    <definedName name="TEST329" localSheetId="6">#REF!</definedName>
    <definedName name="TEST329">#REF!</definedName>
    <definedName name="TEST33" localSheetId="6">#REF!</definedName>
    <definedName name="TEST33">#REF!</definedName>
    <definedName name="TEST330" localSheetId="6">#REF!</definedName>
    <definedName name="TEST330">#REF!</definedName>
    <definedName name="TEST331" localSheetId="6">#REF!</definedName>
    <definedName name="TEST331">#REF!</definedName>
    <definedName name="TEST332" localSheetId="6">#REF!</definedName>
    <definedName name="TEST332">#REF!</definedName>
    <definedName name="TEST333" localSheetId="6">#REF!</definedName>
    <definedName name="TEST333">#REF!</definedName>
    <definedName name="TEST334" localSheetId="6">#REF!</definedName>
    <definedName name="TEST334">#REF!</definedName>
    <definedName name="TEST335" localSheetId="6">#REF!</definedName>
    <definedName name="TEST335">#REF!</definedName>
    <definedName name="TEST336" localSheetId="6">#REF!</definedName>
    <definedName name="TEST336">#REF!</definedName>
    <definedName name="TEST337" localSheetId="6">#REF!</definedName>
    <definedName name="TEST337">#REF!</definedName>
    <definedName name="TEST338" localSheetId="6">#REF!</definedName>
    <definedName name="TEST338">#REF!</definedName>
    <definedName name="TEST339" localSheetId="6">#REF!</definedName>
    <definedName name="TEST339">#REF!</definedName>
    <definedName name="TEST34" localSheetId="6">#REF!</definedName>
    <definedName name="TEST34">#REF!</definedName>
    <definedName name="TEST340" localSheetId="6">#REF!</definedName>
    <definedName name="TEST340">#REF!</definedName>
    <definedName name="TEST341" localSheetId="6">#REF!</definedName>
    <definedName name="TEST341">#REF!</definedName>
    <definedName name="TEST342" localSheetId="6">#REF!</definedName>
    <definedName name="TEST342">#REF!</definedName>
    <definedName name="TEST343" localSheetId="6">#REF!</definedName>
    <definedName name="TEST343">#REF!</definedName>
    <definedName name="TEST344" localSheetId="6">#REF!</definedName>
    <definedName name="TEST344">#REF!</definedName>
    <definedName name="TEST345" localSheetId="6">#REF!</definedName>
    <definedName name="TEST345">#REF!</definedName>
    <definedName name="TEST346" localSheetId="6">#REF!</definedName>
    <definedName name="TEST346">#REF!</definedName>
    <definedName name="TEST347" localSheetId="6">#REF!</definedName>
    <definedName name="TEST347">#REF!</definedName>
    <definedName name="TEST348" localSheetId="6">#REF!</definedName>
    <definedName name="TEST348">#REF!</definedName>
    <definedName name="TEST349" localSheetId="6">#REF!</definedName>
    <definedName name="TEST349">#REF!</definedName>
    <definedName name="TEST35" localSheetId="6">#REF!</definedName>
    <definedName name="TEST35">#REF!</definedName>
    <definedName name="TEST350" localSheetId="6">#REF!</definedName>
    <definedName name="TEST350">#REF!</definedName>
    <definedName name="TEST351" localSheetId="6">#REF!</definedName>
    <definedName name="TEST351">#REF!</definedName>
    <definedName name="TEST352" localSheetId="6">#REF!</definedName>
    <definedName name="TEST352">#REF!</definedName>
    <definedName name="TEST353" localSheetId="6">#REF!</definedName>
    <definedName name="TEST353">#REF!</definedName>
    <definedName name="TEST354" localSheetId="6">#REF!</definedName>
    <definedName name="TEST354">#REF!</definedName>
    <definedName name="TEST355" localSheetId="6">#REF!</definedName>
    <definedName name="TEST355">#REF!</definedName>
    <definedName name="TEST356" localSheetId="6">#REF!</definedName>
    <definedName name="TEST356">#REF!</definedName>
    <definedName name="TEST357" localSheetId="6">#REF!</definedName>
    <definedName name="TEST357">#REF!</definedName>
    <definedName name="TEST358" localSheetId="6">#REF!</definedName>
    <definedName name="TEST358">#REF!</definedName>
    <definedName name="TEST359" localSheetId="6">#REF!</definedName>
    <definedName name="TEST359">#REF!</definedName>
    <definedName name="TEST36" localSheetId="6">#REF!</definedName>
    <definedName name="TEST36">#REF!</definedName>
    <definedName name="TEST360" localSheetId="6">#REF!</definedName>
    <definedName name="TEST360">#REF!</definedName>
    <definedName name="TEST361" localSheetId="6">#REF!</definedName>
    <definedName name="TEST361">#REF!</definedName>
    <definedName name="TEST362" localSheetId="6">#REF!</definedName>
    <definedName name="TEST362">#REF!</definedName>
    <definedName name="TEST363" localSheetId="6">#REF!</definedName>
    <definedName name="TEST363">#REF!</definedName>
    <definedName name="TEST364" localSheetId="6">#REF!</definedName>
    <definedName name="TEST364">#REF!</definedName>
    <definedName name="TEST365" localSheetId="6">#REF!</definedName>
    <definedName name="TEST365">#REF!</definedName>
    <definedName name="TEST366" localSheetId="6">#REF!</definedName>
    <definedName name="TEST366">#REF!</definedName>
    <definedName name="TEST367" localSheetId="6">#REF!</definedName>
    <definedName name="TEST367">#REF!</definedName>
    <definedName name="TEST368" localSheetId="6">#REF!</definedName>
    <definedName name="TEST368">#REF!</definedName>
    <definedName name="TEST369" localSheetId="6">#REF!</definedName>
    <definedName name="TEST369">#REF!</definedName>
    <definedName name="TEST37" localSheetId="6">#REF!</definedName>
    <definedName name="TEST37">#REF!</definedName>
    <definedName name="TEST370" localSheetId="6">#REF!</definedName>
    <definedName name="TEST370">#REF!</definedName>
    <definedName name="TEST371" localSheetId="6">#REF!</definedName>
    <definedName name="TEST371">#REF!</definedName>
    <definedName name="TEST372" localSheetId="6">#REF!</definedName>
    <definedName name="TEST372">#REF!</definedName>
    <definedName name="TEST373" localSheetId="6">#REF!</definedName>
    <definedName name="TEST373">#REF!</definedName>
    <definedName name="TEST374" localSheetId="6">#REF!</definedName>
    <definedName name="TEST374">#REF!</definedName>
    <definedName name="TEST375" localSheetId="6">#REF!</definedName>
    <definedName name="TEST375">#REF!</definedName>
    <definedName name="TEST376" localSheetId="6">#REF!</definedName>
    <definedName name="TEST376">#REF!</definedName>
    <definedName name="TEST377" localSheetId="6">#REF!</definedName>
    <definedName name="TEST377">#REF!</definedName>
    <definedName name="TEST378" localSheetId="6">#REF!</definedName>
    <definedName name="TEST378">#REF!</definedName>
    <definedName name="TEST379" localSheetId="6">#REF!</definedName>
    <definedName name="TEST379">#REF!</definedName>
    <definedName name="TEST38" localSheetId="6">#REF!</definedName>
    <definedName name="TEST38">#REF!</definedName>
    <definedName name="TEST380" localSheetId="6">#REF!</definedName>
    <definedName name="TEST380">#REF!</definedName>
    <definedName name="TEST381" localSheetId="6">#REF!</definedName>
    <definedName name="TEST381">#REF!</definedName>
    <definedName name="TEST382" localSheetId="6">#REF!</definedName>
    <definedName name="TEST382">#REF!</definedName>
    <definedName name="TEST383" localSheetId="6">#REF!</definedName>
    <definedName name="TEST383">#REF!</definedName>
    <definedName name="TEST384" localSheetId="6">#REF!</definedName>
    <definedName name="TEST384">#REF!</definedName>
    <definedName name="TEST385" localSheetId="6">#REF!</definedName>
    <definedName name="TEST385">#REF!</definedName>
    <definedName name="TEST386" localSheetId="6">#REF!</definedName>
    <definedName name="TEST386">#REF!</definedName>
    <definedName name="TEST387" localSheetId="6">#REF!</definedName>
    <definedName name="TEST387">#REF!</definedName>
    <definedName name="TEST388" localSheetId="6">#REF!</definedName>
    <definedName name="TEST388">#REF!</definedName>
    <definedName name="TEST389" localSheetId="6">#REF!</definedName>
    <definedName name="TEST389">#REF!</definedName>
    <definedName name="TEST39" localSheetId="6">#REF!</definedName>
    <definedName name="TEST39">#REF!</definedName>
    <definedName name="TEST390" localSheetId="6">#REF!</definedName>
    <definedName name="TEST390">#REF!</definedName>
    <definedName name="TEST391" localSheetId="6">#REF!</definedName>
    <definedName name="TEST391">#REF!</definedName>
    <definedName name="TEST392" localSheetId="6">#REF!</definedName>
    <definedName name="TEST392">#REF!</definedName>
    <definedName name="TEST393" localSheetId="6">#REF!</definedName>
    <definedName name="TEST393">#REF!</definedName>
    <definedName name="TEST394" localSheetId="6">#REF!</definedName>
    <definedName name="TEST394">#REF!</definedName>
    <definedName name="TEST395" localSheetId="6">#REF!</definedName>
    <definedName name="TEST395">#REF!</definedName>
    <definedName name="TEST396" localSheetId="6">#REF!</definedName>
    <definedName name="TEST396">#REF!</definedName>
    <definedName name="TEST397" localSheetId="6">#REF!</definedName>
    <definedName name="TEST397">#REF!</definedName>
    <definedName name="TEST398" localSheetId="6">#REF!</definedName>
    <definedName name="TEST398">#REF!</definedName>
    <definedName name="TEST399" localSheetId="6">#REF!</definedName>
    <definedName name="TEST399">#REF!</definedName>
    <definedName name="TEST4" localSheetId="6">#REF!</definedName>
    <definedName name="TEST4">#REF!</definedName>
    <definedName name="TEST40" localSheetId="6">#REF!</definedName>
    <definedName name="TEST40">#REF!</definedName>
    <definedName name="TEST400" localSheetId="6">#REF!</definedName>
    <definedName name="TEST400">#REF!</definedName>
    <definedName name="TEST401" localSheetId="6">#REF!</definedName>
    <definedName name="TEST401">#REF!</definedName>
    <definedName name="TEST402" localSheetId="6">#REF!</definedName>
    <definedName name="TEST402">#REF!</definedName>
    <definedName name="TEST403" localSheetId="6">#REF!</definedName>
    <definedName name="TEST403">#REF!</definedName>
    <definedName name="TEST404" localSheetId="6">#REF!</definedName>
    <definedName name="TEST404">#REF!</definedName>
    <definedName name="TEST405" localSheetId="6">#REF!</definedName>
    <definedName name="TEST405">#REF!</definedName>
    <definedName name="TEST406" localSheetId="6">#REF!</definedName>
    <definedName name="TEST406">#REF!</definedName>
    <definedName name="TEST407" localSheetId="6">#REF!</definedName>
    <definedName name="TEST407">#REF!</definedName>
    <definedName name="TEST408" localSheetId="6">#REF!</definedName>
    <definedName name="TEST408">#REF!</definedName>
    <definedName name="TEST409" localSheetId="6">#REF!</definedName>
    <definedName name="TEST409">#REF!</definedName>
    <definedName name="TEST41" localSheetId="6">#REF!</definedName>
    <definedName name="TEST41">#REF!</definedName>
    <definedName name="TEST410" localSheetId="6">#REF!</definedName>
    <definedName name="TEST410">#REF!</definedName>
    <definedName name="TEST411" localSheetId="6">#REF!</definedName>
    <definedName name="TEST411">#REF!</definedName>
    <definedName name="TEST412" localSheetId="6">#REF!</definedName>
    <definedName name="TEST412">#REF!</definedName>
    <definedName name="TEST413" localSheetId="6">#REF!</definedName>
    <definedName name="TEST413">#REF!</definedName>
    <definedName name="TEST414" localSheetId="6">#REF!</definedName>
    <definedName name="TEST414">#REF!</definedName>
    <definedName name="TEST415" localSheetId="6">#REF!</definedName>
    <definedName name="TEST415">#REF!</definedName>
    <definedName name="TEST416" localSheetId="6">#REF!</definedName>
    <definedName name="TEST416">#REF!</definedName>
    <definedName name="TEST417" localSheetId="6">#REF!</definedName>
    <definedName name="TEST417">#REF!</definedName>
    <definedName name="TEST418" localSheetId="6">#REF!</definedName>
    <definedName name="TEST418">#REF!</definedName>
    <definedName name="TEST419" localSheetId="6">#REF!</definedName>
    <definedName name="TEST419">#REF!</definedName>
    <definedName name="TEST42" localSheetId="6">#REF!</definedName>
    <definedName name="TEST42">#REF!</definedName>
    <definedName name="TEST420" localSheetId="6">#REF!</definedName>
    <definedName name="TEST420">#REF!</definedName>
    <definedName name="TEST421" localSheetId="6">#REF!</definedName>
    <definedName name="TEST421">#REF!</definedName>
    <definedName name="TEST422" localSheetId="6">#REF!</definedName>
    <definedName name="TEST422">#REF!</definedName>
    <definedName name="TEST423" localSheetId="6">#REF!</definedName>
    <definedName name="TEST423">#REF!</definedName>
    <definedName name="TEST424" localSheetId="6">#REF!</definedName>
    <definedName name="TEST424">#REF!</definedName>
    <definedName name="TEST425" localSheetId="6">#REF!</definedName>
    <definedName name="TEST425">#REF!</definedName>
    <definedName name="TEST426" localSheetId="6">#REF!</definedName>
    <definedName name="TEST426">#REF!</definedName>
    <definedName name="TEST427" localSheetId="6">#REF!</definedName>
    <definedName name="TEST427">#REF!</definedName>
    <definedName name="TEST428" localSheetId="6">#REF!</definedName>
    <definedName name="TEST428">#REF!</definedName>
    <definedName name="TEST429" localSheetId="6">#REF!</definedName>
    <definedName name="TEST429">#REF!</definedName>
    <definedName name="TEST43" localSheetId="6">#REF!</definedName>
    <definedName name="TEST43">#REF!</definedName>
    <definedName name="TEST430" localSheetId="6">#REF!</definedName>
    <definedName name="TEST430">#REF!</definedName>
    <definedName name="TEST431" localSheetId="6">#REF!</definedName>
    <definedName name="TEST431">#REF!</definedName>
    <definedName name="TEST432" localSheetId="6">#REF!</definedName>
    <definedName name="TEST432">#REF!</definedName>
    <definedName name="TEST433" localSheetId="6">#REF!</definedName>
    <definedName name="TEST433">#REF!</definedName>
    <definedName name="TEST434" localSheetId="6">#REF!</definedName>
    <definedName name="TEST434">#REF!</definedName>
    <definedName name="TEST435" localSheetId="6">#REF!</definedName>
    <definedName name="TEST435">#REF!</definedName>
    <definedName name="TEST436" localSheetId="6">#REF!</definedName>
    <definedName name="TEST436">#REF!</definedName>
    <definedName name="TEST437" localSheetId="6">#REF!</definedName>
    <definedName name="TEST437">#REF!</definedName>
    <definedName name="TEST438" localSheetId="6">#REF!</definedName>
    <definedName name="TEST438">#REF!</definedName>
    <definedName name="TEST439" localSheetId="6">#REF!</definedName>
    <definedName name="TEST439">#REF!</definedName>
    <definedName name="TEST44" localSheetId="6">#REF!</definedName>
    <definedName name="TEST44">#REF!</definedName>
    <definedName name="TEST440" localSheetId="6">#REF!</definedName>
    <definedName name="TEST440">#REF!</definedName>
    <definedName name="TEST441" localSheetId="6">#REF!</definedName>
    <definedName name="TEST441">#REF!</definedName>
    <definedName name="TEST442" localSheetId="6">#REF!</definedName>
    <definedName name="TEST442">#REF!</definedName>
    <definedName name="TEST443" localSheetId="6">#REF!</definedName>
    <definedName name="TEST443">#REF!</definedName>
    <definedName name="TEST444" localSheetId="6">#REF!</definedName>
    <definedName name="TEST444">#REF!</definedName>
    <definedName name="TEST445" localSheetId="6">#REF!</definedName>
    <definedName name="TEST445">#REF!</definedName>
    <definedName name="TEST446" localSheetId="6">#REF!</definedName>
    <definedName name="TEST446">#REF!</definedName>
    <definedName name="TEST447" localSheetId="6">#REF!</definedName>
    <definedName name="TEST447">#REF!</definedName>
    <definedName name="TEST448" localSheetId="6">#REF!</definedName>
    <definedName name="TEST448">#REF!</definedName>
    <definedName name="TEST449" localSheetId="6">#REF!</definedName>
    <definedName name="TEST449">#REF!</definedName>
    <definedName name="TEST45" localSheetId="6">#REF!</definedName>
    <definedName name="TEST45">#REF!</definedName>
    <definedName name="TEST450" localSheetId="6">#REF!</definedName>
    <definedName name="TEST450">#REF!</definedName>
    <definedName name="TEST451" localSheetId="6">#REF!</definedName>
    <definedName name="TEST451">#REF!</definedName>
    <definedName name="TEST452" localSheetId="6">#REF!</definedName>
    <definedName name="TEST452">#REF!</definedName>
    <definedName name="TEST453" localSheetId="6">#REF!</definedName>
    <definedName name="TEST453">#REF!</definedName>
    <definedName name="TEST454" localSheetId="6">#REF!</definedName>
    <definedName name="TEST454">#REF!</definedName>
    <definedName name="TEST455" localSheetId="6">#REF!</definedName>
    <definedName name="TEST455">#REF!</definedName>
    <definedName name="TEST456" localSheetId="6">#REF!</definedName>
    <definedName name="TEST456">#REF!</definedName>
    <definedName name="TEST457" localSheetId="6">#REF!</definedName>
    <definedName name="TEST457">#REF!</definedName>
    <definedName name="TEST458" localSheetId="6">#REF!</definedName>
    <definedName name="TEST458">#REF!</definedName>
    <definedName name="TEST459" localSheetId="6">#REF!</definedName>
    <definedName name="TEST459">#REF!</definedName>
    <definedName name="TEST46" localSheetId="6">#REF!</definedName>
    <definedName name="TEST46">#REF!</definedName>
    <definedName name="TEST460" localSheetId="6">#REF!</definedName>
    <definedName name="TEST460">#REF!</definedName>
    <definedName name="TEST461" localSheetId="6">#REF!</definedName>
    <definedName name="TEST461">#REF!</definedName>
    <definedName name="TEST462" localSheetId="6">#REF!</definedName>
    <definedName name="TEST462">#REF!</definedName>
    <definedName name="TEST463" localSheetId="6">#REF!</definedName>
    <definedName name="TEST463">#REF!</definedName>
    <definedName name="TEST464" localSheetId="6">#REF!</definedName>
    <definedName name="TEST464">#REF!</definedName>
    <definedName name="TEST465" localSheetId="6">#REF!</definedName>
    <definedName name="TEST465">#REF!</definedName>
    <definedName name="TEST466" localSheetId="6">#REF!</definedName>
    <definedName name="TEST466">#REF!</definedName>
    <definedName name="TEST467" localSheetId="6">#REF!</definedName>
    <definedName name="TEST467">#REF!</definedName>
    <definedName name="TEST468" localSheetId="6">#REF!</definedName>
    <definedName name="TEST468">#REF!</definedName>
    <definedName name="TEST469" localSheetId="6">#REF!</definedName>
    <definedName name="TEST469">#REF!</definedName>
    <definedName name="TEST47" localSheetId="6">#REF!</definedName>
    <definedName name="TEST47">#REF!</definedName>
    <definedName name="TEST470" localSheetId="6">#REF!</definedName>
    <definedName name="TEST470">#REF!</definedName>
    <definedName name="TEST471" localSheetId="6">#REF!</definedName>
    <definedName name="TEST471">#REF!</definedName>
    <definedName name="TEST472" localSheetId="6">#REF!</definedName>
    <definedName name="TEST472">#REF!</definedName>
    <definedName name="TEST473" localSheetId="6">#REF!</definedName>
    <definedName name="TEST473">#REF!</definedName>
    <definedName name="TEST474" localSheetId="6">#REF!</definedName>
    <definedName name="TEST474">#REF!</definedName>
    <definedName name="TEST475" localSheetId="6">#REF!</definedName>
    <definedName name="TEST475">#REF!</definedName>
    <definedName name="TEST476" localSheetId="6">#REF!</definedName>
    <definedName name="TEST476">#REF!</definedName>
    <definedName name="TEST477" localSheetId="6">#REF!</definedName>
    <definedName name="TEST477">#REF!</definedName>
    <definedName name="TEST478" localSheetId="6">#REF!</definedName>
    <definedName name="TEST478">#REF!</definedName>
    <definedName name="TEST479" localSheetId="6">#REF!</definedName>
    <definedName name="TEST479">#REF!</definedName>
    <definedName name="TEST48" localSheetId="6">#REF!</definedName>
    <definedName name="TEST48">#REF!</definedName>
    <definedName name="TEST480" localSheetId="6">#REF!</definedName>
    <definedName name="TEST480">#REF!</definedName>
    <definedName name="TEST481" localSheetId="6">#REF!</definedName>
    <definedName name="TEST481">#REF!</definedName>
    <definedName name="TEST482" localSheetId="6">#REF!</definedName>
    <definedName name="TEST482">#REF!</definedName>
    <definedName name="TEST483" localSheetId="6">#REF!</definedName>
    <definedName name="TEST483">#REF!</definedName>
    <definedName name="TEST484" localSheetId="6">#REF!</definedName>
    <definedName name="TEST484">#REF!</definedName>
    <definedName name="TEST485" localSheetId="6">#REF!</definedName>
    <definedName name="TEST485">#REF!</definedName>
    <definedName name="TEST486" localSheetId="6">#REF!</definedName>
    <definedName name="TEST486">#REF!</definedName>
    <definedName name="TEST487" localSheetId="6">#REF!</definedName>
    <definedName name="TEST487">#REF!</definedName>
    <definedName name="TEST488" localSheetId="6">#REF!</definedName>
    <definedName name="TEST488">#REF!</definedName>
    <definedName name="TEST489" localSheetId="6">#REF!</definedName>
    <definedName name="TEST489">#REF!</definedName>
    <definedName name="TEST49" localSheetId="6">#REF!</definedName>
    <definedName name="TEST49">#REF!</definedName>
    <definedName name="TEST490" localSheetId="6">#REF!</definedName>
    <definedName name="TEST490">#REF!</definedName>
    <definedName name="TEST491" localSheetId="6">#REF!</definedName>
    <definedName name="TEST491">#REF!</definedName>
    <definedName name="TEST492" localSheetId="6">#REF!</definedName>
    <definedName name="TEST492">#REF!</definedName>
    <definedName name="TEST493" localSheetId="6">#REF!</definedName>
    <definedName name="TEST493">#REF!</definedName>
    <definedName name="TEST494" localSheetId="6">#REF!</definedName>
    <definedName name="TEST494">#REF!</definedName>
    <definedName name="TEST495" localSheetId="6">#REF!</definedName>
    <definedName name="TEST495">#REF!</definedName>
    <definedName name="TEST496" localSheetId="6">#REF!</definedName>
    <definedName name="TEST496">#REF!</definedName>
    <definedName name="TEST497" localSheetId="6">#REF!</definedName>
    <definedName name="TEST497">#REF!</definedName>
    <definedName name="TEST498" localSheetId="6">#REF!</definedName>
    <definedName name="TEST498">#REF!</definedName>
    <definedName name="TEST499" localSheetId="6">#REF!</definedName>
    <definedName name="TEST499">#REF!</definedName>
    <definedName name="TEST5" localSheetId="6">#REF!</definedName>
    <definedName name="TEST5">#REF!</definedName>
    <definedName name="TEST50" localSheetId="6">#REF!</definedName>
    <definedName name="TEST50">#REF!</definedName>
    <definedName name="TEST500" localSheetId="6">#REF!</definedName>
    <definedName name="TEST500">#REF!</definedName>
    <definedName name="TEST501" localSheetId="6">#REF!</definedName>
    <definedName name="TEST501">#REF!</definedName>
    <definedName name="TEST502" localSheetId="6">#REF!</definedName>
    <definedName name="TEST502">#REF!</definedName>
    <definedName name="TEST503" localSheetId="6">#REF!</definedName>
    <definedName name="TEST503">#REF!</definedName>
    <definedName name="TEST504" localSheetId="6">#REF!</definedName>
    <definedName name="TEST504">#REF!</definedName>
    <definedName name="TEST505" localSheetId="6">#REF!</definedName>
    <definedName name="TEST505">#REF!</definedName>
    <definedName name="TEST506" localSheetId="6">#REF!</definedName>
    <definedName name="TEST506">#REF!</definedName>
    <definedName name="TEST507" localSheetId="6">#REF!</definedName>
    <definedName name="TEST507">#REF!</definedName>
    <definedName name="TEST508" localSheetId="6">#REF!</definedName>
    <definedName name="TEST508">#REF!</definedName>
    <definedName name="TEST509" localSheetId="6">#REF!</definedName>
    <definedName name="TEST509">#REF!</definedName>
    <definedName name="TEST51" localSheetId="6">#REF!</definedName>
    <definedName name="TEST51">#REF!</definedName>
    <definedName name="TEST510" localSheetId="6">#REF!</definedName>
    <definedName name="TEST510">#REF!</definedName>
    <definedName name="TEST511" localSheetId="6">#REF!</definedName>
    <definedName name="TEST511">#REF!</definedName>
    <definedName name="TEST512" localSheetId="6">#REF!</definedName>
    <definedName name="TEST512">#REF!</definedName>
    <definedName name="TEST513" localSheetId="6">#REF!</definedName>
    <definedName name="TEST513">#REF!</definedName>
    <definedName name="TEST514" localSheetId="6">#REF!</definedName>
    <definedName name="TEST514">#REF!</definedName>
    <definedName name="TEST515" localSheetId="6">#REF!</definedName>
    <definedName name="TEST515">#REF!</definedName>
    <definedName name="TEST516" localSheetId="6">#REF!</definedName>
    <definedName name="TEST516">#REF!</definedName>
    <definedName name="TEST517" localSheetId="6">#REF!</definedName>
    <definedName name="TEST517">#REF!</definedName>
    <definedName name="TEST518" localSheetId="6">#REF!</definedName>
    <definedName name="TEST518">#REF!</definedName>
    <definedName name="TEST519" localSheetId="6">#REF!</definedName>
    <definedName name="TEST519">#REF!</definedName>
    <definedName name="TEST52" localSheetId="6">#REF!</definedName>
    <definedName name="TEST52">#REF!</definedName>
    <definedName name="TEST520" localSheetId="6">#REF!</definedName>
    <definedName name="TEST520">#REF!</definedName>
    <definedName name="TEST521" localSheetId="6">#REF!</definedName>
    <definedName name="TEST521">#REF!</definedName>
    <definedName name="TEST522" localSheetId="6">#REF!</definedName>
    <definedName name="TEST522">#REF!</definedName>
    <definedName name="TEST523" localSheetId="6">#REF!</definedName>
    <definedName name="TEST523">#REF!</definedName>
    <definedName name="TEST524" localSheetId="6">#REF!</definedName>
    <definedName name="TEST524">#REF!</definedName>
    <definedName name="TEST525" localSheetId="6">#REF!</definedName>
    <definedName name="TEST525">#REF!</definedName>
    <definedName name="TEST526" localSheetId="6">#REF!</definedName>
    <definedName name="TEST526">#REF!</definedName>
    <definedName name="TEST527" localSheetId="6">#REF!</definedName>
    <definedName name="TEST527">#REF!</definedName>
    <definedName name="TEST528" localSheetId="6">#REF!</definedName>
    <definedName name="TEST528">#REF!</definedName>
    <definedName name="TEST529" localSheetId="6">#REF!</definedName>
    <definedName name="TEST529">#REF!</definedName>
    <definedName name="TEST53" localSheetId="6">#REF!</definedName>
    <definedName name="TEST53">#REF!</definedName>
    <definedName name="TEST530" localSheetId="6">#REF!</definedName>
    <definedName name="TEST530">#REF!</definedName>
    <definedName name="TEST531" localSheetId="6">#REF!</definedName>
    <definedName name="TEST531">#REF!</definedName>
    <definedName name="TEST532" localSheetId="6">#REF!</definedName>
    <definedName name="TEST532">#REF!</definedName>
    <definedName name="TEST533" localSheetId="6">#REF!</definedName>
    <definedName name="TEST533">#REF!</definedName>
    <definedName name="TEST534" localSheetId="6">#REF!</definedName>
    <definedName name="TEST534">#REF!</definedName>
    <definedName name="TEST535" localSheetId="6">#REF!</definedName>
    <definedName name="TEST535">#REF!</definedName>
    <definedName name="TEST536" localSheetId="6">#REF!</definedName>
    <definedName name="TEST536">#REF!</definedName>
    <definedName name="TEST537" localSheetId="6">#REF!</definedName>
    <definedName name="TEST537">#REF!</definedName>
    <definedName name="TEST538" localSheetId="6">#REF!</definedName>
    <definedName name="TEST538">#REF!</definedName>
    <definedName name="TEST539" localSheetId="6">#REF!</definedName>
    <definedName name="TEST539">#REF!</definedName>
    <definedName name="TEST54" localSheetId="6">#REF!</definedName>
    <definedName name="TEST54">#REF!</definedName>
    <definedName name="TEST540" localSheetId="6">#REF!</definedName>
    <definedName name="TEST540">#REF!</definedName>
    <definedName name="TEST541" localSheetId="6">#REF!</definedName>
    <definedName name="TEST541">#REF!</definedName>
    <definedName name="TEST542" localSheetId="6">#REF!</definedName>
    <definedName name="TEST542">#REF!</definedName>
    <definedName name="TEST543" localSheetId="6">#REF!</definedName>
    <definedName name="TEST543">#REF!</definedName>
    <definedName name="TEST544" localSheetId="6">#REF!</definedName>
    <definedName name="TEST544">#REF!</definedName>
    <definedName name="TEST545" localSheetId="6">#REF!</definedName>
    <definedName name="TEST545">#REF!</definedName>
    <definedName name="TEST546" localSheetId="6">#REF!</definedName>
    <definedName name="TEST546">#REF!</definedName>
    <definedName name="TEST547" localSheetId="6">#REF!</definedName>
    <definedName name="TEST547">#REF!</definedName>
    <definedName name="TEST548" localSheetId="6">#REF!</definedName>
    <definedName name="TEST548">#REF!</definedName>
    <definedName name="TEST549" localSheetId="6">#REF!</definedName>
    <definedName name="TEST549">#REF!</definedName>
    <definedName name="TEST55" localSheetId="6">#REF!</definedName>
    <definedName name="TEST55">#REF!</definedName>
    <definedName name="TEST550" localSheetId="6">#REF!</definedName>
    <definedName name="TEST550">#REF!</definedName>
    <definedName name="TEST551" localSheetId="6">#REF!</definedName>
    <definedName name="TEST551">#REF!</definedName>
    <definedName name="TEST552" localSheetId="6">#REF!</definedName>
    <definedName name="TEST552">#REF!</definedName>
    <definedName name="TEST553" localSheetId="6">#REF!</definedName>
    <definedName name="TEST553">#REF!</definedName>
    <definedName name="TEST554" localSheetId="6">#REF!</definedName>
    <definedName name="TEST554">#REF!</definedName>
    <definedName name="TEST555" localSheetId="6">#REF!</definedName>
    <definedName name="TEST555">#REF!</definedName>
    <definedName name="TEST556" localSheetId="6">#REF!</definedName>
    <definedName name="TEST556">#REF!</definedName>
    <definedName name="TEST557" localSheetId="6">#REF!</definedName>
    <definedName name="TEST557">#REF!</definedName>
    <definedName name="TEST558" localSheetId="6">#REF!</definedName>
    <definedName name="TEST558">#REF!</definedName>
    <definedName name="TEST559" localSheetId="6">#REF!</definedName>
    <definedName name="TEST559">#REF!</definedName>
    <definedName name="TEST56" localSheetId="6">#REF!</definedName>
    <definedName name="TEST56">#REF!</definedName>
    <definedName name="TEST560" localSheetId="6">#REF!</definedName>
    <definedName name="TEST560">#REF!</definedName>
    <definedName name="TEST561" localSheetId="6">#REF!</definedName>
    <definedName name="TEST561">#REF!</definedName>
    <definedName name="TEST562" localSheetId="6">#REF!</definedName>
    <definedName name="TEST562">#REF!</definedName>
    <definedName name="TEST563" localSheetId="6">#REF!</definedName>
    <definedName name="TEST563">#REF!</definedName>
    <definedName name="TEST564" localSheetId="6">#REF!</definedName>
    <definedName name="TEST564">#REF!</definedName>
    <definedName name="TEST565" localSheetId="6">#REF!</definedName>
    <definedName name="TEST565">#REF!</definedName>
    <definedName name="TEST566" localSheetId="6">#REF!</definedName>
    <definedName name="TEST566">#REF!</definedName>
    <definedName name="TEST567" localSheetId="6">#REF!</definedName>
    <definedName name="TEST567">#REF!</definedName>
    <definedName name="TEST568" localSheetId="6">#REF!</definedName>
    <definedName name="TEST568">#REF!</definedName>
    <definedName name="TEST569" localSheetId="6">#REF!</definedName>
    <definedName name="TEST569">#REF!</definedName>
    <definedName name="TEST57" localSheetId="6">#REF!</definedName>
    <definedName name="TEST57">#REF!</definedName>
    <definedName name="TEST570" localSheetId="6">#REF!</definedName>
    <definedName name="TEST570">#REF!</definedName>
    <definedName name="TEST571" localSheetId="6">#REF!</definedName>
    <definedName name="TEST571">#REF!</definedName>
    <definedName name="TEST572" localSheetId="6">#REF!</definedName>
    <definedName name="TEST572">#REF!</definedName>
    <definedName name="TEST573" localSheetId="6">#REF!</definedName>
    <definedName name="TEST573">#REF!</definedName>
    <definedName name="TEST574" localSheetId="6">#REF!</definedName>
    <definedName name="TEST574">#REF!</definedName>
    <definedName name="TEST575" localSheetId="6">#REF!</definedName>
    <definedName name="TEST575">#REF!</definedName>
    <definedName name="TEST576" localSheetId="6">#REF!</definedName>
    <definedName name="TEST576">#REF!</definedName>
    <definedName name="TEST577" localSheetId="6">#REF!</definedName>
    <definedName name="TEST577">#REF!</definedName>
    <definedName name="TEST578" localSheetId="6">#REF!</definedName>
    <definedName name="TEST578">#REF!</definedName>
    <definedName name="TEST579" localSheetId="6">#REF!</definedName>
    <definedName name="TEST579">#REF!</definedName>
    <definedName name="TEST58" localSheetId="6">#REF!</definedName>
    <definedName name="TEST58">#REF!</definedName>
    <definedName name="TEST580" localSheetId="6">#REF!</definedName>
    <definedName name="TEST580">#REF!</definedName>
    <definedName name="TEST581" localSheetId="6">#REF!</definedName>
    <definedName name="TEST581">#REF!</definedName>
    <definedName name="TEST582" localSheetId="6">#REF!</definedName>
    <definedName name="TEST582">#REF!</definedName>
    <definedName name="TEST583" localSheetId="6">#REF!</definedName>
    <definedName name="TEST583">#REF!</definedName>
    <definedName name="TEST584" localSheetId="6">#REF!</definedName>
    <definedName name="TEST584">#REF!</definedName>
    <definedName name="TEST585" localSheetId="6">#REF!</definedName>
    <definedName name="TEST585">#REF!</definedName>
    <definedName name="TEST586" localSheetId="6">#REF!</definedName>
    <definedName name="TEST586">#REF!</definedName>
    <definedName name="TEST587" localSheetId="6">#REF!</definedName>
    <definedName name="TEST587">#REF!</definedName>
    <definedName name="TEST588" localSheetId="6">#REF!</definedName>
    <definedName name="TEST588">#REF!</definedName>
    <definedName name="TEST589" localSheetId="6">#REF!</definedName>
    <definedName name="TEST589">#REF!</definedName>
    <definedName name="TEST59" localSheetId="6">#REF!</definedName>
    <definedName name="TEST59">#REF!</definedName>
    <definedName name="TEST590" localSheetId="6">#REF!</definedName>
    <definedName name="TEST590">#REF!</definedName>
    <definedName name="TEST591" localSheetId="6">#REF!</definedName>
    <definedName name="TEST591">#REF!</definedName>
    <definedName name="TEST592" localSheetId="6">#REF!</definedName>
    <definedName name="TEST592">#REF!</definedName>
    <definedName name="TEST593" localSheetId="6">#REF!</definedName>
    <definedName name="TEST593">#REF!</definedName>
    <definedName name="TEST594" localSheetId="6">#REF!</definedName>
    <definedName name="TEST594">#REF!</definedName>
    <definedName name="TEST595" localSheetId="6">#REF!</definedName>
    <definedName name="TEST595">#REF!</definedName>
    <definedName name="TEST596" localSheetId="6">#REF!</definedName>
    <definedName name="TEST596">#REF!</definedName>
    <definedName name="TEST597" localSheetId="6">#REF!</definedName>
    <definedName name="TEST597">#REF!</definedName>
    <definedName name="TEST598" localSheetId="6">#REF!</definedName>
    <definedName name="TEST598">#REF!</definedName>
    <definedName name="TEST599" localSheetId="6">#REF!</definedName>
    <definedName name="TEST599">#REF!</definedName>
    <definedName name="TEST6" localSheetId="6">#REF!</definedName>
    <definedName name="TEST6">#REF!</definedName>
    <definedName name="TEST60" localSheetId="6">#REF!</definedName>
    <definedName name="TEST60">#REF!</definedName>
    <definedName name="TEST600" localSheetId="6">#REF!</definedName>
    <definedName name="TEST600">#REF!</definedName>
    <definedName name="TEST601" localSheetId="6">#REF!</definedName>
    <definedName name="TEST601">#REF!</definedName>
    <definedName name="TEST602" localSheetId="6">#REF!</definedName>
    <definedName name="TEST602">#REF!</definedName>
    <definedName name="TEST603" localSheetId="6">#REF!</definedName>
    <definedName name="TEST603">#REF!</definedName>
    <definedName name="TEST604" localSheetId="6">#REF!</definedName>
    <definedName name="TEST604">#REF!</definedName>
    <definedName name="TEST605" localSheetId="6">#REF!</definedName>
    <definedName name="TEST605">#REF!</definedName>
    <definedName name="TEST606" localSheetId="6">#REF!</definedName>
    <definedName name="TEST606">#REF!</definedName>
    <definedName name="TEST607" localSheetId="6">#REF!</definedName>
    <definedName name="TEST607">#REF!</definedName>
    <definedName name="TEST608" localSheetId="6">#REF!</definedName>
    <definedName name="TEST608">#REF!</definedName>
    <definedName name="TEST609" localSheetId="6">#REF!</definedName>
    <definedName name="TEST609">#REF!</definedName>
    <definedName name="TEST61" localSheetId="6">#REF!</definedName>
    <definedName name="TEST61">#REF!</definedName>
    <definedName name="TEST610" localSheetId="6">#REF!</definedName>
    <definedName name="TEST610">#REF!</definedName>
    <definedName name="TEST611" localSheetId="6">#REF!</definedName>
    <definedName name="TEST611">#REF!</definedName>
    <definedName name="TEST612" localSheetId="6">#REF!</definedName>
    <definedName name="TEST612">#REF!</definedName>
    <definedName name="TEST613" localSheetId="6">#REF!</definedName>
    <definedName name="TEST613">#REF!</definedName>
    <definedName name="TEST614" localSheetId="6">#REF!</definedName>
    <definedName name="TEST614">#REF!</definedName>
    <definedName name="TEST615" localSheetId="6">#REF!</definedName>
    <definedName name="TEST615">#REF!</definedName>
    <definedName name="TEST616" localSheetId="6">#REF!</definedName>
    <definedName name="TEST616">#REF!</definedName>
    <definedName name="TEST617" localSheetId="6">#REF!</definedName>
    <definedName name="TEST617">#REF!</definedName>
    <definedName name="TEST618" localSheetId="6">#REF!</definedName>
    <definedName name="TEST618">#REF!</definedName>
    <definedName name="TEST619" localSheetId="6">#REF!</definedName>
    <definedName name="TEST619">#REF!</definedName>
    <definedName name="TEST62" localSheetId="6">#REF!</definedName>
    <definedName name="TEST62">#REF!</definedName>
    <definedName name="TEST620" localSheetId="6">#REF!</definedName>
    <definedName name="TEST620">#REF!</definedName>
    <definedName name="TEST621" localSheetId="6">#REF!</definedName>
    <definedName name="TEST621">#REF!</definedName>
    <definedName name="TEST622" localSheetId="6">#REF!</definedName>
    <definedName name="TEST622">#REF!</definedName>
    <definedName name="TEST623" localSheetId="6">#REF!</definedName>
    <definedName name="TEST623">#REF!</definedName>
    <definedName name="TEST624" localSheetId="6">#REF!</definedName>
    <definedName name="TEST624">#REF!</definedName>
    <definedName name="TEST625" localSheetId="6">#REF!</definedName>
    <definedName name="TEST625">#REF!</definedName>
    <definedName name="TEST626" localSheetId="6">#REF!</definedName>
    <definedName name="TEST626">#REF!</definedName>
    <definedName name="TEST627" localSheetId="6">#REF!</definedName>
    <definedName name="TEST627">#REF!</definedName>
    <definedName name="TEST628" localSheetId="6">#REF!</definedName>
    <definedName name="TEST628">#REF!</definedName>
    <definedName name="TEST629" localSheetId="6">#REF!</definedName>
    <definedName name="TEST629">#REF!</definedName>
    <definedName name="TEST63" localSheetId="6">#REF!</definedName>
    <definedName name="TEST63">#REF!</definedName>
    <definedName name="TEST630" localSheetId="6">#REF!</definedName>
    <definedName name="TEST630">#REF!</definedName>
    <definedName name="TEST631" localSheetId="6">#REF!</definedName>
    <definedName name="TEST631">#REF!</definedName>
    <definedName name="TEST632" localSheetId="6">#REF!</definedName>
    <definedName name="TEST632">#REF!</definedName>
    <definedName name="TEST633" localSheetId="6">#REF!</definedName>
    <definedName name="TEST633">#REF!</definedName>
    <definedName name="TEST634" localSheetId="6">#REF!</definedName>
    <definedName name="TEST634">#REF!</definedName>
    <definedName name="TEST635" localSheetId="6">#REF!</definedName>
    <definedName name="TEST635">#REF!</definedName>
    <definedName name="TEST636" localSheetId="6">#REF!</definedName>
    <definedName name="TEST636">#REF!</definedName>
    <definedName name="TEST637" localSheetId="6">#REF!</definedName>
    <definedName name="TEST637">#REF!</definedName>
    <definedName name="TEST638" localSheetId="6">#REF!</definedName>
    <definedName name="TEST638">#REF!</definedName>
    <definedName name="TEST639" localSheetId="6">#REF!</definedName>
    <definedName name="TEST639">#REF!</definedName>
    <definedName name="TEST64" localSheetId="6">#REF!</definedName>
    <definedName name="TEST64">#REF!</definedName>
    <definedName name="TEST640" localSheetId="6">#REF!</definedName>
    <definedName name="TEST640">#REF!</definedName>
    <definedName name="TEST641" localSheetId="6">#REF!</definedName>
    <definedName name="TEST641">#REF!</definedName>
    <definedName name="TEST642" localSheetId="6">#REF!</definedName>
    <definedName name="TEST642">#REF!</definedName>
    <definedName name="TEST643" localSheetId="6">#REF!</definedName>
    <definedName name="TEST643">#REF!</definedName>
    <definedName name="TEST644" localSheetId="6">#REF!</definedName>
    <definedName name="TEST644">#REF!</definedName>
    <definedName name="TEST645" localSheetId="6">#REF!</definedName>
    <definedName name="TEST645">#REF!</definedName>
    <definedName name="TEST646" localSheetId="6">#REF!</definedName>
    <definedName name="TEST646">#REF!</definedName>
    <definedName name="TEST647" localSheetId="6">#REF!</definedName>
    <definedName name="TEST647">#REF!</definedName>
    <definedName name="TEST648" localSheetId="6">#REF!</definedName>
    <definedName name="TEST648">#REF!</definedName>
    <definedName name="TEST649" localSheetId="6">#REF!</definedName>
    <definedName name="TEST649">#REF!</definedName>
    <definedName name="TEST65" localSheetId="6">#REF!</definedName>
    <definedName name="TEST65">#REF!</definedName>
    <definedName name="TEST650" localSheetId="6">#REF!</definedName>
    <definedName name="TEST650">#REF!</definedName>
    <definedName name="TEST651" localSheetId="6">#REF!</definedName>
    <definedName name="TEST651">#REF!</definedName>
    <definedName name="TEST652" localSheetId="6">#REF!</definedName>
    <definedName name="TEST652">#REF!</definedName>
    <definedName name="TEST653" localSheetId="6">#REF!</definedName>
    <definedName name="TEST653">#REF!</definedName>
    <definedName name="TEST654" localSheetId="6">#REF!</definedName>
    <definedName name="TEST654">#REF!</definedName>
    <definedName name="TEST655" localSheetId="6">#REF!</definedName>
    <definedName name="TEST655">#REF!</definedName>
    <definedName name="TEST656" localSheetId="6">#REF!</definedName>
    <definedName name="TEST656">#REF!</definedName>
    <definedName name="TEST657" localSheetId="6">#REF!</definedName>
    <definedName name="TEST657">#REF!</definedName>
    <definedName name="TEST658" localSheetId="6">#REF!</definedName>
    <definedName name="TEST658">#REF!</definedName>
    <definedName name="TEST659" localSheetId="6">#REF!</definedName>
    <definedName name="TEST659">#REF!</definedName>
    <definedName name="TEST66" localSheetId="6">#REF!</definedName>
    <definedName name="TEST66">#REF!</definedName>
    <definedName name="TEST660" localSheetId="6">#REF!</definedName>
    <definedName name="TEST660">#REF!</definedName>
    <definedName name="TEST661" localSheetId="6">#REF!</definedName>
    <definedName name="TEST661">#REF!</definedName>
    <definedName name="TEST662" localSheetId="6">#REF!</definedName>
    <definedName name="TEST662">#REF!</definedName>
    <definedName name="TEST663" localSheetId="6">#REF!</definedName>
    <definedName name="TEST663">#REF!</definedName>
    <definedName name="TEST664" localSheetId="6">#REF!</definedName>
    <definedName name="TEST664">#REF!</definedName>
    <definedName name="TEST665" localSheetId="6">#REF!</definedName>
    <definedName name="TEST665">#REF!</definedName>
    <definedName name="TEST666" localSheetId="6">#REF!</definedName>
    <definedName name="TEST666">#REF!</definedName>
    <definedName name="TEST667" localSheetId="6">#REF!</definedName>
    <definedName name="TEST667">#REF!</definedName>
    <definedName name="TEST668" localSheetId="6">#REF!</definedName>
    <definedName name="TEST668">#REF!</definedName>
    <definedName name="TEST669" localSheetId="6">#REF!</definedName>
    <definedName name="TEST669">#REF!</definedName>
    <definedName name="TEST67" localSheetId="6">#REF!</definedName>
    <definedName name="TEST67">#REF!</definedName>
    <definedName name="TEST670" localSheetId="6">#REF!</definedName>
    <definedName name="TEST670">#REF!</definedName>
    <definedName name="TEST671" localSheetId="6">#REF!</definedName>
    <definedName name="TEST671">#REF!</definedName>
    <definedName name="TEST672" localSheetId="6">#REF!</definedName>
    <definedName name="TEST672">#REF!</definedName>
    <definedName name="TEST673" localSheetId="6">#REF!</definedName>
    <definedName name="TEST673">#REF!</definedName>
    <definedName name="TEST674" localSheetId="6">#REF!</definedName>
    <definedName name="TEST674">#REF!</definedName>
    <definedName name="TEST675" localSheetId="6">#REF!</definedName>
    <definedName name="TEST675">#REF!</definedName>
    <definedName name="TEST676" localSheetId="6">#REF!</definedName>
    <definedName name="TEST676">#REF!</definedName>
    <definedName name="TEST677" localSheetId="6">#REF!</definedName>
    <definedName name="TEST677">#REF!</definedName>
    <definedName name="TEST678" localSheetId="6">#REF!</definedName>
    <definedName name="TEST678">#REF!</definedName>
    <definedName name="TEST679" localSheetId="6">#REF!</definedName>
    <definedName name="TEST679">#REF!</definedName>
    <definedName name="TEST68" localSheetId="6">#REF!</definedName>
    <definedName name="TEST68">#REF!</definedName>
    <definedName name="TEST680" localSheetId="6">#REF!</definedName>
    <definedName name="TEST680">#REF!</definedName>
    <definedName name="TEST681" localSheetId="6">#REF!</definedName>
    <definedName name="TEST681">#REF!</definedName>
    <definedName name="TEST682" localSheetId="6">#REF!</definedName>
    <definedName name="TEST682">#REF!</definedName>
    <definedName name="TEST683" localSheetId="6">#REF!</definedName>
    <definedName name="TEST683">#REF!</definedName>
    <definedName name="TEST684" localSheetId="6">#REF!</definedName>
    <definedName name="TEST684">#REF!</definedName>
    <definedName name="TEST685" localSheetId="6">#REF!</definedName>
    <definedName name="TEST685">#REF!</definedName>
    <definedName name="TEST686" localSheetId="6">#REF!</definedName>
    <definedName name="TEST686">#REF!</definedName>
    <definedName name="TEST687" localSheetId="6">#REF!</definedName>
    <definedName name="TEST687">#REF!</definedName>
    <definedName name="TEST688" localSheetId="6">#REF!</definedName>
    <definedName name="TEST688">#REF!</definedName>
    <definedName name="TEST689" localSheetId="6">#REF!</definedName>
    <definedName name="TEST689">#REF!</definedName>
    <definedName name="TEST69" localSheetId="6">#REF!</definedName>
    <definedName name="TEST69">#REF!</definedName>
    <definedName name="TEST690" localSheetId="6">#REF!</definedName>
    <definedName name="TEST690">#REF!</definedName>
    <definedName name="TEST691" localSheetId="6">#REF!</definedName>
    <definedName name="TEST691">#REF!</definedName>
    <definedName name="TEST692" localSheetId="6">#REF!</definedName>
    <definedName name="TEST692">#REF!</definedName>
    <definedName name="TEST693" localSheetId="6">#REF!</definedName>
    <definedName name="TEST693">#REF!</definedName>
    <definedName name="TEST694" localSheetId="6">#REF!</definedName>
    <definedName name="TEST694">#REF!</definedName>
    <definedName name="TEST695" localSheetId="6">#REF!</definedName>
    <definedName name="TEST695">#REF!</definedName>
    <definedName name="TEST696" localSheetId="6">#REF!</definedName>
    <definedName name="TEST696">#REF!</definedName>
    <definedName name="TEST697" localSheetId="6">#REF!</definedName>
    <definedName name="TEST697">#REF!</definedName>
    <definedName name="TEST698" localSheetId="6">#REF!</definedName>
    <definedName name="TEST698">#REF!</definedName>
    <definedName name="TEST699" localSheetId="6">#REF!</definedName>
    <definedName name="TEST699">#REF!</definedName>
    <definedName name="TEST7" localSheetId="6">#REF!</definedName>
    <definedName name="TEST7">#REF!</definedName>
    <definedName name="TEST70" localSheetId="6">#REF!</definedName>
    <definedName name="TEST70">#REF!</definedName>
    <definedName name="TEST700" localSheetId="6">#REF!</definedName>
    <definedName name="TEST700">#REF!</definedName>
    <definedName name="TEST701" localSheetId="6">#REF!</definedName>
    <definedName name="TEST701">#REF!</definedName>
    <definedName name="TEST702" localSheetId="6">#REF!</definedName>
    <definedName name="TEST702">#REF!</definedName>
    <definedName name="TEST703" localSheetId="6">#REF!</definedName>
    <definedName name="TEST703">#REF!</definedName>
    <definedName name="TEST704" localSheetId="6">#REF!</definedName>
    <definedName name="TEST704">#REF!</definedName>
    <definedName name="TEST705" localSheetId="6">#REF!</definedName>
    <definedName name="TEST705">#REF!</definedName>
    <definedName name="TEST706" localSheetId="6">#REF!</definedName>
    <definedName name="TEST706">#REF!</definedName>
    <definedName name="TEST707" localSheetId="6">#REF!</definedName>
    <definedName name="TEST707">#REF!</definedName>
    <definedName name="TEST708" localSheetId="6">#REF!</definedName>
    <definedName name="TEST708">#REF!</definedName>
    <definedName name="TEST709" localSheetId="6">#REF!</definedName>
    <definedName name="TEST709">#REF!</definedName>
    <definedName name="TEST71" localSheetId="6">#REF!</definedName>
    <definedName name="TEST71">#REF!</definedName>
    <definedName name="TEST710" localSheetId="6">#REF!</definedName>
    <definedName name="TEST710">#REF!</definedName>
    <definedName name="TEST711" localSheetId="6">#REF!</definedName>
    <definedName name="TEST711">#REF!</definedName>
    <definedName name="TEST712" localSheetId="6">#REF!</definedName>
    <definedName name="TEST712">#REF!</definedName>
    <definedName name="TEST713" localSheetId="6">#REF!</definedName>
    <definedName name="TEST713">#REF!</definedName>
    <definedName name="TEST714" localSheetId="6">#REF!</definedName>
    <definedName name="TEST714">#REF!</definedName>
    <definedName name="TEST715" localSheetId="6">#REF!</definedName>
    <definedName name="TEST715">#REF!</definedName>
    <definedName name="TEST716" localSheetId="6">#REF!</definedName>
    <definedName name="TEST716">#REF!</definedName>
    <definedName name="TEST717" localSheetId="6">#REF!</definedName>
    <definedName name="TEST717">#REF!</definedName>
    <definedName name="TEST718" localSheetId="6">#REF!</definedName>
    <definedName name="TEST718">#REF!</definedName>
    <definedName name="TEST719" localSheetId="6">#REF!</definedName>
    <definedName name="TEST719">#REF!</definedName>
    <definedName name="TEST72" localSheetId="6">#REF!</definedName>
    <definedName name="TEST72">#REF!</definedName>
    <definedName name="TEST720" localSheetId="6">#REF!</definedName>
    <definedName name="TEST720">#REF!</definedName>
    <definedName name="TEST721" localSheetId="6">#REF!</definedName>
    <definedName name="TEST721">#REF!</definedName>
    <definedName name="TEST722" localSheetId="6">#REF!</definedName>
    <definedName name="TEST722">#REF!</definedName>
    <definedName name="TEST723" localSheetId="6">#REF!</definedName>
    <definedName name="TEST723">#REF!</definedName>
    <definedName name="TEST724" localSheetId="6">#REF!</definedName>
    <definedName name="TEST724">#REF!</definedName>
    <definedName name="TEST725" localSheetId="6">#REF!</definedName>
    <definedName name="TEST725">#REF!</definedName>
    <definedName name="TEST726" localSheetId="6">#REF!</definedName>
    <definedName name="TEST726">#REF!</definedName>
    <definedName name="TEST727" localSheetId="6">#REF!</definedName>
    <definedName name="TEST727">#REF!</definedName>
    <definedName name="TEST728" localSheetId="6">#REF!</definedName>
    <definedName name="TEST728">#REF!</definedName>
    <definedName name="TEST729" localSheetId="6">#REF!</definedName>
    <definedName name="TEST729">#REF!</definedName>
    <definedName name="TEST73" localSheetId="6">#REF!</definedName>
    <definedName name="TEST73">#REF!</definedName>
    <definedName name="TEST730" localSheetId="6">#REF!</definedName>
    <definedName name="TEST730">#REF!</definedName>
    <definedName name="TEST731" localSheetId="6">#REF!</definedName>
    <definedName name="TEST731">#REF!</definedName>
    <definedName name="TEST732" localSheetId="6">#REF!</definedName>
    <definedName name="TEST732">#REF!</definedName>
    <definedName name="TEST733" localSheetId="6">#REF!</definedName>
    <definedName name="TEST733">#REF!</definedName>
    <definedName name="TEST734" localSheetId="6">#REF!</definedName>
    <definedName name="TEST734">#REF!</definedName>
    <definedName name="TEST735" localSheetId="6">#REF!</definedName>
    <definedName name="TEST735">#REF!</definedName>
    <definedName name="TEST736" localSheetId="6">#REF!</definedName>
    <definedName name="TEST736">#REF!</definedName>
    <definedName name="TEST737" localSheetId="6">#REF!</definedName>
    <definedName name="TEST737">#REF!</definedName>
    <definedName name="TEST738" localSheetId="6">#REF!</definedName>
    <definedName name="TEST738">#REF!</definedName>
    <definedName name="TEST739" localSheetId="6">#REF!</definedName>
    <definedName name="TEST739">#REF!</definedName>
    <definedName name="TEST74" localSheetId="6">#REF!</definedName>
    <definedName name="TEST74">#REF!</definedName>
    <definedName name="TEST740" localSheetId="6">#REF!</definedName>
    <definedName name="TEST740">#REF!</definedName>
    <definedName name="TEST741" localSheetId="6">#REF!</definedName>
    <definedName name="TEST741">#REF!</definedName>
    <definedName name="TEST742" localSheetId="6">#REF!</definedName>
    <definedName name="TEST742">#REF!</definedName>
    <definedName name="TEST743" localSheetId="6">#REF!</definedName>
    <definedName name="TEST743">#REF!</definedName>
    <definedName name="TEST744" localSheetId="6">#REF!</definedName>
    <definedName name="TEST744">#REF!</definedName>
    <definedName name="TEST745" localSheetId="6">#REF!</definedName>
    <definedName name="TEST745">#REF!</definedName>
    <definedName name="TEST746" localSheetId="6">#REF!</definedName>
    <definedName name="TEST746">#REF!</definedName>
    <definedName name="TEST747" localSheetId="6">#REF!</definedName>
    <definedName name="TEST747">#REF!</definedName>
    <definedName name="TEST748" localSheetId="6">#REF!</definedName>
    <definedName name="TEST748">#REF!</definedName>
    <definedName name="TEST749" localSheetId="6">#REF!</definedName>
    <definedName name="TEST749">#REF!</definedName>
    <definedName name="TEST75" localSheetId="6">#REF!</definedName>
    <definedName name="TEST75">#REF!</definedName>
    <definedName name="TEST750" localSheetId="6">#REF!</definedName>
    <definedName name="TEST750">#REF!</definedName>
    <definedName name="TEST751" localSheetId="6">#REF!</definedName>
    <definedName name="TEST751">#REF!</definedName>
    <definedName name="TEST752" localSheetId="6">#REF!</definedName>
    <definedName name="TEST752">#REF!</definedName>
    <definedName name="TEST753" localSheetId="6">#REF!</definedName>
    <definedName name="TEST753">#REF!</definedName>
    <definedName name="TEST754" localSheetId="6">#REF!</definedName>
    <definedName name="TEST754">#REF!</definedName>
    <definedName name="TEST755" localSheetId="6">#REF!</definedName>
    <definedName name="TEST755">#REF!</definedName>
    <definedName name="TEST756" localSheetId="6">#REF!</definedName>
    <definedName name="TEST756">#REF!</definedName>
    <definedName name="TEST757" localSheetId="6">#REF!</definedName>
    <definedName name="TEST757">#REF!</definedName>
    <definedName name="TEST758" localSheetId="6">#REF!</definedName>
    <definedName name="TEST758">#REF!</definedName>
    <definedName name="TEST759" localSheetId="6">#REF!</definedName>
    <definedName name="TEST759">#REF!</definedName>
    <definedName name="TEST76" localSheetId="6">#REF!</definedName>
    <definedName name="TEST76">#REF!</definedName>
    <definedName name="TEST760" localSheetId="6">#REF!</definedName>
    <definedName name="TEST760">#REF!</definedName>
    <definedName name="TEST761" localSheetId="6">#REF!</definedName>
    <definedName name="TEST761">#REF!</definedName>
    <definedName name="TEST762" localSheetId="6">#REF!</definedName>
    <definedName name="TEST762">#REF!</definedName>
    <definedName name="TEST763" localSheetId="6">#REF!</definedName>
    <definedName name="TEST763">#REF!</definedName>
    <definedName name="TEST764" localSheetId="6">#REF!</definedName>
    <definedName name="TEST764">#REF!</definedName>
    <definedName name="TEST765" localSheetId="6">#REF!</definedName>
    <definedName name="TEST765">#REF!</definedName>
    <definedName name="TEST766" localSheetId="6">#REF!</definedName>
    <definedName name="TEST766">#REF!</definedName>
    <definedName name="TEST767" localSheetId="6">#REF!</definedName>
    <definedName name="TEST767">#REF!</definedName>
    <definedName name="TEST768" localSheetId="6">#REF!</definedName>
    <definedName name="TEST768">#REF!</definedName>
    <definedName name="TEST769" localSheetId="6">#REF!</definedName>
    <definedName name="TEST769">#REF!</definedName>
    <definedName name="TEST77" localSheetId="6">#REF!</definedName>
    <definedName name="TEST77">#REF!</definedName>
    <definedName name="TEST770" localSheetId="6">#REF!</definedName>
    <definedName name="TEST770">#REF!</definedName>
    <definedName name="TEST771" localSheetId="6">#REF!</definedName>
    <definedName name="TEST771">#REF!</definedName>
    <definedName name="TEST772" localSheetId="6">#REF!</definedName>
    <definedName name="TEST772">#REF!</definedName>
    <definedName name="TEST773" localSheetId="6">#REF!</definedName>
    <definedName name="TEST773">#REF!</definedName>
    <definedName name="TEST774" localSheetId="6">#REF!</definedName>
    <definedName name="TEST774">#REF!</definedName>
    <definedName name="TEST775" localSheetId="6">#REF!</definedName>
    <definedName name="TEST775">#REF!</definedName>
    <definedName name="TEST776" localSheetId="6">#REF!</definedName>
    <definedName name="TEST776">#REF!</definedName>
    <definedName name="TEST777" localSheetId="6">#REF!</definedName>
    <definedName name="TEST777">#REF!</definedName>
    <definedName name="TEST778" localSheetId="6">#REF!</definedName>
    <definedName name="TEST778">#REF!</definedName>
    <definedName name="TEST779" localSheetId="6">#REF!</definedName>
    <definedName name="TEST779">#REF!</definedName>
    <definedName name="TEST78" localSheetId="6">#REF!</definedName>
    <definedName name="TEST78">#REF!</definedName>
    <definedName name="TEST780" localSheetId="6">#REF!</definedName>
    <definedName name="TEST780">#REF!</definedName>
    <definedName name="TEST781" localSheetId="6">#REF!</definedName>
    <definedName name="TEST781">#REF!</definedName>
    <definedName name="TEST782" localSheetId="6">#REF!</definedName>
    <definedName name="TEST782">#REF!</definedName>
    <definedName name="TEST783" localSheetId="6">#REF!</definedName>
    <definedName name="TEST783">#REF!</definedName>
    <definedName name="TEST784" localSheetId="6">#REF!</definedName>
    <definedName name="TEST784">#REF!</definedName>
    <definedName name="TEST785" localSheetId="6">#REF!</definedName>
    <definedName name="TEST785">#REF!</definedName>
    <definedName name="TEST786" localSheetId="6">#REF!</definedName>
    <definedName name="TEST786">#REF!</definedName>
    <definedName name="TEST787" localSheetId="6">#REF!</definedName>
    <definedName name="TEST787">#REF!</definedName>
    <definedName name="TEST788" localSheetId="6">#REF!</definedName>
    <definedName name="TEST788">#REF!</definedName>
    <definedName name="TEST789" localSheetId="6">#REF!</definedName>
    <definedName name="TEST789">#REF!</definedName>
    <definedName name="TEST79" localSheetId="6">#REF!</definedName>
    <definedName name="TEST79">#REF!</definedName>
    <definedName name="TEST790" localSheetId="6">#REF!</definedName>
    <definedName name="TEST790">#REF!</definedName>
    <definedName name="TEST791" localSheetId="6">#REF!</definedName>
    <definedName name="TEST791">#REF!</definedName>
    <definedName name="TEST792" localSheetId="6">#REF!</definedName>
    <definedName name="TEST792">#REF!</definedName>
    <definedName name="TEST793" localSheetId="6">#REF!</definedName>
    <definedName name="TEST793">#REF!</definedName>
    <definedName name="TEST794" localSheetId="6">#REF!</definedName>
    <definedName name="TEST794">#REF!</definedName>
    <definedName name="TEST795" localSheetId="6">#REF!</definedName>
    <definedName name="TEST795">#REF!</definedName>
    <definedName name="TEST796" localSheetId="6">#REF!</definedName>
    <definedName name="TEST796">#REF!</definedName>
    <definedName name="TEST797" localSheetId="6">#REF!</definedName>
    <definedName name="TEST797">#REF!</definedName>
    <definedName name="TEST798" localSheetId="6">#REF!</definedName>
    <definedName name="TEST798">#REF!</definedName>
    <definedName name="TEST799" localSheetId="6">#REF!</definedName>
    <definedName name="TEST799">#REF!</definedName>
    <definedName name="TEST8" localSheetId="6">#REF!</definedName>
    <definedName name="TEST8">#REF!</definedName>
    <definedName name="TEST80" localSheetId="6">#REF!</definedName>
    <definedName name="TEST80">#REF!</definedName>
    <definedName name="TEST800" localSheetId="6">#REF!</definedName>
    <definedName name="TEST800">#REF!</definedName>
    <definedName name="TEST801" localSheetId="6">#REF!</definedName>
    <definedName name="TEST801">#REF!</definedName>
    <definedName name="TEST802" localSheetId="6">#REF!</definedName>
    <definedName name="TEST802">#REF!</definedName>
    <definedName name="TEST803" localSheetId="6">#REF!</definedName>
    <definedName name="TEST803">#REF!</definedName>
    <definedName name="TEST804" localSheetId="6">#REF!</definedName>
    <definedName name="TEST804">#REF!</definedName>
    <definedName name="TEST805" localSheetId="6">#REF!</definedName>
    <definedName name="TEST805">#REF!</definedName>
    <definedName name="TEST806" localSheetId="6">#REF!</definedName>
    <definedName name="TEST806">#REF!</definedName>
    <definedName name="TEST807" localSheetId="6">#REF!</definedName>
    <definedName name="TEST807">#REF!</definedName>
    <definedName name="TEST808" localSheetId="6">#REF!</definedName>
    <definedName name="TEST808">#REF!</definedName>
    <definedName name="TEST809" localSheetId="6">#REF!</definedName>
    <definedName name="TEST809">#REF!</definedName>
    <definedName name="TEST81" localSheetId="6">#REF!</definedName>
    <definedName name="TEST81">#REF!</definedName>
    <definedName name="TEST810" localSheetId="6">#REF!</definedName>
    <definedName name="TEST810">#REF!</definedName>
    <definedName name="TEST811" localSheetId="6">#REF!</definedName>
    <definedName name="TEST811">#REF!</definedName>
    <definedName name="TEST812" localSheetId="6">#REF!</definedName>
    <definedName name="TEST812">#REF!</definedName>
    <definedName name="TEST813" localSheetId="6">#REF!</definedName>
    <definedName name="TEST813">#REF!</definedName>
    <definedName name="TEST814" localSheetId="6">#REF!</definedName>
    <definedName name="TEST814">#REF!</definedName>
    <definedName name="TEST815" localSheetId="6">#REF!</definedName>
    <definedName name="TEST815">#REF!</definedName>
    <definedName name="TEST816" localSheetId="6">#REF!</definedName>
    <definedName name="TEST816">#REF!</definedName>
    <definedName name="TEST817" localSheetId="6">#REF!</definedName>
    <definedName name="TEST817">#REF!</definedName>
    <definedName name="TEST818" localSheetId="6">#REF!</definedName>
    <definedName name="TEST818">#REF!</definedName>
    <definedName name="TEST819" localSheetId="6">#REF!</definedName>
    <definedName name="TEST819">#REF!</definedName>
    <definedName name="TEST82" localSheetId="6">#REF!</definedName>
    <definedName name="TEST82">#REF!</definedName>
    <definedName name="TEST820" localSheetId="6">#REF!</definedName>
    <definedName name="TEST820">#REF!</definedName>
    <definedName name="TEST821" localSheetId="6">#REF!</definedName>
    <definedName name="TEST821">#REF!</definedName>
    <definedName name="TEST822" localSheetId="6">#REF!</definedName>
    <definedName name="TEST822">#REF!</definedName>
    <definedName name="TEST823" localSheetId="6">#REF!</definedName>
    <definedName name="TEST823">#REF!</definedName>
    <definedName name="TEST824" localSheetId="6">#REF!</definedName>
    <definedName name="TEST824">#REF!</definedName>
    <definedName name="TEST825" localSheetId="6">#REF!</definedName>
    <definedName name="TEST825">#REF!</definedName>
    <definedName name="TEST826" localSheetId="6">#REF!</definedName>
    <definedName name="TEST826">#REF!</definedName>
    <definedName name="TEST827" localSheetId="6">#REF!</definedName>
    <definedName name="TEST827">#REF!</definedName>
    <definedName name="TEST828" localSheetId="6">#REF!</definedName>
    <definedName name="TEST828">#REF!</definedName>
    <definedName name="TEST829" localSheetId="6">#REF!</definedName>
    <definedName name="TEST829">#REF!</definedName>
    <definedName name="TEST83" localSheetId="6">#REF!</definedName>
    <definedName name="TEST83">#REF!</definedName>
    <definedName name="TEST830" localSheetId="6">#REF!</definedName>
    <definedName name="TEST830">#REF!</definedName>
    <definedName name="TEST831" localSheetId="6">#REF!</definedName>
    <definedName name="TEST831">#REF!</definedName>
    <definedName name="TEST832" localSheetId="6">#REF!</definedName>
    <definedName name="TEST832">#REF!</definedName>
    <definedName name="TEST833" localSheetId="6">#REF!</definedName>
    <definedName name="TEST833">#REF!</definedName>
    <definedName name="TEST834" localSheetId="6">#REF!</definedName>
    <definedName name="TEST834">#REF!</definedName>
    <definedName name="TEST835" localSheetId="6">#REF!</definedName>
    <definedName name="TEST835">#REF!</definedName>
    <definedName name="TEST836" localSheetId="6">#REF!</definedName>
    <definedName name="TEST836">#REF!</definedName>
    <definedName name="TEST837" localSheetId="6">#REF!</definedName>
    <definedName name="TEST837">#REF!</definedName>
    <definedName name="TEST838" localSheetId="6">#REF!</definedName>
    <definedName name="TEST838">#REF!</definedName>
    <definedName name="TEST839" localSheetId="6">#REF!</definedName>
    <definedName name="TEST839">#REF!</definedName>
    <definedName name="TEST84" localSheetId="6">#REF!</definedName>
    <definedName name="TEST84">#REF!</definedName>
    <definedName name="TEST840" localSheetId="6">#REF!</definedName>
    <definedName name="TEST840">#REF!</definedName>
    <definedName name="TEST841" localSheetId="6">#REF!</definedName>
    <definedName name="TEST841">#REF!</definedName>
    <definedName name="TEST842" localSheetId="6">#REF!</definedName>
    <definedName name="TEST842">#REF!</definedName>
    <definedName name="TEST843" localSheetId="6">#REF!</definedName>
    <definedName name="TEST843">#REF!</definedName>
    <definedName name="TEST844" localSheetId="6">#REF!</definedName>
    <definedName name="TEST844">#REF!</definedName>
    <definedName name="TEST845" localSheetId="6">#REF!</definedName>
    <definedName name="TEST845">#REF!</definedName>
    <definedName name="TEST846" localSheetId="6">#REF!</definedName>
    <definedName name="TEST846">#REF!</definedName>
    <definedName name="TEST847" localSheetId="6">#REF!</definedName>
    <definedName name="TEST847">#REF!</definedName>
    <definedName name="TEST848" localSheetId="6">#REF!</definedName>
    <definedName name="TEST848">#REF!</definedName>
    <definedName name="TEST849" localSheetId="6">#REF!</definedName>
    <definedName name="TEST849">#REF!</definedName>
    <definedName name="TEST85" localSheetId="6">#REF!</definedName>
    <definedName name="TEST85">#REF!</definedName>
    <definedName name="TEST850" localSheetId="6">#REF!</definedName>
    <definedName name="TEST850">#REF!</definedName>
    <definedName name="TEST851" localSheetId="6">#REF!</definedName>
    <definedName name="TEST851">#REF!</definedName>
    <definedName name="TEST852" localSheetId="6">#REF!</definedName>
    <definedName name="TEST852">#REF!</definedName>
    <definedName name="TEST853" localSheetId="6">#REF!</definedName>
    <definedName name="TEST853">#REF!</definedName>
    <definedName name="TEST854" localSheetId="6">#REF!</definedName>
    <definedName name="TEST854">#REF!</definedName>
    <definedName name="TEST855" localSheetId="6">#REF!</definedName>
    <definedName name="TEST855">#REF!</definedName>
    <definedName name="TEST856" localSheetId="6">#REF!</definedName>
    <definedName name="TEST856">#REF!</definedName>
    <definedName name="TEST857" localSheetId="6">#REF!</definedName>
    <definedName name="TEST857">#REF!</definedName>
    <definedName name="TEST858" localSheetId="6">#REF!</definedName>
    <definedName name="TEST858">#REF!</definedName>
    <definedName name="TEST859" localSheetId="6">#REF!</definedName>
    <definedName name="TEST859">#REF!</definedName>
    <definedName name="TEST86" localSheetId="6">#REF!</definedName>
    <definedName name="TEST86">#REF!</definedName>
    <definedName name="TEST860" localSheetId="6">#REF!</definedName>
    <definedName name="TEST860">#REF!</definedName>
    <definedName name="TEST861" localSheetId="6">#REF!</definedName>
    <definedName name="TEST861">#REF!</definedName>
    <definedName name="TEST862" localSheetId="6">#REF!</definedName>
    <definedName name="TEST862">#REF!</definedName>
    <definedName name="TEST863" localSheetId="6">#REF!</definedName>
    <definedName name="TEST863">#REF!</definedName>
    <definedName name="TEST864" localSheetId="6">#REF!</definedName>
    <definedName name="TEST864">#REF!</definedName>
    <definedName name="TEST865" localSheetId="6">#REF!</definedName>
    <definedName name="TEST865">#REF!</definedName>
    <definedName name="TEST866" localSheetId="6">#REF!</definedName>
    <definedName name="TEST866">#REF!</definedName>
    <definedName name="TEST867" localSheetId="6">#REF!</definedName>
    <definedName name="TEST867">#REF!</definedName>
    <definedName name="TEST868" localSheetId="6">#REF!</definedName>
    <definedName name="TEST868">#REF!</definedName>
    <definedName name="TEST869" localSheetId="6">#REF!</definedName>
    <definedName name="TEST869">#REF!</definedName>
    <definedName name="TEST87" localSheetId="6">#REF!</definedName>
    <definedName name="TEST87">#REF!</definedName>
    <definedName name="TEST870" localSheetId="6">#REF!</definedName>
    <definedName name="TEST870">#REF!</definedName>
    <definedName name="TEST871" localSheetId="6">#REF!</definedName>
    <definedName name="TEST871">#REF!</definedName>
    <definedName name="TEST872" localSheetId="6">#REF!</definedName>
    <definedName name="TEST872">#REF!</definedName>
    <definedName name="TEST873" localSheetId="6">#REF!</definedName>
    <definedName name="TEST873">#REF!</definedName>
    <definedName name="TEST874" localSheetId="6">#REF!</definedName>
    <definedName name="TEST874">#REF!</definedName>
    <definedName name="TEST875" localSheetId="6">#REF!</definedName>
    <definedName name="TEST875">#REF!</definedName>
    <definedName name="TEST876" localSheetId="6">#REF!</definedName>
    <definedName name="TEST876">#REF!</definedName>
    <definedName name="TEST877" localSheetId="6">#REF!</definedName>
    <definedName name="TEST877">#REF!</definedName>
    <definedName name="TEST878" localSheetId="6">#REF!</definedName>
    <definedName name="TEST878">#REF!</definedName>
    <definedName name="TEST879" localSheetId="6">#REF!</definedName>
    <definedName name="TEST879">#REF!</definedName>
    <definedName name="TEST88" localSheetId="6">#REF!</definedName>
    <definedName name="TEST88">#REF!</definedName>
    <definedName name="TEST880" localSheetId="6">#REF!</definedName>
    <definedName name="TEST880">#REF!</definedName>
    <definedName name="TEST881" localSheetId="6">#REF!</definedName>
    <definedName name="TEST881">#REF!</definedName>
    <definedName name="TEST882" localSheetId="6">#REF!</definedName>
    <definedName name="TEST882">#REF!</definedName>
    <definedName name="TEST883" localSheetId="6">#REF!</definedName>
    <definedName name="TEST883">#REF!</definedName>
    <definedName name="TEST884" localSheetId="6">#REF!</definedName>
    <definedName name="TEST884">#REF!</definedName>
    <definedName name="TEST885" localSheetId="6">#REF!</definedName>
    <definedName name="TEST885">#REF!</definedName>
    <definedName name="TEST886" localSheetId="6">#REF!</definedName>
    <definedName name="TEST886">#REF!</definedName>
    <definedName name="TEST887" localSheetId="6">#REF!</definedName>
    <definedName name="TEST887">#REF!</definedName>
    <definedName name="TEST888" localSheetId="6">#REF!</definedName>
    <definedName name="TEST888">#REF!</definedName>
    <definedName name="TEST889" localSheetId="6">#REF!</definedName>
    <definedName name="TEST889">#REF!</definedName>
    <definedName name="TEST89" localSheetId="6">#REF!</definedName>
    <definedName name="TEST89">#REF!</definedName>
    <definedName name="TEST890" localSheetId="6">#REF!</definedName>
    <definedName name="TEST890">#REF!</definedName>
    <definedName name="TEST891" localSheetId="6">#REF!</definedName>
    <definedName name="TEST891">#REF!</definedName>
    <definedName name="TEST892" localSheetId="6">#REF!</definedName>
    <definedName name="TEST892">#REF!</definedName>
    <definedName name="TEST893" localSheetId="6">#REF!</definedName>
    <definedName name="TEST893">#REF!</definedName>
    <definedName name="TEST894" localSheetId="6">#REF!</definedName>
    <definedName name="TEST894">#REF!</definedName>
    <definedName name="TEST895" localSheetId="6">#REF!</definedName>
    <definedName name="TEST895">#REF!</definedName>
    <definedName name="TEST896" localSheetId="6">#REF!</definedName>
    <definedName name="TEST896">#REF!</definedName>
    <definedName name="TEST897" localSheetId="6">#REF!</definedName>
    <definedName name="TEST897">#REF!</definedName>
    <definedName name="TEST898" localSheetId="6">#REF!</definedName>
    <definedName name="TEST898">#REF!</definedName>
    <definedName name="TEST899" localSheetId="6">#REF!</definedName>
    <definedName name="TEST899">#REF!</definedName>
    <definedName name="TEST9" localSheetId="6">#REF!</definedName>
    <definedName name="TEST9">#REF!</definedName>
    <definedName name="TEST90" localSheetId="6">#REF!</definedName>
    <definedName name="TEST90">#REF!</definedName>
    <definedName name="TEST900" localSheetId="6">#REF!</definedName>
    <definedName name="TEST900">#REF!</definedName>
    <definedName name="TEST901" localSheetId="6">#REF!</definedName>
    <definedName name="TEST901">#REF!</definedName>
    <definedName name="TEST902" localSheetId="6">#REF!</definedName>
    <definedName name="TEST902">#REF!</definedName>
    <definedName name="TEST903" localSheetId="6">#REF!</definedName>
    <definedName name="TEST903">#REF!</definedName>
    <definedName name="TEST904" localSheetId="6">#REF!</definedName>
    <definedName name="TEST904">#REF!</definedName>
    <definedName name="TEST905" localSheetId="6">#REF!</definedName>
    <definedName name="TEST905">#REF!</definedName>
    <definedName name="TEST906" localSheetId="6">#REF!</definedName>
    <definedName name="TEST906">#REF!</definedName>
    <definedName name="TEST907" localSheetId="6">#REF!</definedName>
    <definedName name="TEST907">#REF!</definedName>
    <definedName name="TEST908" localSheetId="6">#REF!</definedName>
    <definedName name="TEST908">#REF!</definedName>
    <definedName name="TEST909" localSheetId="6">#REF!</definedName>
    <definedName name="TEST909">#REF!</definedName>
    <definedName name="TEST91" localSheetId="6">#REF!</definedName>
    <definedName name="TEST91">#REF!</definedName>
    <definedName name="TEST910" localSheetId="6">#REF!</definedName>
    <definedName name="TEST910">#REF!</definedName>
    <definedName name="TEST911" localSheetId="6">#REF!</definedName>
    <definedName name="TEST911">#REF!</definedName>
    <definedName name="TEST912" localSheetId="6">#REF!</definedName>
    <definedName name="TEST912">#REF!</definedName>
    <definedName name="TEST913" localSheetId="6">#REF!</definedName>
    <definedName name="TEST913">#REF!</definedName>
    <definedName name="TEST914" localSheetId="6">#REF!</definedName>
    <definedName name="TEST914">#REF!</definedName>
    <definedName name="TEST915" localSheetId="6">#REF!</definedName>
    <definedName name="TEST915">#REF!</definedName>
    <definedName name="TEST916" localSheetId="6">#REF!</definedName>
    <definedName name="TEST916">#REF!</definedName>
    <definedName name="TEST917" localSheetId="6">#REF!</definedName>
    <definedName name="TEST917">#REF!</definedName>
    <definedName name="TEST918" localSheetId="6">#REF!</definedName>
    <definedName name="TEST918">#REF!</definedName>
    <definedName name="TEST919" localSheetId="6">#REF!</definedName>
    <definedName name="TEST919">#REF!</definedName>
    <definedName name="TEST92" localSheetId="6">#REF!</definedName>
    <definedName name="TEST92">#REF!</definedName>
    <definedName name="TEST920" localSheetId="6">#REF!</definedName>
    <definedName name="TEST920">#REF!</definedName>
    <definedName name="TEST921" localSheetId="6">#REF!</definedName>
    <definedName name="TEST921">#REF!</definedName>
    <definedName name="TEST922" localSheetId="6">#REF!</definedName>
    <definedName name="TEST922">#REF!</definedName>
    <definedName name="TEST923" localSheetId="6">#REF!</definedName>
    <definedName name="TEST923">#REF!</definedName>
    <definedName name="TEST924" localSheetId="6">#REF!</definedName>
    <definedName name="TEST924">#REF!</definedName>
    <definedName name="TEST925" localSheetId="6">#REF!</definedName>
    <definedName name="TEST925">#REF!</definedName>
    <definedName name="TEST926" localSheetId="6">#REF!</definedName>
    <definedName name="TEST926">#REF!</definedName>
    <definedName name="TEST927" localSheetId="6">#REF!</definedName>
    <definedName name="TEST927">#REF!</definedName>
    <definedName name="TEST928" localSheetId="6">#REF!</definedName>
    <definedName name="TEST928">#REF!</definedName>
    <definedName name="TEST929" localSheetId="6">#REF!</definedName>
    <definedName name="TEST929">#REF!</definedName>
    <definedName name="TEST93" localSheetId="6">#REF!</definedName>
    <definedName name="TEST93">#REF!</definedName>
    <definedName name="TEST930" localSheetId="6">#REF!</definedName>
    <definedName name="TEST930">#REF!</definedName>
    <definedName name="TEST931" localSheetId="6">#REF!</definedName>
    <definedName name="TEST931">#REF!</definedName>
    <definedName name="TEST932" localSheetId="6">#REF!</definedName>
    <definedName name="TEST932">#REF!</definedName>
    <definedName name="TEST933" localSheetId="6">#REF!</definedName>
    <definedName name="TEST933">#REF!</definedName>
    <definedName name="TEST934" localSheetId="6">#REF!</definedName>
    <definedName name="TEST934">#REF!</definedName>
    <definedName name="TEST935" localSheetId="6">#REF!</definedName>
    <definedName name="TEST935">#REF!</definedName>
    <definedName name="TEST936" localSheetId="6">#REF!</definedName>
    <definedName name="TEST936">#REF!</definedName>
    <definedName name="TEST937" localSheetId="6">#REF!</definedName>
    <definedName name="TEST937">#REF!</definedName>
    <definedName name="TEST938" localSheetId="6">#REF!</definedName>
    <definedName name="TEST938">#REF!</definedName>
    <definedName name="TEST939" localSheetId="6">#REF!</definedName>
    <definedName name="TEST939">#REF!</definedName>
    <definedName name="TEST94" localSheetId="6">#REF!</definedName>
    <definedName name="TEST94">#REF!</definedName>
    <definedName name="TEST940" localSheetId="6">#REF!</definedName>
    <definedName name="TEST940">#REF!</definedName>
    <definedName name="TEST941" localSheetId="6">#REF!</definedName>
    <definedName name="TEST941">#REF!</definedName>
    <definedName name="TEST942" localSheetId="6">#REF!</definedName>
    <definedName name="TEST942">#REF!</definedName>
    <definedName name="TEST943" localSheetId="6">#REF!</definedName>
    <definedName name="TEST943">#REF!</definedName>
    <definedName name="TEST944" localSheetId="6">#REF!</definedName>
    <definedName name="TEST944">#REF!</definedName>
    <definedName name="TEST945" localSheetId="6">#REF!</definedName>
    <definedName name="TEST945">#REF!</definedName>
    <definedName name="TEST946" localSheetId="6">#REF!</definedName>
    <definedName name="TEST946">#REF!</definedName>
    <definedName name="TEST947" localSheetId="6">#REF!</definedName>
    <definedName name="TEST947">#REF!</definedName>
    <definedName name="TEST948" localSheetId="6">#REF!</definedName>
    <definedName name="TEST948">#REF!</definedName>
    <definedName name="TEST949" localSheetId="6">#REF!</definedName>
    <definedName name="TEST949">#REF!</definedName>
    <definedName name="TEST95" localSheetId="6">#REF!</definedName>
    <definedName name="TEST95">#REF!</definedName>
    <definedName name="TEST950" localSheetId="6">#REF!</definedName>
    <definedName name="TEST950">#REF!</definedName>
    <definedName name="TEST951" localSheetId="6">#REF!</definedName>
    <definedName name="TEST951">#REF!</definedName>
    <definedName name="TEST952" localSheetId="6">#REF!</definedName>
    <definedName name="TEST952">#REF!</definedName>
    <definedName name="TEST953" localSheetId="6">#REF!</definedName>
    <definedName name="TEST953">#REF!</definedName>
    <definedName name="TEST954" localSheetId="6">#REF!</definedName>
    <definedName name="TEST954">#REF!</definedName>
    <definedName name="TEST955" localSheetId="6">#REF!</definedName>
    <definedName name="TEST955">#REF!</definedName>
    <definedName name="TEST956" localSheetId="6">#REF!</definedName>
    <definedName name="TEST956">#REF!</definedName>
    <definedName name="TEST957" localSheetId="6">#REF!</definedName>
    <definedName name="TEST957">#REF!</definedName>
    <definedName name="TEST958" localSheetId="6">#REF!</definedName>
    <definedName name="TEST958">#REF!</definedName>
    <definedName name="TEST959" localSheetId="6">#REF!</definedName>
    <definedName name="TEST959">#REF!</definedName>
    <definedName name="TEST96" localSheetId="6">#REF!</definedName>
    <definedName name="TEST96">#REF!</definedName>
    <definedName name="TEST960" localSheetId="6">#REF!</definedName>
    <definedName name="TEST960">#REF!</definedName>
    <definedName name="TEST961" localSheetId="6">#REF!</definedName>
    <definedName name="TEST961">#REF!</definedName>
    <definedName name="TEST962" localSheetId="6">#REF!</definedName>
    <definedName name="TEST962">#REF!</definedName>
    <definedName name="TEST963" localSheetId="6">#REF!</definedName>
    <definedName name="TEST963">#REF!</definedName>
    <definedName name="TEST964" localSheetId="6">#REF!</definedName>
    <definedName name="TEST964">#REF!</definedName>
    <definedName name="TEST965" localSheetId="6">#REF!</definedName>
    <definedName name="TEST965">#REF!</definedName>
    <definedName name="TEST966" localSheetId="6">#REF!</definedName>
    <definedName name="TEST966">#REF!</definedName>
    <definedName name="TEST967" localSheetId="6">#REF!</definedName>
    <definedName name="TEST967">#REF!</definedName>
    <definedName name="TEST968" localSheetId="6">#REF!</definedName>
    <definedName name="TEST968">#REF!</definedName>
    <definedName name="TEST969" localSheetId="6">#REF!</definedName>
    <definedName name="TEST969">#REF!</definedName>
    <definedName name="TEST97" localSheetId="6">#REF!</definedName>
    <definedName name="TEST97">#REF!</definedName>
    <definedName name="TEST970" localSheetId="6">#REF!</definedName>
    <definedName name="TEST970">#REF!</definedName>
    <definedName name="TEST971" localSheetId="6">#REF!</definedName>
    <definedName name="TEST971">#REF!</definedName>
    <definedName name="TEST972" localSheetId="6">#REF!</definedName>
    <definedName name="TEST972">#REF!</definedName>
    <definedName name="TEST973" localSheetId="6">#REF!</definedName>
    <definedName name="TEST973">#REF!</definedName>
    <definedName name="TEST974" localSheetId="6">#REF!</definedName>
    <definedName name="TEST974">#REF!</definedName>
    <definedName name="TEST975" localSheetId="6">#REF!</definedName>
    <definedName name="TEST975">#REF!</definedName>
    <definedName name="TEST976" localSheetId="6">#REF!</definedName>
    <definedName name="TEST976">#REF!</definedName>
    <definedName name="TEST977" localSheetId="6">#REF!</definedName>
    <definedName name="TEST977">#REF!</definedName>
    <definedName name="TEST978" localSheetId="6">#REF!</definedName>
    <definedName name="TEST978">#REF!</definedName>
    <definedName name="TEST979" localSheetId="6">#REF!</definedName>
    <definedName name="TEST979">#REF!</definedName>
    <definedName name="TEST98" localSheetId="6">#REF!</definedName>
    <definedName name="TEST98">#REF!</definedName>
    <definedName name="TEST980" localSheetId="6">#REF!</definedName>
    <definedName name="TEST980">#REF!</definedName>
    <definedName name="TEST981" localSheetId="6">#REF!</definedName>
    <definedName name="TEST981">#REF!</definedName>
    <definedName name="TEST982" localSheetId="6">#REF!</definedName>
    <definedName name="TEST982">#REF!</definedName>
    <definedName name="TEST983" localSheetId="6">#REF!</definedName>
    <definedName name="TEST983">#REF!</definedName>
    <definedName name="TEST984" localSheetId="6">#REF!</definedName>
    <definedName name="TEST984">#REF!</definedName>
    <definedName name="TEST985" localSheetId="6">#REF!</definedName>
    <definedName name="TEST985">#REF!</definedName>
    <definedName name="TEST986" localSheetId="6">#REF!</definedName>
    <definedName name="TEST986">#REF!</definedName>
    <definedName name="TEST987" localSheetId="6">#REF!</definedName>
    <definedName name="TEST987">#REF!</definedName>
    <definedName name="TEST988" localSheetId="6">#REF!</definedName>
    <definedName name="TEST988">#REF!</definedName>
    <definedName name="TEST989" localSheetId="6">#REF!</definedName>
    <definedName name="TEST989">#REF!</definedName>
    <definedName name="TEST99" localSheetId="6">#REF!</definedName>
    <definedName name="TEST99">#REF!</definedName>
    <definedName name="TEST990" localSheetId="6">#REF!</definedName>
    <definedName name="TEST990">#REF!</definedName>
    <definedName name="TEST991" localSheetId="6">#REF!</definedName>
    <definedName name="TEST991">#REF!</definedName>
    <definedName name="TEST992" localSheetId="6">#REF!</definedName>
    <definedName name="TEST992">#REF!</definedName>
    <definedName name="TEST993" localSheetId="6">#REF!</definedName>
    <definedName name="TEST993">#REF!</definedName>
    <definedName name="TEST994" localSheetId="6">#REF!</definedName>
    <definedName name="TEST994">#REF!</definedName>
    <definedName name="TEST995" localSheetId="6">#REF!</definedName>
    <definedName name="TEST995">#REF!</definedName>
    <definedName name="TEST996" localSheetId="6">#REF!</definedName>
    <definedName name="TEST996">#REF!</definedName>
    <definedName name="TEST997" localSheetId="6">#REF!</definedName>
    <definedName name="TEST997">#REF!</definedName>
    <definedName name="TEST998" localSheetId="6">#REF!</definedName>
    <definedName name="TEST998">#REF!</definedName>
    <definedName name="TEST999" localSheetId="6">#REF!</definedName>
    <definedName name="TEST999">#REF!</definedName>
    <definedName name="TESTHKEY" localSheetId="6">#REF!</definedName>
    <definedName name="TESTHKEY">#REF!</definedName>
    <definedName name="TESTKEYS" localSheetId="6">#REF!</definedName>
    <definedName name="TESTKEYS">#REF!</definedName>
    <definedName name="TESTVKEY" localSheetId="6">#REF!</definedName>
    <definedName name="TESTVKEY">#REF!</definedName>
    <definedName name="usd">#REF!</definedName>
    <definedName name="XREF_COLUMN_1" hidden="1">#REF!</definedName>
    <definedName name="XREF_COLUMN_2" hidden="1">[10]LS!#REF!</definedName>
    <definedName name="XRefActiveRow" hidden="1">#REF!</definedName>
    <definedName name="XRefColumnsCount" hidden="1">2</definedName>
    <definedName name="XRefCopy2" hidden="1">#REF!</definedName>
    <definedName name="XRefCopy2Row" hidden="1">#REF!</definedName>
    <definedName name="XRefCopy3" hidden="1">#REF!</definedName>
    <definedName name="XRefCopy3Row" hidden="1">#REF!</definedName>
    <definedName name="XRefCopyRangeCount" hidden="1">3</definedName>
    <definedName name="XRefPaste1Row" hidden="1">#REF!</definedName>
    <definedName name="XRefPaste2Row" hidden="1">#REF!</definedName>
    <definedName name="XRefPasteRangeCount" hidden="1">2</definedName>
    <definedName name="계정과목">#REF!</definedName>
    <definedName name="공사원가">[11]시산표!#REF!</definedName>
    <definedName name="달러환율">[12]환율!$C$1</definedName>
    <definedName name="덕평">#REF!</definedName>
    <definedName name="ㅁ1">#REF!</definedName>
    <definedName name="매채명세">[13]조회서!$A$18:$A$29</definedName>
    <definedName name="뮤629">[2]시산표!$C$26</definedName>
    <definedName name="받을어음">[14]대차대조표!$E$15:$M$16</definedName>
    <definedName name="버튼_공통">[15]!버튼_공통</definedName>
    <definedName name="사업별실적입력">[2]시산표!$AK$638</definedName>
    <definedName name="소득">#REF!</definedName>
    <definedName name="아무거">[16]총괄표!$E$7:$T$7</definedName>
    <definedName name="외상매출금">[14]대차대조표!$E$13:$M$14</definedName>
    <definedName name="원가전표입력">[2]원가!$S$94</definedName>
    <definedName name="이름">#REF!</definedName>
    <definedName name="자본반기" hidden="1">[17]시산표!#REF!</definedName>
    <definedName name="조회번호">#REF!</definedName>
    <definedName name="조회서인쇄범위">#REF!</definedName>
    <definedName name="주소">#REF!</definedName>
    <definedName name="지어">[13]조회서!$B$18:$B$29</definedName>
    <definedName name="채권계정과목">#REF!</definedName>
    <definedName name="채권범위">#REF!</definedName>
    <definedName name="채무계정과목">#REF!</definedName>
    <definedName name="채무범위">#REF!</definedName>
    <definedName name="총괄표">#REF!</definedName>
    <definedName name="퇴">#REF!</definedName>
    <definedName name="환율">[18]환!#REF!</definedName>
    <definedName name="환율1">#REF!</definedName>
    <definedName name="환율2">[18]환!#REF!</definedName>
    <definedName name="환율3">[18]환!#REF!</definedName>
    <definedName name="환율4">[18]환!$B$1</definedName>
    <definedName name="회계년도">[15]Config!$P$10</definedName>
    <definedName name="회사명">#REF!</definedName>
    <definedName name="회신">[13]주소!$A$1:$E$600</definedName>
    <definedName name="ㅑ525">#REF!</definedName>
    <definedName name="ㅗ3">[19]외화계약!#REF!</definedName>
  </definedNames>
  <calcPr calcId="162913"/>
</workbook>
</file>

<file path=xl/calcChain.xml><?xml version="1.0" encoding="utf-8"?>
<calcChain xmlns="http://schemas.openxmlformats.org/spreadsheetml/2006/main">
  <c r="B64" i="116" l="1"/>
  <c r="F113" i="117"/>
  <c r="F114" i="117"/>
  <c r="F115" i="117"/>
  <c r="F116" i="117"/>
  <c r="F117" i="117"/>
  <c r="F118" i="117"/>
  <c r="F119" i="117"/>
  <c r="F120" i="117"/>
  <c r="F121" i="117"/>
  <c r="F122" i="117"/>
  <c r="F123" i="117"/>
  <c r="F124" i="117"/>
  <c r="F125" i="117"/>
  <c r="F126" i="117"/>
  <c r="F127" i="117"/>
  <c r="F128" i="117"/>
  <c r="F129" i="117"/>
  <c r="F130" i="117"/>
  <c r="F131" i="117"/>
  <c r="F132" i="117"/>
  <c r="F133" i="117"/>
  <c r="F134" i="117"/>
  <c r="F135" i="117"/>
  <c r="F136" i="117"/>
  <c r="F137" i="117"/>
  <c r="F138" i="117"/>
  <c r="F139" i="117"/>
  <c r="F140" i="117"/>
  <c r="F141" i="117"/>
  <c r="F142" i="117"/>
  <c r="F143" i="117"/>
  <c r="F144" i="117"/>
  <c r="F145" i="117"/>
  <c r="F146" i="117"/>
  <c r="F147" i="117"/>
  <c r="F148" i="117"/>
  <c r="F149" i="117"/>
  <c r="F150" i="117"/>
  <c r="F151" i="117"/>
  <c r="F152" i="117"/>
  <c r="F153" i="117"/>
  <c r="F154" i="117"/>
  <c r="F155" i="117"/>
  <c r="F156" i="117"/>
  <c r="F157" i="117"/>
  <c r="F158" i="117"/>
  <c r="F159" i="117"/>
  <c r="F160" i="117"/>
  <c r="F161" i="117"/>
  <c r="F162" i="117"/>
  <c r="F163" i="117"/>
  <c r="F164" i="117"/>
  <c r="F165" i="117"/>
  <c r="F166" i="117"/>
  <c r="F167" i="117"/>
  <c r="F168" i="117"/>
  <c r="F169" i="117"/>
  <c r="F170" i="117"/>
  <c r="F171" i="117"/>
  <c r="F172" i="117"/>
  <c r="F173" i="117"/>
  <c r="F174" i="117"/>
  <c r="F175" i="117"/>
  <c r="F176" i="117"/>
  <c r="F177" i="117"/>
  <c r="F178" i="117"/>
  <c r="F179" i="117"/>
  <c r="F180" i="117"/>
  <c r="F181" i="117"/>
  <c r="F182" i="117"/>
  <c r="F183" i="117"/>
  <c r="F184" i="117"/>
  <c r="F185" i="117"/>
  <c r="F186" i="117"/>
  <c r="F187" i="117"/>
  <c r="F188" i="117"/>
  <c r="F189" i="117"/>
  <c r="F190" i="117"/>
  <c r="F191" i="117"/>
  <c r="F192" i="117"/>
  <c r="F193" i="117"/>
  <c r="F194" i="117"/>
  <c r="F195" i="117"/>
  <c r="F196" i="117"/>
  <c r="F197" i="117"/>
  <c r="F198" i="117"/>
  <c r="F199" i="117"/>
  <c r="F200" i="117"/>
  <c r="F201" i="117"/>
  <c r="F202" i="117"/>
  <c r="F203" i="117"/>
  <c r="F204" i="117"/>
  <c r="F205" i="117"/>
  <c r="F206" i="117"/>
  <c r="F207" i="117"/>
  <c r="F208" i="117"/>
  <c r="F209" i="117"/>
  <c r="F210" i="117"/>
  <c r="F211" i="117"/>
  <c r="F212" i="117"/>
  <c r="F213" i="117"/>
  <c r="F214" i="117"/>
  <c r="F215" i="117"/>
  <c r="F216" i="117"/>
  <c r="F217" i="117"/>
  <c r="F218" i="117"/>
  <c r="F219" i="117"/>
  <c r="F220" i="117"/>
  <c r="F221" i="117"/>
  <c r="F222" i="117"/>
  <c r="F223" i="117"/>
  <c r="F224" i="117"/>
  <c r="F225" i="117"/>
  <c r="F226" i="117"/>
  <c r="F227" i="117"/>
  <c r="F228" i="117"/>
  <c r="F229" i="117"/>
  <c r="F230" i="117"/>
  <c r="F231" i="117"/>
  <c r="F232" i="117"/>
  <c r="F233" i="117"/>
  <c r="F234" i="117"/>
  <c r="F235" i="117"/>
  <c r="F236" i="117"/>
  <c r="F237" i="117"/>
  <c r="F238" i="117"/>
  <c r="F239" i="117"/>
  <c r="F240" i="117"/>
  <c r="F241" i="117"/>
  <c r="F242" i="117"/>
  <c r="F243" i="117"/>
  <c r="F244" i="117"/>
  <c r="F245" i="117"/>
  <c r="F246" i="117"/>
  <c r="F247" i="117"/>
  <c r="F248" i="117"/>
  <c r="F249" i="117"/>
  <c r="F250" i="117"/>
  <c r="F251" i="117"/>
  <c r="G242" i="117" l="1"/>
  <c r="H242" i="117"/>
  <c r="G243" i="117"/>
  <c r="H243" i="117"/>
  <c r="H244" i="117"/>
  <c r="G244" i="117" s="1"/>
  <c r="H245" i="117"/>
  <c r="G245" i="117" s="1"/>
  <c r="G246" i="117"/>
  <c r="H246" i="117"/>
  <c r="G247" i="117"/>
  <c r="H247" i="117"/>
  <c r="H248" i="117"/>
  <c r="G248" i="117" s="1"/>
  <c r="H195" i="117"/>
  <c r="H196" i="117"/>
  <c r="H197" i="117"/>
  <c r="H198" i="117"/>
  <c r="G198" i="117" s="1"/>
  <c r="H199" i="117"/>
  <c r="H123" i="117"/>
  <c r="G123" i="117" s="1"/>
  <c r="G199" i="117" l="1"/>
  <c r="G195" i="117"/>
  <c r="G196" i="117"/>
  <c r="G197" i="117"/>
  <c r="F109" i="117" l="1"/>
  <c r="H109" i="117"/>
  <c r="F110" i="117"/>
  <c r="H110" i="117"/>
  <c r="H100" i="117"/>
  <c r="F100" i="117"/>
  <c r="H97" i="117"/>
  <c r="F97" i="117"/>
  <c r="F88" i="117"/>
  <c r="G110" i="117" l="1"/>
  <c r="G100" i="117"/>
  <c r="G97" i="117"/>
  <c r="G109" i="117"/>
  <c r="F6" i="117"/>
  <c r="F7" i="117"/>
  <c r="F8" i="117"/>
  <c r="F9" i="117"/>
  <c r="F10" i="117"/>
  <c r="F11" i="117"/>
  <c r="F12" i="117"/>
  <c r="F13" i="117"/>
  <c r="F14" i="117"/>
  <c r="F15" i="117"/>
  <c r="F16" i="117"/>
  <c r="F17" i="117"/>
  <c r="F18" i="117"/>
  <c r="F19" i="117"/>
  <c r="F20" i="117"/>
  <c r="F21" i="117"/>
  <c r="F22" i="117"/>
  <c r="F23" i="117"/>
  <c r="F24" i="117"/>
  <c r="F25" i="117"/>
  <c r="F26" i="117"/>
  <c r="F27" i="117"/>
  <c r="F28" i="117"/>
  <c r="F29" i="117"/>
  <c r="F30" i="117"/>
  <c r="F31" i="117"/>
  <c r="F32" i="117"/>
  <c r="F33" i="117"/>
  <c r="F34" i="117"/>
  <c r="F35" i="117"/>
  <c r="F36" i="117"/>
  <c r="F37" i="117"/>
  <c r="F38" i="117"/>
  <c r="F39" i="117"/>
  <c r="F40" i="117"/>
  <c r="F41" i="117"/>
  <c r="F42" i="117"/>
  <c r="F43" i="117"/>
  <c r="F44" i="117"/>
  <c r="F45" i="117"/>
  <c r="F46" i="117"/>
  <c r="F47" i="117"/>
  <c r="F48" i="117"/>
  <c r="F49" i="117"/>
  <c r="F50" i="117"/>
  <c r="F51" i="117"/>
  <c r="F52" i="117"/>
  <c r="F53" i="117"/>
  <c r="F54" i="117"/>
  <c r="F55" i="117"/>
  <c r="F56" i="117"/>
  <c r="F57" i="117"/>
  <c r="F58" i="117"/>
  <c r="F59" i="117"/>
  <c r="F60" i="117"/>
  <c r="F61" i="117"/>
  <c r="F62" i="117"/>
  <c r="F63" i="117"/>
  <c r="F64" i="117"/>
  <c r="F65" i="117"/>
  <c r="F66" i="117"/>
  <c r="F67" i="117"/>
  <c r="F68" i="117"/>
  <c r="F69" i="117"/>
  <c r="F70" i="117"/>
  <c r="F71" i="117"/>
  <c r="F72" i="117"/>
  <c r="F73" i="117"/>
  <c r="F74" i="117"/>
  <c r="F75" i="117"/>
  <c r="F76" i="117"/>
  <c r="F77" i="117"/>
  <c r="F78" i="117"/>
  <c r="F79" i="117"/>
  <c r="F80" i="117"/>
  <c r="F81" i="117"/>
  <c r="F82" i="117"/>
  <c r="F83" i="117"/>
  <c r="F84" i="117"/>
  <c r="F85" i="117"/>
  <c r="F86" i="117"/>
  <c r="F87" i="117"/>
  <c r="F89" i="117"/>
  <c r="F90" i="117"/>
  <c r="F91" i="117"/>
  <c r="F92" i="117"/>
  <c r="F93" i="117"/>
  <c r="F94" i="117"/>
  <c r="F95" i="117"/>
  <c r="F96" i="117"/>
  <c r="F98" i="117"/>
  <c r="F99" i="117"/>
  <c r="F101" i="117"/>
  <c r="F102" i="117"/>
  <c r="F103" i="117"/>
  <c r="F104" i="117"/>
  <c r="F105" i="117"/>
  <c r="F106" i="117"/>
  <c r="F107" i="117"/>
  <c r="F108" i="117"/>
  <c r="F111" i="117"/>
  <c r="F112" i="117"/>
  <c r="C23" i="115" l="1"/>
  <c r="D23" i="115"/>
  <c r="E23" i="115"/>
  <c r="B23" i="115"/>
  <c r="F5" i="117" l="1"/>
  <c r="H5" i="117"/>
  <c r="G5" i="117" s="1"/>
  <c r="H6" i="117"/>
  <c r="G7" i="117"/>
  <c r="H7" i="117"/>
  <c r="H8" i="117"/>
  <c r="H9" i="117"/>
  <c r="G10" i="117"/>
  <c r="H10" i="117"/>
  <c r="H11" i="117"/>
  <c r="H12" i="117"/>
  <c r="H13" i="117"/>
  <c r="H14" i="117"/>
  <c r="G14" i="117" s="1"/>
  <c r="H15" i="117"/>
  <c r="H16" i="117"/>
  <c r="H17" i="117"/>
  <c r="H18" i="117"/>
  <c r="H19" i="117"/>
  <c r="G19" i="117" s="1"/>
  <c r="H20" i="117"/>
  <c r="H21" i="117"/>
  <c r="H22" i="117"/>
  <c r="H23" i="117"/>
  <c r="H24" i="117"/>
  <c r="G24" i="117" s="1"/>
  <c r="H25" i="117"/>
  <c r="H26" i="117"/>
  <c r="H27" i="117"/>
  <c r="H28" i="117"/>
  <c r="H29" i="117"/>
  <c r="H30" i="117"/>
  <c r="G30" i="117" s="1"/>
  <c r="H31" i="117"/>
  <c r="H32" i="117"/>
  <c r="H33" i="117"/>
  <c r="G33" i="117" s="1"/>
  <c r="H34" i="117"/>
  <c r="H35" i="117"/>
  <c r="H36" i="117"/>
  <c r="H37" i="117"/>
  <c r="H38" i="117"/>
  <c r="H39" i="117"/>
  <c r="G39" i="117" s="1"/>
  <c r="H40" i="117"/>
  <c r="H41" i="117"/>
  <c r="G41" i="117" s="1"/>
  <c r="H42" i="117"/>
  <c r="H43" i="117"/>
  <c r="G43" i="117" s="1"/>
  <c r="H44" i="117"/>
  <c r="G44" i="117" s="1"/>
  <c r="H45" i="117"/>
  <c r="G45" i="117" s="1"/>
  <c r="H46" i="117"/>
  <c r="H47" i="117"/>
  <c r="G47" i="117" s="1"/>
  <c r="H48" i="117"/>
  <c r="H49" i="117"/>
  <c r="G49" i="117" s="1"/>
  <c r="H50" i="117"/>
  <c r="G50" i="117" s="1"/>
  <c r="H51" i="117"/>
  <c r="H52" i="117"/>
  <c r="H53" i="117"/>
  <c r="G53" i="117" s="1"/>
  <c r="H54" i="117"/>
  <c r="G54" i="117" s="1"/>
  <c r="H55" i="117"/>
  <c r="H56" i="117"/>
  <c r="H57" i="117"/>
  <c r="G57" i="117" s="1"/>
  <c r="H58" i="117"/>
  <c r="H59" i="117"/>
  <c r="H60" i="117"/>
  <c r="H61" i="117"/>
  <c r="H62" i="117"/>
  <c r="G62" i="117" s="1"/>
  <c r="H63" i="117"/>
  <c r="H64" i="117"/>
  <c r="H65" i="117"/>
  <c r="H66" i="117"/>
  <c r="H67" i="117"/>
  <c r="H68" i="117"/>
  <c r="G69" i="117"/>
  <c r="H69" i="117"/>
  <c r="H70" i="117"/>
  <c r="H71" i="117"/>
  <c r="H72" i="117"/>
  <c r="H73" i="117"/>
  <c r="G73" i="117" s="1"/>
  <c r="H74" i="117"/>
  <c r="H75" i="117"/>
  <c r="H76" i="117"/>
  <c r="H77" i="117"/>
  <c r="H78" i="117"/>
  <c r="G78" i="117" s="1"/>
  <c r="H79" i="117"/>
  <c r="G79" i="117" s="1"/>
  <c r="H80" i="117"/>
  <c r="H81" i="117"/>
  <c r="G81" i="117" s="1"/>
  <c r="H82" i="117"/>
  <c r="H83" i="117"/>
  <c r="H84" i="117"/>
  <c r="G84" i="117" s="1"/>
  <c r="H85" i="117"/>
  <c r="G85" i="117" s="1"/>
  <c r="H86" i="117"/>
  <c r="H87" i="117"/>
  <c r="H88" i="117"/>
  <c r="H89" i="117"/>
  <c r="G89" i="117" s="1"/>
  <c r="H90" i="117"/>
  <c r="H91" i="117"/>
  <c r="H92" i="117"/>
  <c r="H93" i="117"/>
  <c r="H94" i="117"/>
  <c r="G94" i="117" s="1"/>
  <c r="H95" i="117"/>
  <c r="H96" i="117"/>
  <c r="H98" i="117"/>
  <c r="G98" i="117" s="1"/>
  <c r="H99" i="117"/>
  <c r="H101" i="117"/>
  <c r="H102" i="117"/>
  <c r="H103" i="117"/>
  <c r="G103" i="117" s="1"/>
  <c r="H104" i="117"/>
  <c r="H105" i="117"/>
  <c r="H106" i="117"/>
  <c r="H107" i="117"/>
  <c r="H108" i="117"/>
  <c r="H111" i="117"/>
  <c r="H112" i="117"/>
  <c r="H113" i="117"/>
  <c r="H114" i="117"/>
  <c r="G114" i="117" s="1"/>
  <c r="H115" i="117"/>
  <c r="H116" i="117"/>
  <c r="G116" i="117" s="1"/>
  <c r="H117" i="117"/>
  <c r="H118" i="117"/>
  <c r="H119" i="117"/>
  <c r="H120" i="117"/>
  <c r="H121" i="117"/>
  <c r="G121" i="117" s="1"/>
  <c r="H122" i="117"/>
  <c r="G122" i="117" s="1"/>
  <c r="H124" i="117"/>
  <c r="G124" i="117" s="1"/>
  <c r="H125" i="117"/>
  <c r="H126" i="117"/>
  <c r="G126" i="117" s="1"/>
  <c r="H127" i="117"/>
  <c r="H128" i="117"/>
  <c r="H129" i="117"/>
  <c r="G129" i="117" s="1"/>
  <c r="H130" i="117"/>
  <c r="G130" i="117" s="1"/>
  <c r="H131" i="117"/>
  <c r="H132" i="117"/>
  <c r="G132" i="117" s="1"/>
  <c r="H133" i="117"/>
  <c r="G133" i="117" s="1"/>
  <c r="H134" i="117"/>
  <c r="G134" i="117" s="1"/>
  <c r="H135" i="117"/>
  <c r="H136" i="117"/>
  <c r="H137" i="117"/>
  <c r="H138" i="117"/>
  <c r="G138" i="117" s="1"/>
  <c r="H139" i="117"/>
  <c r="H140" i="117"/>
  <c r="H141" i="117"/>
  <c r="H142" i="117"/>
  <c r="H143" i="117"/>
  <c r="G143" i="117" s="1"/>
  <c r="H144" i="117"/>
  <c r="H145" i="117"/>
  <c r="H146" i="117"/>
  <c r="G146" i="117" s="1"/>
  <c r="H147" i="117"/>
  <c r="H148" i="117"/>
  <c r="G148" i="117" s="1"/>
  <c r="H149" i="117"/>
  <c r="G149" i="117" s="1"/>
  <c r="H150" i="117"/>
  <c r="G150" i="117" s="1"/>
  <c r="H151" i="117"/>
  <c r="H152" i="117"/>
  <c r="H153" i="117"/>
  <c r="H154" i="117"/>
  <c r="G154" i="117" s="1"/>
  <c r="H155" i="117"/>
  <c r="H156" i="117"/>
  <c r="H157" i="117"/>
  <c r="G157" i="117" s="1"/>
  <c r="H158" i="117"/>
  <c r="H159" i="117"/>
  <c r="H160" i="117"/>
  <c r="G160" i="117" s="1"/>
  <c r="H161" i="117"/>
  <c r="H162" i="117"/>
  <c r="G162" i="117" s="1"/>
  <c r="H163" i="117"/>
  <c r="G163" i="117" s="1"/>
  <c r="H164" i="117"/>
  <c r="H165" i="117"/>
  <c r="H166" i="117"/>
  <c r="H167" i="117"/>
  <c r="G167" i="117" s="1"/>
  <c r="H168" i="117"/>
  <c r="G168" i="117" s="1"/>
  <c r="H169" i="117"/>
  <c r="H170" i="117"/>
  <c r="G170" i="117" s="1"/>
  <c r="H171" i="117"/>
  <c r="H172" i="117"/>
  <c r="H173" i="117"/>
  <c r="H174" i="117"/>
  <c r="G174" i="117" s="1"/>
  <c r="H175" i="117"/>
  <c r="G175" i="117" s="1"/>
  <c r="H177" i="117"/>
  <c r="H178" i="117"/>
  <c r="H179" i="117"/>
  <c r="G179" i="117" s="1"/>
  <c r="H180" i="117"/>
  <c r="G180" i="117" s="1"/>
  <c r="H181" i="117"/>
  <c r="H182" i="117"/>
  <c r="H183" i="117"/>
  <c r="G183" i="117" s="1"/>
  <c r="H184" i="117"/>
  <c r="G184" i="117" s="1"/>
  <c r="H185" i="117"/>
  <c r="H186" i="117"/>
  <c r="H187" i="117"/>
  <c r="H188" i="117"/>
  <c r="H189" i="117"/>
  <c r="H190" i="117"/>
  <c r="H191" i="117"/>
  <c r="G191" i="117" s="1"/>
  <c r="H192" i="117"/>
  <c r="H193" i="117"/>
  <c r="H194" i="117"/>
  <c r="H200" i="117"/>
  <c r="H201" i="117"/>
  <c r="H202" i="117"/>
  <c r="H203" i="117"/>
  <c r="G203" i="117" s="1"/>
  <c r="H204" i="117"/>
  <c r="H205" i="117"/>
  <c r="G205" i="117" s="1"/>
  <c r="H206" i="117"/>
  <c r="H207" i="117"/>
  <c r="H208" i="117"/>
  <c r="H209" i="117"/>
  <c r="H210" i="117"/>
  <c r="G210" i="117" s="1"/>
  <c r="H211" i="117"/>
  <c r="G211" i="117" s="1"/>
  <c r="H212" i="117"/>
  <c r="H213" i="117"/>
  <c r="H214" i="117"/>
  <c r="H215" i="117"/>
  <c r="G215" i="117" s="1"/>
  <c r="H216" i="117"/>
  <c r="H217" i="117"/>
  <c r="H218" i="117"/>
  <c r="H219" i="117"/>
  <c r="H220" i="117"/>
  <c r="H221" i="117"/>
  <c r="H222" i="117"/>
  <c r="G222" i="117" s="1"/>
  <c r="H223" i="117"/>
  <c r="H224" i="117"/>
  <c r="H225" i="117"/>
  <c r="G225" i="117" s="1"/>
  <c r="H226" i="117"/>
  <c r="G226" i="117" s="1"/>
  <c r="H227" i="117"/>
  <c r="G227" i="117" s="1"/>
  <c r="H228" i="117"/>
  <c r="G228" i="117" s="1"/>
  <c r="H229" i="117"/>
  <c r="H230" i="117"/>
  <c r="G230" i="117" s="1"/>
  <c r="H231" i="117"/>
  <c r="G231" i="117" s="1"/>
  <c r="H232" i="117"/>
  <c r="G232" i="117" s="1"/>
  <c r="H233" i="117"/>
  <c r="H234" i="117"/>
  <c r="G234" i="117" s="1"/>
  <c r="H235" i="117"/>
  <c r="H236" i="117"/>
  <c r="H237" i="117"/>
  <c r="H238" i="117"/>
  <c r="G238" i="117" s="1"/>
  <c r="H239" i="117"/>
  <c r="G239" i="117" s="1"/>
  <c r="H240" i="117"/>
  <c r="H241" i="117"/>
  <c r="G241" i="117" s="1"/>
  <c r="H249" i="117"/>
  <c r="G249" i="117" s="1"/>
  <c r="H250" i="117"/>
  <c r="A251" i="117"/>
  <c r="B251" i="117"/>
  <c r="D251" i="117"/>
  <c r="E251" i="117"/>
  <c r="G15" i="117" l="1"/>
  <c r="G112" i="117"/>
  <c r="G68" i="117"/>
  <c r="G77" i="117"/>
  <c r="G75" i="117"/>
  <c r="G63" i="117"/>
  <c r="G36" i="117"/>
  <c r="G65" i="117"/>
  <c r="G37" i="117"/>
  <c r="G29" i="117"/>
  <c r="G218" i="117"/>
  <c r="G214" i="117"/>
  <c r="G212" i="117"/>
  <c r="G192" i="117"/>
  <c r="G166" i="117"/>
  <c r="G152" i="117"/>
  <c r="G141" i="117"/>
  <c r="G135" i="117"/>
  <c r="G128" i="117"/>
  <c r="G120" i="117"/>
  <c r="G107" i="117"/>
  <c r="G105" i="117"/>
  <c r="G92" i="117"/>
  <c r="G86" i="117"/>
  <c r="G71" i="117"/>
  <c r="G60" i="117"/>
  <c r="G28" i="117"/>
  <c r="G237" i="117"/>
  <c r="G206" i="117"/>
  <c r="G190" i="117"/>
  <c r="G158" i="117"/>
  <c r="G95" i="117"/>
  <c r="G46" i="117"/>
  <c r="G31" i="117"/>
  <c r="G223" i="117"/>
  <c r="G221" i="117"/>
  <c r="G187" i="117"/>
  <c r="G173" i="117"/>
  <c r="G165" i="117"/>
  <c r="G159" i="117"/>
  <c r="G151" i="117"/>
  <c r="G147" i="117"/>
  <c r="G142" i="117"/>
  <c r="G136" i="117"/>
  <c r="G127" i="117"/>
  <c r="G119" i="117"/>
  <c r="G113" i="117"/>
  <c r="G104" i="117"/>
  <c r="G99" i="117"/>
  <c r="G93" i="117"/>
  <c r="G87" i="117"/>
  <c r="G76" i="117"/>
  <c r="G70" i="117"/>
  <c r="G61" i="117"/>
  <c r="G55" i="117"/>
  <c r="G38" i="117"/>
  <c r="G21" i="117"/>
  <c r="G22" i="117"/>
  <c r="G23" i="117"/>
  <c r="G240" i="117"/>
  <c r="G233" i="117"/>
  <c r="G224" i="117"/>
  <c r="G217" i="117"/>
  <c r="G208" i="117"/>
  <c r="G200" i="117"/>
  <c r="G186" i="117"/>
  <c r="G172" i="117"/>
  <c r="G169" i="117"/>
  <c r="G156" i="117"/>
  <c r="G153" i="117"/>
  <c r="G144" i="117"/>
  <c r="G140" i="117"/>
  <c r="G137" i="117"/>
  <c r="G117" i="117"/>
  <c r="G111" i="117"/>
  <c r="G106" i="117"/>
  <c r="G91" i="117"/>
  <c r="G88" i="117"/>
  <c r="G82" i="117"/>
  <c r="G72" i="117"/>
  <c r="G66" i="117"/>
  <c r="G59" i="117"/>
  <c r="G56" i="117"/>
  <c r="G40" i="117"/>
  <c r="G34" i="117"/>
  <c r="G27" i="117"/>
  <c r="G25" i="117"/>
  <c r="G17" i="117"/>
  <c r="G11" i="117"/>
  <c r="G9" i="117"/>
  <c r="G250" i="117"/>
  <c r="G236" i="117"/>
  <c r="G229" i="117"/>
  <c r="G220" i="117"/>
  <c r="G213" i="117"/>
  <c r="G204" i="117"/>
  <c r="G182" i="117"/>
  <c r="G102" i="117"/>
  <c r="G52" i="117"/>
  <c r="G235" i="117"/>
  <c r="G219" i="117"/>
  <c r="G216" i="117"/>
  <c r="G209" i="117"/>
  <c r="G207" i="117"/>
  <c r="G194" i="117"/>
  <c r="G188" i="117"/>
  <c r="G178" i="117"/>
  <c r="G171" i="117"/>
  <c r="G164" i="117"/>
  <c r="G161" i="117"/>
  <c r="G155" i="117"/>
  <c r="G145" i="117"/>
  <c r="G139" i="117"/>
  <c r="G131" i="117"/>
  <c r="G125" i="117"/>
  <c r="G118" i="117"/>
  <c r="G115" i="117"/>
  <c r="G108" i="117"/>
  <c r="G101" i="117"/>
  <c r="G96" i="117"/>
  <c r="G90" i="117"/>
  <c r="G83" i="117"/>
  <c r="G80" i="117"/>
  <c r="G74" i="117"/>
  <c r="G67" i="117"/>
  <c r="G64" i="117"/>
  <c r="G58" i="117"/>
  <c r="G51" i="117"/>
  <c r="G48" i="117"/>
  <c r="G42" i="117"/>
  <c r="G35" i="117"/>
  <c r="G32" i="117"/>
  <c r="G26" i="117"/>
  <c r="G20" i="117"/>
  <c r="G16" i="117"/>
  <c r="G18" i="117"/>
  <c r="E252" i="117"/>
  <c r="G12" i="117"/>
  <c r="G6" i="117"/>
  <c r="G8" i="117"/>
  <c r="G13" i="117"/>
  <c r="D252" i="117"/>
  <c r="G202" i="117"/>
  <c r="G193" i="117"/>
  <c r="G185" i="117"/>
  <c r="G177" i="117"/>
  <c r="H251" i="117"/>
  <c r="G201" i="117"/>
  <c r="G189" i="117"/>
  <c r="G181" i="117"/>
  <c r="G251" i="117" l="1"/>
  <c r="A189" i="66"/>
  <c r="D140" i="66"/>
  <c r="D139" i="66" s="1"/>
  <c r="B140" i="66"/>
  <c r="B139" i="66"/>
  <c r="A139" i="66"/>
  <c r="D138" i="66"/>
  <c r="D137" i="66" s="1"/>
  <c r="B138" i="66"/>
  <c r="B137" i="66"/>
  <c r="A137" i="66"/>
  <c r="D26" i="66"/>
  <c r="D19" i="66"/>
  <c r="D17" i="66"/>
  <c r="D20" i="66"/>
  <c r="D34" i="66" l="1"/>
  <c r="A67" i="66" l="1"/>
  <c r="A9" i="66" l="1"/>
  <c r="D158" i="66" l="1"/>
  <c r="D101" i="66"/>
  <c r="D75" i="66"/>
  <c r="D302" i="66" l="1"/>
  <c r="D214" i="66" l="1"/>
  <c r="D47" i="66" l="1"/>
  <c r="H368" i="66" l="1"/>
  <c r="H365" i="66"/>
  <c r="H369" i="66" l="1"/>
  <c r="D33" i="66" l="1"/>
  <c r="A11" i="66"/>
  <c r="D32" i="66" l="1"/>
  <c r="A242" i="66" l="1"/>
  <c r="J197" i="66"/>
  <c r="D362" i="66" l="1"/>
  <c r="D361" i="66" s="1"/>
  <c r="A361" i="66"/>
  <c r="A95" i="66" l="1"/>
  <c r="A98" i="66"/>
  <c r="A100" i="66"/>
  <c r="A102" i="66"/>
  <c r="A104" i="66"/>
  <c r="A107" i="66"/>
  <c r="A109" i="66"/>
  <c r="A111" i="66"/>
  <c r="A113" i="66"/>
  <c r="A116" i="66"/>
  <c r="A118" i="66"/>
  <c r="A120" i="66"/>
  <c r="A122" i="66"/>
  <c r="A124" i="66"/>
  <c r="A126" i="66"/>
  <c r="A129" i="66"/>
  <c r="A131" i="66"/>
  <c r="A133" i="66"/>
  <c r="A135" i="66"/>
  <c r="A142" i="66"/>
  <c r="A145" i="66"/>
  <c r="A148" i="66"/>
  <c r="A150" i="66"/>
  <c r="A152" i="66"/>
  <c r="A154" i="66"/>
  <c r="A157" i="66"/>
  <c r="A159" i="66"/>
  <c r="A161" i="66"/>
  <c r="A163" i="66"/>
  <c r="A165" i="66"/>
  <c r="A167" i="66"/>
  <c r="A170" i="66"/>
  <c r="A172" i="66"/>
  <c r="A174" i="66"/>
  <c r="A176" i="66"/>
  <c r="A178" i="66"/>
  <c r="A180" i="66"/>
  <c r="A183" i="66"/>
  <c r="A185" i="66"/>
  <c r="A190" i="66"/>
  <c r="A194" i="66"/>
  <c r="A202" i="66"/>
  <c r="A209" i="66"/>
  <c r="A223" i="66"/>
  <c r="A228" i="66"/>
  <c r="A231" i="66"/>
  <c r="A233" i="66"/>
  <c r="A235" i="66"/>
  <c r="A238" i="66"/>
  <c r="A240" i="66"/>
  <c r="A245" i="66"/>
  <c r="A251" i="66"/>
  <c r="A253" i="66"/>
  <c r="A255" i="66"/>
  <c r="A262" i="66"/>
  <c r="A264" i="66"/>
  <c r="A274" i="66"/>
  <c r="A283" i="66"/>
  <c r="A285" i="66"/>
  <c r="A287" i="66"/>
  <c r="A291" i="66"/>
  <c r="A295" i="66"/>
  <c r="A297" i="66"/>
  <c r="A301" i="66"/>
  <c r="A303" i="66"/>
  <c r="A307" i="66"/>
  <c r="A309" i="66"/>
  <c r="A311" i="66"/>
  <c r="A313" i="66"/>
  <c r="A316" i="66"/>
  <c r="A319" i="66"/>
  <c r="A321" i="66"/>
  <c r="A324" i="66"/>
  <c r="A335" i="66"/>
  <c r="A337" i="66"/>
  <c r="A339" i="66"/>
  <c r="A341" i="66"/>
  <c r="A346" i="66"/>
  <c r="A348" i="66"/>
  <c r="A351" i="66"/>
  <c r="A353" i="66"/>
  <c r="A355" i="66"/>
  <c r="A359" i="66"/>
  <c r="A363" i="66"/>
  <c r="A128" i="66" l="1"/>
  <c r="A182" i="66"/>
  <c r="A345" i="66"/>
  <c r="A315" i="66"/>
  <c r="A306" i="66"/>
  <c r="A250" i="66"/>
  <c r="A244" i="66" s="1"/>
  <c r="A323" i="66"/>
  <c r="A350" i="66"/>
  <c r="A261" i="66"/>
  <c r="A230" i="66"/>
  <c r="A237" i="66"/>
  <c r="A193" i="66"/>
  <c r="A169" i="66"/>
  <c r="A156" i="66"/>
  <c r="A141" i="66"/>
  <c r="A115" i="66"/>
  <c r="A106" i="66"/>
  <c r="A97" i="66"/>
  <c r="A305" i="66" l="1"/>
  <c r="A222" i="66"/>
  <c r="G266" i="66"/>
  <c r="D364" i="66" l="1"/>
  <c r="D363" i="66" s="1"/>
  <c r="B363" i="66"/>
  <c r="A39" i="66"/>
  <c r="D155" i="66"/>
  <c r="D154" i="66" s="1"/>
  <c r="B155" i="66"/>
  <c r="B154" i="66"/>
  <c r="D153" i="66"/>
  <c r="B153" i="66"/>
  <c r="B152" i="66"/>
  <c r="B156" i="66"/>
  <c r="B157" i="66"/>
  <c r="D157" i="66"/>
  <c r="D152" i="66" l="1"/>
  <c r="D76" i="66" l="1"/>
  <c r="C76" i="66"/>
  <c r="I248" i="66" l="1"/>
  <c r="I204" i="66" l="1"/>
  <c r="D31" i="66" l="1"/>
  <c r="D13" i="66"/>
  <c r="D14" i="66"/>
  <c r="D15" i="66"/>
  <c r="D16" i="66"/>
  <c r="D21" i="66"/>
  <c r="D22" i="66"/>
  <c r="D23" i="66"/>
  <c r="D24" i="66"/>
  <c r="D25" i="66"/>
  <c r="D236" i="66" l="1"/>
  <c r="D235" i="66" s="1"/>
  <c r="B235" i="66"/>
  <c r="D234" i="66"/>
  <c r="D233" i="66" s="1"/>
  <c r="B233" i="66"/>
  <c r="B231" i="66"/>
  <c r="D230" i="66" l="1"/>
  <c r="D231" i="66"/>
  <c r="B209" i="66" l="1"/>
  <c r="D219" i="66" l="1"/>
  <c r="D221" i="66"/>
  <c r="D216" i="66"/>
  <c r="D212" i="66"/>
  <c r="D112" i="66"/>
  <c r="A68" i="66" l="1"/>
  <c r="D211" i="66" l="1"/>
  <c r="A6" i="66"/>
  <c r="D7" i="66"/>
  <c r="D8" i="66"/>
  <c r="D10" i="66"/>
  <c r="D9" i="66" s="1"/>
  <c r="D12" i="66"/>
  <c r="D27" i="66"/>
  <c r="D28" i="66"/>
  <c r="D29" i="66"/>
  <c r="D30" i="66"/>
  <c r="A35" i="66"/>
  <c r="D36" i="66"/>
  <c r="D35" i="66" s="1"/>
  <c r="A37" i="66"/>
  <c r="D38" i="66"/>
  <c r="D37" i="66" s="1"/>
  <c r="D40" i="66"/>
  <c r="D41" i="66"/>
  <c r="D42" i="66"/>
  <c r="D44" i="66"/>
  <c r="D43" i="66"/>
  <c r="D45" i="66"/>
  <c r="D46" i="66"/>
  <c r="A48" i="66"/>
  <c r="D49" i="66"/>
  <c r="D48" i="66" s="1"/>
  <c r="A50" i="66"/>
  <c r="D51" i="66"/>
  <c r="D50" i="66" s="1"/>
  <c r="B52" i="66"/>
  <c r="A53" i="66"/>
  <c r="B53" i="66"/>
  <c r="D54" i="66"/>
  <c r="D53" i="66" s="1"/>
  <c r="A55" i="66"/>
  <c r="B55" i="66"/>
  <c r="D56" i="66"/>
  <c r="D55" i="66" s="1"/>
  <c r="B57" i="66"/>
  <c r="A58" i="66"/>
  <c r="B58" i="66"/>
  <c r="D59" i="66"/>
  <c r="D60" i="66"/>
  <c r="D61" i="66"/>
  <c r="A62" i="66"/>
  <c r="B62" i="66"/>
  <c r="D63" i="66"/>
  <c r="D62" i="66" s="1"/>
  <c r="A64" i="66"/>
  <c r="B64" i="66"/>
  <c r="D65" i="66"/>
  <c r="D64" i="66" s="1"/>
  <c r="B66" i="66"/>
  <c r="B68" i="66"/>
  <c r="D69" i="66"/>
  <c r="D70" i="66"/>
  <c r="A71" i="66"/>
  <c r="B71" i="66"/>
  <c r="D72" i="66"/>
  <c r="D73" i="66"/>
  <c r="A74" i="66"/>
  <c r="D74" i="66" s="1"/>
  <c r="B74" i="66"/>
  <c r="D77" i="66"/>
  <c r="A78" i="66"/>
  <c r="B78" i="66"/>
  <c r="D79" i="66"/>
  <c r="D80" i="66"/>
  <c r="B81" i="66"/>
  <c r="A82" i="66"/>
  <c r="B82" i="66"/>
  <c r="D83" i="66"/>
  <c r="D82" i="66" s="1"/>
  <c r="A84" i="66"/>
  <c r="B84" i="66"/>
  <c r="D85" i="66"/>
  <c r="D84" i="66" s="1"/>
  <c r="B86" i="66"/>
  <c r="B87" i="66"/>
  <c r="A88" i="66"/>
  <c r="B88" i="66"/>
  <c r="D89" i="66"/>
  <c r="D88" i="66" s="1"/>
  <c r="A90" i="66"/>
  <c r="B90" i="66"/>
  <c r="D91" i="66"/>
  <c r="D90" i="66" s="1"/>
  <c r="A92" i="66"/>
  <c r="B92" i="66"/>
  <c r="D93" i="66"/>
  <c r="D92" i="66" s="1"/>
  <c r="B94" i="66"/>
  <c r="B95" i="66"/>
  <c r="D96" i="66"/>
  <c r="D95" i="66" s="1"/>
  <c r="B97" i="66"/>
  <c r="B98" i="66"/>
  <c r="D99" i="66"/>
  <c r="D98" i="66" s="1"/>
  <c r="B100" i="66"/>
  <c r="D100" i="66"/>
  <c r="B102" i="66"/>
  <c r="D103" i="66"/>
  <c r="D102" i="66" s="1"/>
  <c r="B104" i="66"/>
  <c r="D105" i="66"/>
  <c r="D104" i="66" s="1"/>
  <c r="B106" i="66"/>
  <c r="B107" i="66"/>
  <c r="D108" i="66"/>
  <c r="D107" i="66" s="1"/>
  <c r="B109" i="66"/>
  <c r="D110" i="66"/>
  <c r="D109" i="66" s="1"/>
  <c r="D111" i="66"/>
  <c r="D114" i="66"/>
  <c r="D113" i="66" s="1"/>
  <c r="B115" i="66"/>
  <c r="B116" i="66"/>
  <c r="D117" i="66"/>
  <c r="D116" i="66" s="1"/>
  <c r="B118" i="66"/>
  <c r="D119" i="66"/>
  <c r="D118" i="66" s="1"/>
  <c r="B120" i="66"/>
  <c r="D121" i="66"/>
  <c r="D120" i="66" s="1"/>
  <c r="B122" i="66"/>
  <c r="D123" i="66"/>
  <c r="D122" i="66" s="1"/>
  <c r="B124" i="66"/>
  <c r="B125" i="66"/>
  <c r="D125" i="66"/>
  <c r="D124" i="66" s="1"/>
  <c r="B126" i="66"/>
  <c r="B127" i="66"/>
  <c r="D127" i="66"/>
  <c r="D126" i="66" s="1"/>
  <c r="B128" i="66"/>
  <c r="B129" i="66"/>
  <c r="D130" i="66"/>
  <c r="D129" i="66" s="1"/>
  <c r="B131" i="66"/>
  <c r="D132" i="66"/>
  <c r="D131" i="66" s="1"/>
  <c r="B133" i="66"/>
  <c r="D134" i="66"/>
  <c r="D133" i="66" s="1"/>
  <c r="B135" i="66"/>
  <c r="D136" i="66"/>
  <c r="D135" i="66" s="1"/>
  <c r="B141" i="66"/>
  <c r="B142" i="66"/>
  <c r="D143" i="66"/>
  <c r="D144" i="66"/>
  <c r="B145" i="66"/>
  <c r="D146" i="66"/>
  <c r="D147" i="66"/>
  <c r="B148" i="66"/>
  <c r="D149" i="66"/>
  <c r="D148" i="66" s="1"/>
  <c r="B150" i="66"/>
  <c r="D151" i="66"/>
  <c r="D150" i="66" s="1"/>
  <c r="B159" i="66"/>
  <c r="D160" i="66"/>
  <c r="D159" i="66" s="1"/>
  <c r="B161" i="66"/>
  <c r="D162" i="66"/>
  <c r="D161" i="66" s="1"/>
  <c r="B163" i="66"/>
  <c r="D164" i="66"/>
  <c r="D163" i="66" s="1"/>
  <c r="B165" i="66"/>
  <c r="B166" i="66"/>
  <c r="D166" i="66"/>
  <c r="D165" i="66" s="1"/>
  <c r="B167" i="66"/>
  <c r="B168" i="66"/>
  <c r="D168" i="66"/>
  <c r="D167" i="66" s="1"/>
  <c r="B169" i="66"/>
  <c r="B170" i="66"/>
  <c r="D171" i="66"/>
  <c r="D170" i="66" s="1"/>
  <c r="B172" i="66"/>
  <c r="D173" i="66"/>
  <c r="D172" i="66" s="1"/>
  <c r="B174" i="66"/>
  <c r="D175" i="66"/>
  <c r="D174" i="66" s="1"/>
  <c r="B176" i="66"/>
  <c r="D177" i="66"/>
  <c r="D176" i="66" s="1"/>
  <c r="B178" i="66"/>
  <c r="D179" i="66"/>
  <c r="D178" i="66" s="1"/>
  <c r="B180" i="66"/>
  <c r="D181" i="66"/>
  <c r="D180" i="66" s="1"/>
  <c r="B182" i="66"/>
  <c r="B183" i="66"/>
  <c r="D184" i="66"/>
  <c r="D183" i="66" s="1"/>
  <c r="B185" i="66"/>
  <c r="D186" i="66"/>
  <c r="D185" i="66" s="1"/>
  <c r="B187" i="66"/>
  <c r="B188" i="66"/>
  <c r="B190" i="66"/>
  <c r="D191" i="66"/>
  <c r="D192" i="66"/>
  <c r="B193" i="66"/>
  <c r="B194" i="66"/>
  <c r="D195" i="66"/>
  <c r="D196" i="66"/>
  <c r="D197" i="66"/>
  <c r="D198" i="66"/>
  <c r="D199" i="66"/>
  <c r="D200" i="66"/>
  <c r="D201" i="66"/>
  <c r="B202" i="66"/>
  <c r="D203" i="66"/>
  <c r="D204" i="66"/>
  <c r="D205" i="66"/>
  <c r="D206" i="66"/>
  <c r="D207" i="66"/>
  <c r="D208" i="66"/>
  <c r="D210" i="66"/>
  <c r="D213" i="66"/>
  <c r="D215" i="66"/>
  <c r="D217" i="66"/>
  <c r="D218" i="66"/>
  <c r="B222" i="66"/>
  <c r="B223" i="66"/>
  <c r="D224" i="66"/>
  <c r="D225" i="66"/>
  <c r="D226" i="66"/>
  <c r="D227" i="66"/>
  <c r="B228" i="66"/>
  <c r="D229" i="66"/>
  <c r="D228" i="66" s="1"/>
  <c r="B230" i="66"/>
  <c r="D232" i="66"/>
  <c r="B237" i="66"/>
  <c r="B238" i="66"/>
  <c r="B240" i="66"/>
  <c r="D241" i="66"/>
  <c r="D240" i="66" s="1"/>
  <c r="B242" i="66"/>
  <c r="B244" i="66"/>
  <c r="B245" i="66"/>
  <c r="D246" i="66"/>
  <c r="D247" i="66"/>
  <c r="D248" i="66"/>
  <c r="D249" i="66"/>
  <c r="B250" i="66"/>
  <c r="B251" i="66"/>
  <c r="D252" i="66"/>
  <c r="D251" i="66" s="1"/>
  <c r="B253" i="66"/>
  <c r="D254" i="66"/>
  <c r="D253" i="66" s="1"/>
  <c r="B255" i="66"/>
  <c r="D256" i="66"/>
  <c r="D257" i="66"/>
  <c r="D258" i="66"/>
  <c r="B261" i="66"/>
  <c r="B262" i="66"/>
  <c r="D263" i="66"/>
  <c r="D262" i="66" s="1"/>
  <c r="B264" i="66"/>
  <c r="D265" i="66"/>
  <c r="D266" i="66"/>
  <c r="D267" i="66"/>
  <c r="D268" i="66"/>
  <c r="D269" i="66"/>
  <c r="D270" i="66"/>
  <c r="D271" i="66"/>
  <c r="D272" i="66"/>
  <c r="D273" i="66"/>
  <c r="B274" i="66"/>
  <c r="D275" i="66"/>
  <c r="D276" i="66"/>
  <c r="D277" i="66"/>
  <c r="D278" i="66"/>
  <c r="D279" i="66"/>
  <c r="D280" i="66"/>
  <c r="D281" i="66"/>
  <c r="D282" i="66"/>
  <c r="B283" i="66"/>
  <c r="D284" i="66"/>
  <c r="D283" i="66" s="1"/>
  <c r="B285" i="66"/>
  <c r="D286" i="66"/>
  <c r="D285" i="66" s="1"/>
  <c r="B287" i="66"/>
  <c r="D288" i="66"/>
  <c r="D289" i="66"/>
  <c r="D290" i="66"/>
  <c r="D291" i="66"/>
  <c r="B291" i="66"/>
  <c r="D292" i="66"/>
  <c r="D293" i="66"/>
  <c r="D294" i="66"/>
  <c r="B295" i="66"/>
  <c r="D296" i="66"/>
  <c r="D295" i="66" s="1"/>
  <c r="B297" i="66"/>
  <c r="D298" i="66"/>
  <c r="D299" i="66"/>
  <c r="D300" i="66"/>
  <c r="B301" i="66"/>
  <c r="D301" i="66"/>
  <c r="B303" i="66"/>
  <c r="C304" i="66"/>
  <c r="D304" i="66"/>
  <c r="D303" i="66" s="1"/>
  <c r="B305" i="66"/>
  <c r="B306" i="66"/>
  <c r="B307" i="66"/>
  <c r="D308" i="66"/>
  <c r="D307" i="66" s="1"/>
  <c r="B309" i="66"/>
  <c r="D310" i="66"/>
  <c r="D309" i="66" s="1"/>
  <c r="B311" i="66"/>
  <c r="D312" i="66"/>
  <c r="D311" i="66" s="1"/>
  <c r="B313" i="66"/>
  <c r="D314" i="66"/>
  <c r="D313" i="66" s="1"/>
  <c r="B315" i="66"/>
  <c r="B316" i="66"/>
  <c r="D317" i="66"/>
  <c r="D318" i="66"/>
  <c r="B319" i="66"/>
  <c r="D320" i="66"/>
  <c r="D319" i="66" s="1"/>
  <c r="B321" i="66"/>
  <c r="D322" i="66"/>
  <c r="D321" i="66" s="1"/>
  <c r="B323" i="66"/>
  <c r="B324" i="66"/>
  <c r="D325" i="66"/>
  <c r="D326" i="66"/>
  <c r="D327" i="66"/>
  <c r="D328" i="66"/>
  <c r="D329" i="66"/>
  <c r="D330" i="66"/>
  <c r="D331" i="66"/>
  <c r="D332" i="66"/>
  <c r="D333" i="66"/>
  <c r="D334" i="66"/>
  <c r="B335" i="66"/>
  <c r="D336" i="66"/>
  <c r="D335" i="66" s="1"/>
  <c r="B337" i="66"/>
  <c r="D338" i="66"/>
  <c r="D337" i="66" s="1"/>
  <c r="B339" i="66"/>
  <c r="D340" i="66"/>
  <c r="D339" i="66" s="1"/>
  <c r="B341" i="66"/>
  <c r="G343" i="66"/>
  <c r="G344" i="66"/>
  <c r="G348" i="66" s="1"/>
  <c r="B345" i="66"/>
  <c r="G345" i="66"/>
  <c r="G351" i="66" s="1"/>
  <c r="B346" i="66"/>
  <c r="D347" i="66"/>
  <c r="D346" i="66" s="1"/>
  <c r="B348" i="66"/>
  <c r="D349" i="66"/>
  <c r="D348" i="66" s="1"/>
  <c r="B350" i="66"/>
  <c r="C351" i="66"/>
  <c r="C352" i="66"/>
  <c r="D352" i="66"/>
  <c r="D351" i="66" s="1"/>
  <c r="B353" i="66"/>
  <c r="D354" i="66"/>
  <c r="D353" i="66" s="1"/>
  <c r="B355" i="66"/>
  <c r="G355" i="66"/>
  <c r="D356" i="66"/>
  <c r="D355" i="66" s="1"/>
  <c r="B357" i="66"/>
  <c r="B358" i="66"/>
  <c r="B359" i="66"/>
  <c r="D360" i="66"/>
  <c r="D359" i="66" s="1"/>
  <c r="B365" i="66"/>
  <c r="D128" i="66" l="1"/>
  <c r="D11" i="66"/>
  <c r="D39" i="66"/>
  <c r="D156" i="66"/>
  <c r="D220" i="66"/>
  <c r="D209" i="66" s="1"/>
  <c r="D145" i="66"/>
  <c r="D142" i="66"/>
  <c r="D71" i="66"/>
  <c r="D115" i="66"/>
  <c r="A81" i="66"/>
  <c r="A52" i="66"/>
  <c r="D255" i="66"/>
  <c r="D68" i="66"/>
  <c r="D6" i="66"/>
  <c r="D306" i="66"/>
  <c r="D190" i="66"/>
  <c r="A87" i="66"/>
  <c r="D81" i="66"/>
  <c r="D182" i="66"/>
  <c r="D243" i="66"/>
  <c r="D242" i="66" s="1"/>
  <c r="D97" i="66"/>
  <c r="D169" i="66"/>
  <c r="D245" i="66"/>
  <c r="D202" i="66"/>
  <c r="G347" i="66"/>
  <c r="D78" i="66"/>
  <c r="D58" i="66"/>
  <c r="D57" i="66" s="1"/>
  <c r="A57" i="66"/>
  <c r="D52" i="66"/>
  <c r="D87" i="66"/>
  <c r="A5" i="66"/>
  <c r="D194" i="66"/>
  <c r="D264" i="66"/>
  <c r="D250" i="66"/>
  <c r="D316" i="66"/>
  <c r="D287" i="66"/>
  <c r="D274" i="66"/>
  <c r="D239" i="66"/>
  <c r="D238" i="66" s="1"/>
  <c r="D106" i="66"/>
  <c r="D350" i="66"/>
  <c r="D342" i="66"/>
  <c r="D341" i="66" s="1"/>
  <c r="D324" i="66"/>
  <c r="D345" i="66"/>
  <c r="D297" i="66"/>
  <c r="D223" i="66"/>
  <c r="D141" i="66" l="1"/>
  <c r="D244" i="66"/>
  <c r="D323" i="66"/>
  <c r="D5" i="66"/>
  <c r="D315" i="66"/>
  <c r="D261" i="66"/>
  <c r="D237" i="66"/>
  <c r="D222" i="66" s="1"/>
  <c r="D193" i="66"/>
  <c r="D305" i="66" l="1"/>
  <c r="D343" i="66" s="1"/>
  <c r="A366" i="66" l="1"/>
  <c r="A365" i="66" l="1"/>
  <c r="A358" i="66" s="1"/>
  <c r="A357" i="66" s="1"/>
  <c r="D366" i="66" l="1"/>
  <c r="D365" i="66" s="1"/>
  <c r="D358" i="66" s="1"/>
  <c r="D357" i="66" s="1"/>
  <c r="D367" i="66" l="1"/>
  <c r="D371" i="66" l="1"/>
  <c r="A66" i="66" l="1"/>
  <c r="A4" i="66" s="1"/>
  <c r="A3" i="66" s="1"/>
  <c r="H6" i="66"/>
  <c r="D189" i="66" l="1"/>
  <c r="D188" i="66" s="1"/>
  <c r="D187" i="66" s="1"/>
  <c r="D94" i="66" s="1"/>
  <c r="D86" i="66" s="1"/>
  <c r="D67" i="66"/>
  <c r="D66" i="66" s="1"/>
  <c r="A188" i="66"/>
  <c r="A187" i="66" s="1"/>
  <c r="A94" i="66" s="1"/>
  <c r="A86" i="66" l="1"/>
  <c r="D4" i="66"/>
  <c r="D3" i="66" s="1"/>
  <c r="D259" i="66" s="1"/>
  <c r="G259" i="66" l="1"/>
  <c r="H259" i="66" s="1"/>
  <c r="D368" i="66"/>
  <c r="D369" i="66"/>
</calcChain>
</file>

<file path=xl/comments1.xml><?xml version="1.0" encoding="utf-8"?>
<comments xmlns="http://schemas.openxmlformats.org/spreadsheetml/2006/main">
  <authors>
    <author>홍길둥-0000</author>
  </authors>
  <commentList>
    <comment ref="D258" authorId="0" shapeId="0">
      <text>
        <r>
          <rPr>
            <sz val="9"/>
            <color indexed="81"/>
            <rFont val="돋움"/>
            <family val="3"/>
            <charset val="129"/>
          </rPr>
          <t>감가상각 누계액 누락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<sst xmlns="http://schemas.openxmlformats.org/spreadsheetml/2006/main" count="1795" uniqueCount="888">
  <si>
    <t>　            현금성자산/MMDA</t>
  </si>
  <si>
    <t>　            현금성자산/정기예금</t>
  </si>
  <si>
    <t>　            장기대여금/학자금</t>
  </si>
  <si>
    <t>　            미수금(고객/건별)</t>
  </si>
  <si>
    <t>&lt; 서울교통공사 재무상태표 세부 Ver.&gt;</t>
  </si>
  <si>
    <t>　            미수금(GL/기타)</t>
  </si>
  <si>
    <t>　         (미수금대손충당금)</t>
  </si>
  <si>
    <t>　            현금/역보관금</t>
  </si>
  <si>
    <t>　         (매출채권대손충당금)</t>
  </si>
  <si>
    <t>　            현금/현금(고객)</t>
  </si>
  <si>
    <t>　            선급부가세(조정)</t>
  </si>
  <si>
    <t>　            미수금대손충당금</t>
  </si>
  <si>
    <t>　            단기금융상품/기타</t>
  </si>
  <si>
    <t>　            장기금융상품/기타</t>
  </si>
  <si>
    <t>　            매출채권대손충당금</t>
  </si>
  <si>
    <t>　           미수금대손충당금</t>
  </si>
  <si>
    <t>　           지분법적용투자주식</t>
  </si>
  <si>
    <t>　            현금성자산/MMW</t>
  </si>
  <si>
    <t>　            국고보조금/현금</t>
  </si>
  <si>
    <t>　            미수수익/예금이자</t>
  </si>
  <si>
    <t>　            국고보조금/내진보강</t>
  </si>
  <si>
    <t>　           선급비용/선급보험료</t>
  </si>
  <si>
    <t>　          선급비용/선급보험료</t>
  </si>
  <si>
    <t>　            기타의당좌자산</t>
  </si>
  <si>
    <t>　            전동차량/궤도차</t>
  </si>
  <si>
    <t>　          미지급금/공채이자</t>
  </si>
  <si>
    <t>　          국고/감가상각누계액</t>
  </si>
  <si>
    <t>　        ③ (수탁자산보조금)</t>
  </si>
  <si>
    <t>　          기타의비유동자산/불용품</t>
  </si>
  <si>
    <t>　          미지급비용/퇴직급여</t>
  </si>
  <si>
    <t>　          미지급금/미확정채무</t>
  </si>
  <si>
    <t>　        ② (감가상각누계액)</t>
  </si>
  <si>
    <t>　          미지급비용/차입이자</t>
  </si>
  <si>
    <t>　          미지급비용/사채이자</t>
  </si>
  <si>
    <t>　          장기미수금(건별)</t>
  </si>
  <si>
    <t>　          미지급비용/연차휴가</t>
  </si>
  <si>
    <t>　          미지급비용/공채이자</t>
  </si>
  <si>
    <t>　          보증금/전신전화가입권</t>
  </si>
  <si>
    <t>　          유동성장기부채/사채</t>
  </si>
  <si>
    <t>　          미지급금/연락운임</t>
  </si>
  <si>
    <t>　          미지급금/연락반환금</t>
  </si>
  <si>
    <t>　          미지급비용/평가급추정</t>
  </si>
  <si>
    <t>　          공기구비품수탁자산</t>
  </si>
  <si>
    <t>　          예수부가세간주매출</t>
  </si>
  <si>
    <t>　          유동성장기부채/공채</t>
  </si>
  <si>
    <t>　          예수부가세(조정)</t>
  </si>
  <si>
    <t>　            전동차량/전동차</t>
  </si>
  <si>
    <t>　          장기미수금대손충당금</t>
  </si>
  <si>
    <t>　          예수보증금/영업(건별)</t>
  </si>
  <si>
    <t>　          차량운반구수탁자산</t>
  </si>
  <si>
    <t>　          보증금/임차보증금</t>
  </si>
  <si>
    <t>　          미지급금/공채원금</t>
  </si>
  <si>
    <t>　          기타의비유동자산/기타</t>
  </si>
  <si>
    <t>　          수탁자산소프트웨어</t>
  </si>
  <si>
    <t>　          [매]퇴직급여충당부채</t>
  </si>
  <si>
    <t>　          기타비유동부채/보증금</t>
  </si>
  <si>
    <t>　         장기미지급금(건별)</t>
  </si>
  <si>
    <t>　          예수보증금/구매(건별)</t>
  </si>
  <si>
    <t>　          [판]퇴직급여충당부채</t>
  </si>
  <si>
    <t>　          건설중수탁자산취득보조금</t>
  </si>
  <si>
    <t>　            공채/1~4호선</t>
  </si>
  <si>
    <t>　         장기미지급금(역무)</t>
  </si>
  <si>
    <t>　          장기성매입채무/현할차</t>
  </si>
  <si>
    <t>　        ⑤ (지방자치단체보조금)</t>
  </si>
  <si>
    <t>　          지방자치단체보조금</t>
  </si>
  <si>
    <t>　         매도가능증권평가차손익</t>
  </si>
  <si>
    <t xml:space="preserve">             지방자치단체보조금</t>
  </si>
  <si>
    <t>　          지자체/감가상각누계액</t>
  </si>
  <si>
    <t>법인세비용차감전순이익(손실)</t>
  </si>
  <si>
    <t>　     (2) 건물</t>
  </si>
  <si>
    <t>　           미착품</t>
  </si>
  <si>
    <t>　     (4) 매출채권</t>
  </si>
  <si>
    <t>　     (3) 단기대여금</t>
  </si>
  <si>
    <t>　     (5) 미수금</t>
  </si>
  <si>
    <t>　     (7) 선급금</t>
  </si>
  <si>
    <t>　     (2) 미착품</t>
  </si>
  <si>
    <t>　     (2) 장기대여금</t>
  </si>
  <si>
    <t>　        ① 미수금</t>
  </si>
  <si>
    <t>　     (1) 토지</t>
  </si>
  <si>
    <t>　        ② 보통예금</t>
  </si>
  <si>
    <t>손  익  계  산  서</t>
  </si>
  <si>
    <t>　     (6) 미수수익</t>
  </si>
  <si>
    <t>　        ① 현금</t>
  </si>
  <si>
    <t>　           선급금</t>
  </si>
  <si>
    <t>　     (1) 저장품</t>
  </si>
  <si>
    <t>　           저장품</t>
  </si>
  <si>
    <t>　          선급금</t>
  </si>
  <si>
    <t>　          토지</t>
  </si>
  <si>
    <t>　     (4) 선로설비</t>
  </si>
  <si>
    <t>　        ① 전로설비</t>
  </si>
  <si>
    <t>　        ① 전동차량</t>
  </si>
  <si>
    <t>　     (7) 차량운반구</t>
  </si>
  <si>
    <t>　     (8) 공기구비품</t>
  </si>
  <si>
    <t>　     (3) 기계장치</t>
  </si>
  <si>
    <t>　        ① 선로설비</t>
  </si>
  <si>
    <t>　     (5) 전로설비</t>
  </si>
  <si>
    <t>　        ① 기계장치</t>
  </si>
  <si>
    <t>　          전로설비</t>
  </si>
  <si>
    <t>　     (6) 전동차량</t>
  </si>
  <si>
    <t>　          기계장치</t>
  </si>
  <si>
    <t>　        ① 건물</t>
  </si>
  <si>
    <t>　          선로설비</t>
  </si>
  <si>
    <t>　          건물</t>
  </si>
  <si>
    <t>　          사채</t>
  </si>
  <si>
    <t>　     (3) 소프트웨어</t>
  </si>
  <si>
    <t>　     (1) 보증금</t>
  </si>
  <si>
    <t>　     (2) 장기미수금</t>
  </si>
  <si>
    <t>　         장기미수금</t>
  </si>
  <si>
    <t>　     (1) 산업재산권</t>
  </si>
  <si>
    <t>　          특허권</t>
  </si>
  <si>
    <t>　          상표권</t>
  </si>
  <si>
    <t>　         소프트웨어</t>
  </si>
  <si>
    <t>　  11. 기타유동부채</t>
  </si>
  <si>
    <t>　         차지권</t>
  </si>
  <si>
    <t>　          예치금</t>
  </si>
  <si>
    <t>　     (2) 차지권</t>
  </si>
  <si>
    <t>　  4. 기타의비유동자산</t>
  </si>
  <si>
    <t>　          선수금</t>
  </si>
  <si>
    <t>　          예수금</t>
  </si>
  <si>
    <t>　          의장권</t>
  </si>
  <si>
    <t>　  6. 유동성장기부채</t>
  </si>
  <si>
    <t>　          선수수익</t>
  </si>
  <si>
    <t>　  10. 소송충당부채</t>
  </si>
  <si>
    <t>　         사채</t>
  </si>
  <si>
    <t>영 업 비 용 명 세 서</t>
  </si>
  <si>
    <t>　         출자준비금</t>
  </si>
  <si>
    <t>　  4. 장기미지급금</t>
  </si>
  <si>
    <t>　     (8) 선급비용</t>
  </si>
  <si>
    <t>　  8. 기타비유동부채</t>
  </si>
  <si>
    <t>　  6. 퇴직급여충당부채</t>
  </si>
  <si>
    <t>　  5. 장기미지급비용</t>
  </si>
  <si>
    <t>　         공채</t>
  </si>
  <si>
    <t>　  1. 미처분이익잉여금</t>
  </si>
  <si>
    <t>　II. 기타포괄손익누계액</t>
  </si>
  <si>
    <t>　        장기미지급금</t>
  </si>
  <si>
    <t>　  9. 이연법인세부채</t>
  </si>
  <si>
    <t>　         자본금</t>
  </si>
  <si>
    <t>　         장기차입금</t>
  </si>
  <si>
    <t>　  7. 장기선수수익</t>
  </si>
  <si>
    <t>　  2. 재평가잉여금</t>
  </si>
  <si>
    <t>9호선 2-3단계 운영</t>
  </si>
  <si>
    <t>유형자산손상차손</t>
  </si>
  <si>
    <t>유형자산폐기손실</t>
  </si>
  <si>
    <t>기타의대손상각비환입</t>
  </si>
  <si>
    <t>기타의대손상각비</t>
  </si>
  <si>
    <t>투자자산처분손실</t>
  </si>
  <si>
    <t>투자자산처분이익</t>
  </si>
  <si>
    <t>유형자산처분이익</t>
  </si>
  <si>
    <t>재고자산폐기손실</t>
  </si>
  <si>
    <t>유형자산처분손실</t>
  </si>
  <si>
    <t>무형자산손상차손</t>
  </si>
  <si>
    <t>　          [매]퇴직급여충당부채/9호선운영사업</t>
  </si>
  <si>
    <t>　          [판]퇴직급여충당부채/5-8호선</t>
  </si>
  <si>
    <t>　        ⑥ 지방자치단체보조금/감가상각누계액</t>
  </si>
  <si>
    <t>　            단기대여금/장기대체/학자금대여</t>
  </si>
  <si>
    <t>　            매출채권/외상매출금 고객/건별</t>
  </si>
  <si>
    <t>　        (현금및현금성자산 수탁자산취득보조금)</t>
  </si>
  <si>
    <t>부                          채</t>
  </si>
  <si>
    <t>자                          산</t>
  </si>
  <si>
    <t>자                          본</t>
  </si>
  <si>
    <t>　            전동차량/궤도차/감가상각누계액</t>
  </si>
  <si>
    <t>　          미지급금/유동성장기미지급금/현할차</t>
  </si>
  <si>
    <t>　            전동차량/전동차/감가상각누계액</t>
  </si>
  <si>
    <t>　     (9) 당기법인세자산</t>
  </si>
  <si>
    <t>　          건설중수탁자산</t>
  </si>
  <si>
    <t>　     (10) 선급부가세</t>
  </si>
  <si>
    <t>수 탁 사 업 원 가 명 세 서</t>
  </si>
  <si>
    <t>　     (11) 기타의당좌자산</t>
  </si>
  <si>
    <t>운 영 사 업 원 가 명 세 서</t>
  </si>
  <si>
    <t>9호선수탁자산(2018년까지)</t>
  </si>
  <si>
    <t>　  1. 매도가능증권평가차손익</t>
  </si>
  <si>
    <t>　          감가상각누계액</t>
  </si>
  <si>
    <t>　          선급법인세</t>
  </si>
  <si>
    <t>　          공기구비품</t>
  </si>
  <si>
    <t>　        ① 기타의유형자산</t>
  </si>
  <si>
    <t>　     (10) 건설중인자산</t>
  </si>
  <si>
    <t>　     (2) 단기금융상품</t>
  </si>
  <si>
    <t>　        ④ 현금성자산</t>
  </si>
  <si>
    <t>　     (1) 장기금융상품</t>
  </si>
  <si>
    <t>　        ③ (정부보조금)</t>
  </si>
  <si>
    <t>　          국고보조금</t>
  </si>
  <si>
    <t>　        ① 차량운반구</t>
  </si>
  <si>
    <t>　     (9) 기타의유형자산</t>
  </si>
  <si>
    <t>　          기타의유형자산</t>
  </si>
  <si>
    <t>　        ① 건설중인자산</t>
  </si>
  <si>
    <t>　        ③ 현금성자산</t>
  </si>
  <si>
    <t>　            현금/현금</t>
  </si>
  <si>
    <t>　     (1) 현금및현금성자산</t>
  </si>
  <si>
    <t>　        ① 외상매출금</t>
  </si>
  <si>
    <t>　           선급비용/기타</t>
  </si>
  <si>
    <t>　          선급비용/기타</t>
  </si>
  <si>
    <t>　           선급법인세</t>
  </si>
  <si>
    <t>　            보통예금</t>
  </si>
  <si>
    <t>　     (3) 지분법적용투자주식</t>
  </si>
  <si>
    <t>　           선급지방세</t>
  </si>
  <si>
    <t>　        ① 공기구비품</t>
  </si>
  <si>
    <t>　          선급지방세</t>
  </si>
  <si>
    <t>　            선급부가세</t>
  </si>
  <si>
    <t>　          장기미지급비용</t>
  </si>
  <si>
    <t>　        (국민연금전환금)</t>
  </si>
  <si>
    <t>　          선로설비수탁자산</t>
  </si>
  <si>
    <t>　          장기선수수익</t>
  </si>
  <si>
    <t>　          미지급급/기타</t>
  </si>
  <si>
    <t>　          건설중인자산</t>
  </si>
  <si>
    <t>　          기계장치수탁자산</t>
  </si>
  <si>
    <t>　          단기차입금</t>
  </si>
  <si>
    <t>　        (사채할인발행차금)</t>
  </si>
  <si>
    <t>　        (현재가치할인차금)</t>
  </si>
  <si>
    <t>　          미지급금(건별)</t>
  </si>
  <si>
    <t>　        퇴직급여충당부채</t>
  </si>
  <si>
    <t>　          국민연금전환금</t>
  </si>
  <si>
    <t>　        ② (정부보조금)</t>
  </si>
  <si>
    <t>　     (11) 유형자산수탁자산</t>
  </si>
  <si>
    <t>　        ① 유형자산수탁자산</t>
  </si>
  <si>
    <t>　          예수보증금</t>
  </si>
  <si>
    <t>　          사채발행차금</t>
  </si>
  <si>
    <t>　         (대손충당금)</t>
  </si>
  <si>
    <t>　          보증금/기타</t>
  </si>
  <si>
    <t>　          미지급비용/급여</t>
  </si>
  <si>
    <t>　          소송충당부채</t>
  </si>
  <si>
    <t>　        ① 무형자산수탁자산</t>
  </si>
  <si>
    <t>　          전로설비수탁자산</t>
  </si>
  <si>
    <t>　     (4) 무형자산수탁자산</t>
  </si>
  <si>
    <t>　     (3) 기타비유동자산</t>
  </si>
  <si>
    <t>　          기타비유동자산</t>
  </si>
  <si>
    <t>　          실용신안권</t>
  </si>
  <si>
    <t>　          예수부가세</t>
  </si>
  <si>
    <t>　            보증금</t>
  </si>
  <si>
    <t>　          전동차량수탁자산</t>
  </si>
  <si>
    <t>　          미지급비용/기타</t>
  </si>
  <si>
    <t>　         전기이월결손금</t>
  </si>
  <si>
    <t>　         당기순이익(손실)</t>
  </si>
  <si>
    <t>　        당기순이익(손실)</t>
  </si>
  <si>
    <t>　          이연법인세부채</t>
  </si>
  <si>
    <t>　         재평가잉여금</t>
  </si>
  <si>
    <t>　        전기이월결손금</t>
  </si>
  <si>
    <t>자본금　　　　　　　　　　　　　　</t>
  </si>
  <si>
    <t>잡비</t>
  </si>
  <si>
    <t>보조금</t>
  </si>
  <si>
    <t>포상비</t>
  </si>
  <si>
    <t>기부금</t>
  </si>
  <si>
    <t>급여</t>
  </si>
  <si>
    <t>잡손실</t>
  </si>
  <si>
    <t>보험료</t>
  </si>
  <si>
    <t>임차료</t>
  </si>
  <si>
    <t>잡이익</t>
  </si>
  <si>
    <t>IV.</t>
  </si>
  <si>
    <t>(4)</t>
  </si>
  <si>
    <t>(2)</t>
  </si>
  <si>
    <t>V.</t>
  </si>
  <si>
    <t>매출액</t>
  </si>
  <si>
    <t>VI.</t>
  </si>
  <si>
    <t>2.</t>
  </si>
  <si>
    <t>Ⅱ.</t>
  </si>
  <si>
    <t>X.</t>
  </si>
  <si>
    <t>선급금</t>
  </si>
  <si>
    <t>자본</t>
  </si>
  <si>
    <t>결손금</t>
  </si>
  <si>
    <t>자본금</t>
  </si>
  <si>
    <t>IX.</t>
  </si>
  <si>
    <t>1.</t>
  </si>
  <si>
    <t>공채</t>
  </si>
  <si>
    <t>Ⅰ.</t>
  </si>
  <si>
    <t>(3)</t>
  </si>
  <si>
    <t>부채</t>
  </si>
  <si>
    <t>.</t>
  </si>
  <si>
    <t>예수금</t>
  </si>
  <si>
    <t>(1)</t>
  </si>
  <si>
    <t xml:space="preserve"> </t>
  </si>
  <si>
    <t>사채</t>
  </si>
  <si>
    <t>선수금</t>
  </si>
  <si>
    <t>보증금</t>
  </si>
  <si>
    <t>건물</t>
  </si>
  <si>
    <t>미착품</t>
  </si>
  <si>
    <t>토지</t>
  </si>
  <si>
    <t>저장품</t>
  </si>
  <si>
    <t>인건비</t>
  </si>
  <si>
    <t>미수금</t>
  </si>
  <si>
    <t>경비</t>
  </si>
  <si>
    <t>총계</t>
  </si>
  <si>
    <t>4.</t>
  </si>
  <si>
    <t>차지권</t>
  </si>
  <si>
    <t>공기구</t>
  </si>
  <si>
    <t>-</t>
  </si>
  <si>
    <t>총비용</t>
  </si>
  <si>
    <t>총수익</t>
  </si>
  <si>
    <t>순이익</t>
  </si>
  <si>
    <t>(지자체보조금)</t>
  </si>
  <si>
    <t>7호선 연장구간</t>
  </si>
  <si>
    <t>잠실광역환승센터</t>
  </si>
  <si>
    <t>제로페이(가지급금)</t>
  </si>
  <si>
    <t>매도가능증권평가차손익</t>
  </si>
  <si>
    <t>수탁원가</t>
  </si>
  <si>
    <t>영업비용</t>
  </si>
  <si>
    <t xml:space="preserve">              지방자치단체보조금/현금</t>
  </si>
  <si>
    <t>(단위 : 원)</t>
  </si>
  <si>
    <t>영업이익(손실)</t>
  </si>
  <si>
    <t>과        목</t>
  </si>
  <si>
    <t>매출총이익(손실)</t>
  </si>
  <si>
    <t>당기순이익(손실)</t>
  </si>
  <si>
    <t>　Ⅰ. 유동자산</t>
  </si>
  <si>
    <t>대손상각비(환입)</t>
  </si>
  <si>
    <t>ERP 상 금액</t>
  </si>
  <si>
    <t>서울교통공사 금액</t>
  </si>
  <si>
    <t>서울교통공사 계정</t>
  </si>
  <si>
    <t>　  1. 당좌자산</t>
  </si>
  <si>
    <t>　  1. 투자자산</t>
  </si>
  <si>
    <t>　  2. 유형자산</t>
  </si>
  <si>
    <t>　  2. 재고자산</t>
  </si>
  <si>
    <t>　Ⅱ.비유동자산</t>
  </si>
  <si>
    <t>　  3. 무형자산</t>
  </si>
  <si>
    <t>　Ⅰ. 유동부채</t>
  </si>
  <si>
    <t>　  4. 선수금</t>
  </si>
  <si>
    <t>　  3. 미지급비용</t>
  </si>
  <si>
    <t>　  1. 단기차입금</t>
  </si>
  <si>
    <t>　  5. 예수금</t>
  </si>
  <si>
    <t>　  2. 미지급금</t>
  </si>
  <si>
    <t xml:space="preserve"> 　II. 비유동부채</t>
  </si>
  <si>
    <t>　  2. 공채</t>
  </si>
  <si>
    <t>　  8. 선수수익</t>
  </si>
  <si>
    <t>　  9. 예수보증금</t>
  </si>
  <si>
    <t>　  1. 사채</t>
  </si>
  <si>
    <t>　  7. 예수부가세</t>
  </si>
  <si>
    <t>　  3. 장기차입금</t>
  </si>
  <si>
    <t>　III. 이익잉여금</t>
  </si>
  <si>
    <t>　  2. 출자준비금</t>
  </si>
  <si>
    <t>　  1. 납입자본금</t>
  </si>
  <si>
    <t>기타포괄손익누계액</t>
  </si>
  <si>
    <t>(사채할인발행차금)</t>
  </si>
  <si>
    <t>퇴직급여충당부채</t>
  </si>
  <si>
    <t>(국민연금전환금)</t>
  </si>
  <si>
    <t>(현재가치할인차금)</t>
  </si>
  <si>
    <t>기타의비유동부채</t>
  </si>
  <si>
    <t>유형자산수탁자산</t>
  </si>
  <si>
    <t>(수탁자산보조금)</t>
  </si>
  <si>
    <t>기타의비유동자산</t>
  </si>
  <si>
    <t>(감가상각누계액)</t>
  </si>
  <si>
    <t>무형자산수탁자산</t>
  </si>
  <si>
    <t>지분법적용투자주식</t>
  </si>
  <si>
    <t>(수탁자산취득보조금)</t>
  </si>
  <si>
    <t>현금및현금성자산</t>
  </si>
  <si>
    <t>과      목</t>
  </si>
  <si>
    <t xml:space="preserve">              현금및현금성자산정부보조금</t>
  </si>
  <si>
    <t>　        (현금및현금성자산 정부보조금)</t>
  </si>
  <si>
    <t>　            국고보조금/이동편의시설</t>
  </si>
  <si>
    <t>　            수탁자산취득보조금/현금</t>
  </si>
  <si>
    <t>　            국고보조금/공기질개선</t>
  </si>
  <si>
    <t>　            국고보조금/노후시설개선</t>
  </si>
  <si>
    <t>　            현금성자산/특정금전신탁</t>
  </si>
  <si>
    <t>　            미수금(GL/인건비회수금)</t>
  </si>
  <si>
    <t>　            수탁자산취득보조금/7호선</t>
  </si>
  <si>
    <t>　            단기금융상품/별단예금</t>
  </si>
  <si>
    <t>　            장기금융상품/매도가능증권</t>
  </si>
  <si>
    <t>　        ④ 정부보조금/감가상각누계액</t>
  </si>
  <si>
    <t>　          기계장치수탁자산감가상각누계액</t>
  </si>
  <si>
    <t>　          전동차량수탁자산감가상각누계액</t>
  </si>
  <si>
    <t>　          전로설비수탁자산감가상각누계액</t>
  </si>
  <si>
    <t>　          기계장치수탁자산취득보조금</t>
  </si>
  <si>
    <t>　          차량운반구수탁자산감가상각누계액</t>
  </si>
  <si>
    <t>　          선로설비수탁자산감가상각누계액</t>
  </si>
  <si>
    <t>　          전동차량수탁자산취득보조금</t>
  </si>
  <si>
    <t>　          차량운반구수탁자산취득보조금</t>
  </si>
  <si>
    <t>　          선로설비수탁자산취득보조금</t>
  </si>
  <si>
    <t>　          전로설비수탁자산취득보조금</t>
  </si>
  <si>
    <t>　          공기구비품수탁자산취득보조금</t>
  </si>
  <si>
    <t>　          공기구비품수탁자산감가상각누계액</t>
  </si>
  <si>
    <t>　          수탁자산소프트웨어취득보조금</t>
  </si>
  <si>
    <t>　          기타의비유동자산/휴양소회원권</t>
  </si>
  <si>
    <t>　          수탁자산소프트웨어감가상각누계액</t>
  </si>
  <si>
    <t>　          미지급금/법인카드(건별)</t>
  </si>
  <si>
    <t>　          미지급금/유동성장기미지급금</t>
  </si>
  <si>
    <t>　          유동성장기부채/장기차입금</t>
  </si>
  <si>
    <t>　          예수보증금/일회용교통카드</t>
  </si>
  <si>
    <t>　            장기차입금/1~4호선</t>
  </si>
  <si>
    <t>　          [매]퇴직급여충당부채/연봉</t>
  </si>
  <si>
    <t>　            장기미지급금/1~4호선</t>
  </si>
  <si>
    <t>　          [매]퇴직급여충당부채/청경</t>
  </si>
  <si>
    <t>　          [매]퇴직급여충당부채/호봉</t>
  </si>
  <si>
    <t>　          [판]퇴직급여충당부채/연봉</t>
  </si>
  <si>
    <t>　          [판]퇴직급여충당부채/호봉</t>
  </si>
  <si>
    <t>　          [판]퇴직급여충당부채/청경</t>
  </si>
  <si>
    <t>　            수탁자산취득보조금/하남선</t>
  </si>
  <si>
    <t>　          지방자치단체/감가상각누계액</t>
  </si>
  <si>
    <t>취득가액</t>
  </si>
  <si>
    <t>감가상각누계액</t>
  </si>
  <si>
    <t>잔존가액</t>
  </si>
  <si>
    <t>업무추진비</t>
  </si>
  <si>
    <t>부대사업수익</t>
  </si>
  <si>
    <t>수도광열비</t>
  </si>
  <si>
    <t>운수사업수익</t>
  </si>
  <si>
    <t>복리후생비</t>
  </si>
  <si>
    <t>도서인쇄비</t>
  </si>
  <si>
    <t>무형자산상각비</t>
  </si>
  <si>
    <t>폐품매각수익</t>
  </si>
  <si>
    <t>기타사업수익</t>
  </si>
  <si>
    <t>대행사업수익</t>
  </si>
  <si>
    <t>퇴직급여</t>
  </si>
  <si>
    <t>공공요금및제세</t>
  </si>
  <si>
    <t>수선유지비</t>
  </si>
  <si>
    <t>감가상각비</t>
  </si>
  <si>
    <t>소모품비</t>
  </si>
  <si>
    <t>여비교통비</t>
  </si>
  <si>
    <t>지급수수료</t>
  </si>
  <si>
    <t>피해보상비</t>
  </si>
  <si>
    <t>지분법평가이익</t>
  </si>
  <si>
    <t>광고선전비</t>
  </si>
  <si>
    <t>등기소송비</t>
  </si>
  <si>
    <t>자산수증이익</t>
  </si>
  <si>
    <t>이자비용</t>
  </si>
  <si>
    <t>법인세비용</t>
  </si>
  <si>
    <t>영업수익</t>
  </si>
  <si>
    <t>영업외수익</t>
  </si>
  <si>
    <t>재평가이익</t>
  </si>
  <si>
    <t>지분법평가손실</t>
  </si>
  <si>
    <t>위탁수수료</t>
  </si>
  <si>
    <t>재평가손실</t>
  </si>
  <si>
    <t>수입위약배상금</t>
  </si>
  <si>
    <t>교육훈련비</t>
  </si>
  <si>
    <t>차량유지비</t>
  </si>
  <si>
    <t>이자수익</t>
  </si>
  <si>
    <t>외환차익</t>
  </si>
  <si>
    <t>재료비기타</t>
  </si>
  <si>
    <t>채무면제이익</t>
  </si>
  <si>
    <t>일반관리비</t>
  </si>
  <si>
    <t>경상연구개발비</t>
  </si>
  <si>
    <t>VII.</t>
  </si>
  <si>
    <t>III.</t>
  </si>
  <si>
    <t>수탁사업수익</t>
  </si>
  <si>
    <t>운영사업원가</t>
  </si>
  <si>
    <t>수탁사업원가</t>
  </si>
  <si>
    <t>판매비와관리비</t>
  </si>
  <si>
    <t>VIII.</t>
  </si>
  <si>
    <t>매출원가</t>
  </si>
  <si>
    <t>ERP 계정</t>
  </si>
  <si>
    <t>공기구비품</t>
  </si>
  <si>
    <t>영업외비용</t>
  </si>
  <si>
    <t>서울교통공사</t>
  </si>
  <si>
    <t>운영사업수익</t>
  </si>
  <si>
    <t>자산총계</t>
  </si>
  <si>
    <t>부채및자본총계</t>
  </si>
  <si>
    <t>예수보증금</t>
  </si>
  <si>
    <t>이연법인세부채</t>
  </si>
  <si>
    <t>예수부가세</t>
  </si>
  <si>
    <t>유동부채</t>
  </si>
  <si>
    <t>　Ⅰ. 자본금</t>
  </si>
  <si>
    <t>장기선수수익</t>
  </si>
  <si>
    <t>부채총계</t>
  </si>
  <si>
    <t>선수수익</t>
  </si>
  <si>
    <t>(대손충당금)</t>
  </si>
  <si>
    <t>장기미수금</t>
  </si>
  <si>
    <t>기타비유동자산</t>
  </si>
  <si>
    <t>소프트웨어</t>
  </si>
  <si>
    <t>산업재산권</t>
  </si>
  <si>
    <t>미처리결손금</t>
  </si>
  <si>
    <t>출자준비금</t>
  </si>
  <si>
    <t>비유동부채</t>
  </si>
  <si>
    <t>유동성장기부채</t>
  </si>
  <si>
    <t>단기차입금</t>
  </si>
  <si>
    <t>장기차입금</t>
  </si>
  <si>
    <t>장기미지급비용</t>
  </si>
  <si>
    <t>재평가잉여금</t>
  </si>
  <si>
    <t>자 본 총 계</t>
  </si>
  <si>
    <t>자본총계</t>
  </si>
  <si>
    <t>기타의유동부채</t>
  </si>
  <si>
    <t>자 산 총 계</t>
  </si>
  <si>
    <t>장기미지급금</t>
  </si>
  <si>
    <t>소송충당부채</t>
  </si>
  <si>
    <t>미지급비용</t>
  </si>
  <si>
    <t>부 채 총 계</t>
  </si>
  <si>
    <t>미지급금</t>
  </si>
  <si>
    <t>단기금융상품</t>
  </si>
  <si>
    <t>무형자산</t>
  </si>
  <si>
    <t>투자자산</t>
  </si>
  <si>
    <t>선로설비</t>
  </si>
  <si>
    <t>선급비용</t>
  </si>
  <si>
    <t>(정부보조금)</t>
  </si>
  <si>
    <t>기계장치</t>
  </si>
  <si>
    <t>비유동자산</t>
  </si>
  <si>
    <t>당기법인세자산</t>
  </si>
  <si>
    <t>매출채권</t>
  </si>
  <si>
    <t>유동자산</t>
  </si>
  <si>
    <t>미수수익</t>
  </si>
  <si>
    <t>기타의유형자산</t>
  </si>
  <si>
    <t>건설중인자산</t>
  </si>
  <si>
    <t>선급부가세</t>
  </si>
  <si>
    <t>전로설비</t>
  </si>
  <si>
    <t>매도가능증권</t>
  </si>
  <si>
    <t>재고자산</t>
  </si>
  <si>
    <t>당좌자산</t>
  </si>
  <si>
    <t>단기대여금</t>
  </si>
  <si>
    <t>차량운반구</t>
  </si>
  <si>
    <t>유형자산</t>
  </si>
  <si>
    <t>장기대여금</t>
  </si>
  <si>
    <t>기타의당좌자산</t>
  </si>
  <si>
    <t>전동차량</t>
  </si>
  <si>
    <t>과     목</t>
  </si>
  <si>
    <t>장기금융상품</t>
  </si>
  <si>
    <t>　            국고보조금/9호선운영부문</t>
  </si>
  <si>
    <t>　            수탁자산취득국고보조금/9호선</t>
    <phoneticPr fontId="109" type="noConversion"/>
  </si>
  <si>
    <t>선급부가세</t>
    <phoneticPr fontId="109" type="noConversion"/>
  </si>
  <si>
    <t>erp에 자산으로 관리되지 않음</t>
    <phoneticPr fontId="109" type="noConversion"/>
  </si>
  <si>
    <t>　        (현금및현금성자산 지자체보조금)</t>
    <phoneticPr fontId="109" type="noConversion"/>
  </si>
  <si>
    <t xml:space="preserve">              현금및현금성자산지자체보조금</t>
    <phoneticPr fontId="109" type="noConversion"/>
  </si>
  <si>
    <t>(지자체보조금)</t>
    <phoneticPr fontId="109" type="noConversion"/>
  </si>
  <si>
    <r>
      <t>　           기타유동부채/보증금</t>
    </r>
    <r>
      <rPr>
        <sz val="11"/>
        <color rgb="FF000000"/>
        <rFont val="맑은 고딕"/>
        <family val="3"/>
        <charset val="129"/>
      </rPr>
      <t>(계약기간 1년미만)</t>
    </r>
    <phoneticPr fontId="109" type="noConversion"/>
  </si>
  <si>
    <r>
      <t>2</t>
    </r>
    <r>
      <rPr>
        <sz val="11"/>
        <color rgb="FF000000"/>
        <rFont val="맑은 고딕"/>
        <family val="3"/>
        <charset val="129"/>
      </rPr>
      <t>020년 말</t>
    </r>
    <phoneticPr fontId="109" type="noConversion"/>
  </si>
  <si>
    <r>
      <t>2</t>
    </r>
    <r>
      <rPr>
        <sz val="11"/>
        <color rgb="FF000000"/>
        <rFont val="맑은 고딕"/>
        <family val="3"/>
        <charset val="129"/>
      </rPr>
      <t>019년 말</t>
    </r>
    <phoneticPr fontId="109" type="noConversion"/>
  </si>
  <si>
    <t>재평가잉여금(기초)</t>
    <phoneticPr fontId="109" type="noConversion"/>
  </si>
  <si>
    <t>이연법인세부채(기초)</t>
    <phoneticPr fontId="109" type="noConversion"/>
  </si>
  <si>
    <t>재평가잉여금(20년 토지매각으로인한 감소)</t>
    <phoneticPr fontId="109" type="noConversion"/>
  </si>
  <si>
    <t>이연법인세부채(기말)</t>
    <phoneticPr fontId="109" type="noConversion"/>
  </si>
  <si>
    <t>이연법인세부채(20년 토지매각으로 인한 감소)</t>
    <phoneticPr fontId="109" type="noConversion"/>
  </si>
  <si>
    <t>재평가잉여금(기말)</t>
    <phoneticPr fontId="109" type="noConversion"/>
  </si>
  <si>
    <t>　         지분법자본변동</t>
    <phoneticPr fontId="109" type="noConversion"/>
  </si>
  <si>
    <r>
      <t xml:space="preserve">　  </t>
    </r>
    <r>
      <rPr>
        <sz val="11"/>
        <color rgb="FF000000"/>
        <rFont val="맑은 고딕"/>
        <family val="3"/>
        <charset val="129"/>
      </rPr>
      <t>3</t>
    </r>
    <r>
      <rPr>
        <sz val="11"/>
        <color rgb="FF000000"/>
        <rFont val="맑은 고딕"/>
        <family val="3"/>
        <charset val="129"/>
      </rPr>
      <t>. 지분법자본변동</t>
    </r>
    <phoneticPr fontId="109" type="noConversion"/>
  </si>
  <si>
    <t>지분법자본변동</t>
    <phoneticPr fontId="109" type="noConversion"/>
  </si>
  <si>
    <r>
      <t>재평가잉여금 당초</t>
    </r>
    <r>
      <rPr>
        <sz val="11"/>
        <color rgb="FF000000"/>
        <rFont val="맑은 고딕"/>
        <family val="3"/>
        <charset val="129"/>
      </rPr>
      <t xml:space="preserve"> 감소금액(이연법인세부채미반영)</t>
    </r>
    <phoneticPr fontId="109" type="noConversion"/>
  </si>
  <si>
    <t>합 계 잔 액 시 산 표</t>
    <phoneticPr fontId="109" type="noConversion"/>
  </si>
  <si>
    <t>서울교통공사</t>
    <phoneticPr fontId="109" type="noConversion"/>
  </si>
  <si>
    <t>(단위:원)</t>
    <phoneticPr fontId="109" type="noConversion"/>
  </si>
  <si>
    <t>자산매각예정으로 인한 이연법인세부채 감소</t>
    <phoneticPr fontId="109" type="noConversion"/>
  </si>
  <si>
    <t>　          미지급비용/기타</t>
    <phoneticPr fontId="109" type="noConversion"/>
  </si>
  <si>
    <r>
      <t>　            시보조금</t>
    </r>
    <r>
      <rPr>
        <sz val="11"/>
        <color rgb="FF000000"/>
        <rFont val="맑은 고딕"/>
        <family val="3"/>
        <charset val="129"/>
      </rPr>
      <t>(전출금)</t>
    </r>
    <phoneticPr fontId="109" type="noConversion"/>
  </si>
  <si>
    <t>　            현금성자산/출자금(1-4노후시설)</t>
    <phoneticPr fontId="109" type="noConversion"/>
  </si>
  <si>
    <t>　            현금성자산/출자금(5-8노후시설)</t>
    <phoneticPr fontId="109" type="noConversion"/>
  </si>
  <si>
    <t>　            현금성자산/출자금(공기질 개선)</t>
    <phoneticPr fontId="109" type="noConversion"/>
  </si>
  <si>
    <t>　            현금성자산/출자금(전동차 노후스프링 등)</t>
    <phoneticPr fontId="109" type="noConversion"/>
  </si>
  <si>
    <t xml:space="preserve"> 재   무   상   태   표</t>
    <phoneticPr fontId="109" type="noConversion"/>
  </si>
  <si>
    <t>　            현금성자산/기타</t>
    <phoneticPr fontId="109" type="noConversion"/>
  </si>
  <si>
    <r>
      <t>　            수탁자산취득보조금/9호선</t>
    </r>
    <r>
      <rPr>
        <sz val="11"/>
        <color rgb="FF000000"/>
        <rFont val="맑은 고딕"/>
        <family val="3"/>
        <charset val="129"/>
      </rPr>
      <t>(정부사업)</t>
    </r>
    <phoneticPr fontId="109" type="noConversion"/>
  </si>
  <si>
    <r>
      <t>　            수탁자산취득보조금/9호선</t>
    </r>
    <r>
      <rPr>
        <sz val="11"/>
        <color rgb="FF000000"/>
        <rFont val="맑은 고딕"/>
        <family val="3"/>
        <charset val="129"/>
      </rPr>
      <t>(청구용)</t>
    </r>
    <phoneticPr fontId="109" type="noConversion"/>
  </si>
  <si>
    <t>　          [매]퇴직급여충당부채/업무직</t>
    <phoneticPr fontId="109" type="noConversion"/>
  </si>
  <si>
    <t>　          [판]퇴직급여충당부채/업무직</t>
    <phoneticPr fontId="109" type="noConversion"/>
  </si>
  <si>
    <t>　            수탁자산취득보조금/진접선</t>
    <phoneticPr fontId="109" type="noConversion"/>
  </si>
  <si>
    <t>　            수탁자산취득국고보조금/7호선</t>
    <phoneticPr fontId="109" type="noConversion"/>
  </si>
  <si>
    <t>　            현금성자산/출자금(전동차 국비사업)</t>
    <phoneticPr fontId="109" type="noConversion"/>
  </si>
  <si>
    <t>　            현금성자산/출자금(관제센터)</t>
    <phoneticPr fontId="109" type="noConversion"/>
  </si>
  <si>
    <t>건중수탁(9호선)</t>
    <phoneticPr fontId="109" type="noConversion"/>
  </si>
  <si>
    <t>국고보조금40%</t>
    <phoneticPr fontId="109" type="noConversion"/>
  </si>
  <si>
    <t>제 6 기</t>
    <phoneticPr fontId="109" type="noConversion"/>
  </si>
  <si>
    <t>　          선로설비수탁자산국고보조금</t>
    <phoneticPr fontId="109" type="noConversion"/>
  </si>
  <si>
    <t>　          전동차량수탁자산국고보조금</t>
    <phoneticPr fontId="109" type="noConversion"/>
  </si>
  <si>
    <t>　          공기구비품수탁자산국고보조금</t>
    <phoneticPr fontId="109" type="noConversion"/>
  </si>
  <si>
    <t>　          건설중수탁자산국고보조금</t>
    <phoneticPr fontId="109" type="noConversion"/>
  </si>
  <si>
    <t>　        ① 소프트웨어</t>
    <phoneticPr fontId="109" type="noConversion"/>
  </si>
  <si>
    <t>　        ② 국고보조금</t>
    <phoneticPr fontId="109" type="noConversion"/>
  </si>
  <si>
    <t>　        ③ 국고/감가상각구계액</t>
    <phoneticPr fontId="109" type="noConversion"/>
  </si>
  <si>
    <t>　            현금성자산/출자금(전동차 시비사업)</t>
    <phoneticPr fontId="109" type="noConversion"/>
  </si>
  <si>
    <t>　            현금성자산/출자금(전동차내 CCTV)</t>
    <phoneticPr fontId="109" type="noConversion"/>
  </si>
  <si>
    <t>　          차량운반구</t>
    <phoneticPr fontId="109" type="noConversion"/>
  </si>
  <si>
    <t>국고부가세/철스크랩 선급부가세에 합산</t>
    <phoneticPr fontId="109" type="noConversion"/>
  </si>
  <si>
    <t>erp에 자산으로 관리되지 않음</t>
  </si>
  <si>
    <t>2021년기준</t>
  </si>
  <si>
    <t>-</t>
    <phoneticPr fontId="109" type="noConversion"/>
  </si>
  <si>
    <t>무형자산폐기손실</t>
    <phoneticPr fontId="109" type="noConversion"/>
  </si>
  <si>
    <t>무형자산처분손실</t>
    <phoneticPr fontId="109" type="noConversion"/>
  </si>
  <si>
    <t>2021년 기준</t>
  </si>
  <si>
    <t>　            국고부가세/철스크랩</t>
    <phoneticPr fontId="109" type="noConversion"/>
  </si>
  <si>
    <t>가지급금 차이</t>
    <phoneticPr fontId="109" type="noConversion"/>
  </si>
  <si>
    <t>　            수탁자산취득국고보조금/하남선</t>
    <phoneticPr fontId="109" type="noConversion"/>
  </si>
  <si>
    <t>　        전기오류수정손실</t>
    <phoneticPr fontId="109" type="noConversion"/>
  </si>
  <si>
    <t>2022년 기준</t>
    <phoneticPr fontId="109" type="noConversion"/>
  </si>
  <si>
    <t>제 6 기
(2022.12.31.)</t>
    <phoneticPr fontId="109" type="noConversion"/>
  </si>
  <si>
    <t>　지분법이익잉여금변동</t>
  </si>
  <si>
    <t>　         지분법이익잉여금변동</t>
    <phoneticPr fontId="109" type="noConversion"/>
  </si>
  <si>
    <t>제 7 기</t>
    <phoneticPr fontId="109" type="noConversion"/>
  </si>
  <si>
    <t>　            현금성자산/출자금(1역1동선)</t>
    <phoneticPr fontId="109" type="noConversion"/>
  </si>
  <si>
    <t>배당금수익</t>
    <phoneticPr fontId="109" type="noConversion"/>
  </si>
  <si>
    <t xml:space="preserve">             </t>
    <phoneticPr fontId="109" type="noConversion"/>
  </si>
  <si>
    <t>　            현금성자산/시보조금(안전도우미)</t>
    <phoneticPr fontId="109" type="noConversion"/>
  </si>
  <si>
    <t>선급금총계</t>
    <phoneticPr fontId="109" type="noConversion"/>
  </si>
  <si>
    <t>월말 기준 건중</t>
    <phoneticPr fontId="109" type="noConversion"/>
  </si>
  <si>
    <t>연도</t>
    <phoneticPr fontId="109" type="noConversion"/>
  </si>
  <si>
    <t>월</t>
    <phoneticPr fontId="109" type="noConversion"/>
  </si>
  <si>
    <t>　          전로설비수탁자산국고보조금</t>
    <phoneticPr fontId="109" type="noConversion"/>
  </si>
  <si>
    <t>　          공기구비품수탁자산취득보조금</t>
    <phoneticPr fontId="109" type="noConversion"/>
  </si>
  <si>
    <t>가지급금 확정 후 입력</t>
    <phoneticPr fontId="109" type="noConversion"/>
  </si>
  <si>
    <t>자산</t>
    <phoneticPr fontId="109" type="noConversion"/>
  </si>
  <si>
    <t>종류</t>
    <phoneticPr fontId="109" type="noConversion"/>
  </si>
  <si>
    <t>부채</t>
    <phoneticPr fontId="109" type="noConversion"/>
  </si>
  <si>
    <t>자본</t>
    <phoneticPr fontId="109" type="noConversion"/>
  </si>
  <si>
    <t>폐품매각수익</t>
    <phoneticPr fontId="113" type="noConversion"/>
  </si>
  <si>
    <t>지분법평가이익</t>
    <phoneticPr fontId="113" type="noConversion"/>
  </si>
  <si>
    <t>유형자산처분이익</t>
    <phoneticPr fontId="113" type="noConversion"/>
  </si>
  <si>
    <t>재고자산폐기손실</t>
    <phoneticPr fontId="113" type="noConversion"/>
  </si>
  <si>
    <t>무형자산폐기손실</t>
    <phoneticPr fontId="113" type="noConversion"/>
  </si>
  <si>
    <t>유형자산처분손실</t>
    <phoneticPr fontId="113" type="noConversion"/>
  </si>
  <si>
    <t>유형자산폐기손실</t>
    <phoneticPr fontId="113" type="noConversion"/>
  </si>
  <si>
    <t>기타의대손상각비</t>
    <phoneticPr fontId="113" type="noConversion"/>
  </si>
  <si>
    <t>대손상각비</t>
    <phoneticPr fontId="113" type="noConversion"/>
  </si>
  <si>
    <t>자본금의 증가</t>
    <phoneticPr fontId="113" type="noConversion"/>
  </si>
  <si>
    <t>퇴직급여</t>
    <phoneticPr fontId="113" type="noConversion"/>
  </si>
  <si>
    <t>잡손실</t>
    <phoneticPr fontId="113" type="noConversion"/>
  </si>
  <si>
    <t>감가상각비</t>
    <phoneticPr fontId="113" type="noConversion"/>
  </si>
  <si>
    <t>무형자산상각비</t>
    <phoneticPr fontId="113" type="noConversion"/>
  </si>
  <si>
    <t>전로설비의 취득</t>
    <phoneticPr fontId="113" type="noConversion"/>
  </si>
  <si>
    <t>선로설비의 취득</t>
    <phoneticPr fontId="113" type="noConversion"/>
  </si>
  <si>
    <t>토지의 처분</t>
    <phoneticPr fontId="113" type="noConversion"/>
  </si>
  <si>
    <t>수탁자산취득보조금의 수령</t>
    <phoneticPr fontId="113" type="noConversion"/>
  </si>
  <si>
    <t>지자체보조금의 수령</t>
    <phoneticPr fontId="113" type="noConversion"/>
  </si>
  <si>
    <t>정부보조금의 반납</t>
    <phoneticPr fontId="113" type="noConversion"/>
  </si>
  <si>
    <t>정부보조금의 수령</t>
    <phoneticPr fontId="113" type="noConversion"/>
  </si>
  <si>
    <t>잡이익</t>
    <phoneticPr fontId="113" type="noConversion"/>
  </si>
  <si>
    <t>Ⅵ. 기말의현금</t>
  </si>
  <si>
    <t>Ⅴ. 기초의현금</t>
  </si>
  <si>
    <t> 1. 재무활동으로인한현금유입액</t>
  </si>
  <si>
    <t>Ⅲ. 재무활동으로인한현금흐름</t>
  </si>
  <si>
    <t>2. 투자활동으로인한현금유출액</t>
  </si>
  <si>
    <t>기타의비유동자산의 감소</t>
  </si>
  <si>
    <t>1. 투자활동으로인한현금유입액</t>
  </si>
  <si>
    <t>4. 영업활동으로인한자산부채의변동</t>
  </si>
  <si>
    <t>3. 현금의유입이없는수익등의차감</t>
  </si>
  <si>
    <t>Ⅰ. 영업활동으로인한현금흐름</t>
  </si>
  <si>
    <t>과                        목</t>
  </si>
  <si>
    <t>차액</t>
    <phoneticPr fontId="109" type="noConversion"/>
  </si>
  <si>
    <t>ERP상 금액</t>
    <phoneticPr fontId="109" type="noConversion"/>
  </si>
  <si>
    <t xml:space="preserve"> </t>
    <phoneticPr fontId="109" type="noConversion"/>
  </si>
  <si>
    <t>　            현금성자산/MMF</t>
    <phoneticPr fontId="109" type="noConversion"/>
  </si>
  <si>
    <t>　            현금성자산/MMF</t>
    <phoneticPr fontId="109" type="noConversion"/>
  </si>
  <si>
    <t>제 7 기
(2023.12.31.)</t>
    <phoneticPr fontId="109" type="noConversion"/>
  </si>
  <si>
    <t>자산의 선급비용, 부채의 미지급금 포함</t>
    <phoneticPr fontId="109" type="noConversion"/>
  </si>
  <si>
    <t>　            현금성자산/퇴직급여충당금 및 미지급연차(9호선)</t>
  </si>
  <si>
    <t>　            현금성자산/퇴직급여충당금 및 미지급연차(9호선)</t>
    <phoneticPr fontId="109" type="noConversion"/>
  </si>
  <si>
    <t>채무면제이익</t>
    <phoneticPr fontId="113" type="noConversion"/>
  </si>
  <si>
    <t>자산수증이익</t>
    <phoneticPr fontId="113" type="noConversion"/>
  </si>
  <si>
    <t>Ⅳ. 현금의증가(Ⅰ+Ⅱ+Ⅲ)</t>
  </si>
  <si>
    <t>2022.12.31.(당기말)</t>
    <phoneticPr fontId="113" type="noConversion"/>
  </si>
  <si>
    <t>총   계</t>
  </si>
  <si>
    <t>이익잉여금</t>
    <phoneticPr fontId="109" type="noConversion"/>
  </si>
  <si>
    <t>자 본 금</t>
  </si>
  <si>
    <t>과     목</t>
  </si>
  <si>
    <t>제 6 기 : 2022년 1월 1일 부터 2022년 12월 31일까지</t>
    <phoneticPr fontId="113" type="noConversion"/>
  </si>
  <si>
    <t>자 본 변 동 표</t>
    <phoneticPr fontId="113" type="noConversion"/>
  </si>
  <si>
    <t>유동성장기부채의 상환</t>
    <phoneticPr fontId="113" type="noConversion"/>
  </si>
  <si>
    <t>단기차입금의 상환</t>
    <phoneticPr fontId="113" type="noConversion"/>
  </si>
  <si>
    <t> 2. 재무활동으로인한현금유출액</t>
  </si>
  <si>
    <t>기타비유동부채의 증가</t>
    <phoneticPr fontId="113" type="noConversion"/>
  </si>
  <si>
    <t>공사채의 발행</t>
    <phoneticPr fontId="113" type="noConversion"/>
  </si>
  <si>
    <t>단기차입금의 차입</t>
    <phoneticPr fontId="113" type="noConversion"/>
  </si>
  <si>
    <t>정부보조금의 상환</t>
    <phoneticPr fontId="113" type="noConversion"/>
  </si>
  <si>
    <t>수탁자산취득보조금의 상환</t>
    <phoneticPr fontId="113" type="noConversion"/>
  </si>
  <si>
    <t>무형수탁자산의 취득</t>
    <phoneticPr fontId="113" type="noConversion"/>
  </si>
  <si>
    <t>유형수탁자산의 취득</t>
    <phoneticPr fontId="113" type="noConversion"/>
  </si>
  <si>
    <t>건설중인자산의 취득</t>
    <phoneticPr fontId="113" type="noConversion"/>
  </si>
  <si>
    <t>기타의유형자산의 취득</t>
    <phoneticPr fontId="113" type="noConversion"/>
  </si>
  <si>
    <t>장기대여금의 증가</t>
    <phoneticPr fontId="113" type="noConversion"/>
  </si>
  <si>
    <t>단기대여금의 증가</t>
    <phoneticPr fontId="113" type="noConversion"/>
  </si>
  <si>
    <t>장기대여금의 감소</t>
    <phoneticPr fontId="113" type="noConversion"/>
  </si>
  <si>
    <t>단기대여금의 감소</t>
    <phoneticPr fontId="113" type="noConversion"/>
  </si>
  <si>
    <t>Ⅱ. 투자활동으로인한현금흐름</t>
    <phoneticPr fontId="109" type="noConversion"/>
  </si>
  <si>
    <t>배당금의 수령</t>
    <phoneticPr fontId="113" type="noConversion"/>
  </si>
  <si>
    <t>퇴직금의 지급</t>
    <phoneticPr fontId="113" type="noConversion"/>
  </si>
  <si>
    <t>기타유동부채의 증가(감소)</t>
    <phoneticPr fontId="113" type="noConversion"/>
  </si>
  <si>
    <t>예수보증금의 증가(감소)</t>
    <phoneticPr fontId="113" type="noConversion"/>
  </si>
  <si>
    <t>미지급비용의 증가(감소)</t>
    <phoneticPr fontId="113" type="noConversion"/>
  </si>
  <si>
    <t>지분법손실</t>
    <phoneticPr fontId="113" type="noConversion"/>
  </si>
  <si>
    <t>이자비용</t>
    <phoneticPr fontId="113" type="noConversion"/>
  </si>
  <si>
    <t> 2. 현금의유출이없는비용등의가산</t>
  </si>
  <si>
    <t> 1. 당기순손실</t>
  </si>
  <si>
    <t>제 6 기 : 2022년 1월 1일 부터 2022년  12월 31일까지</t>
    <phoneticPr fontId="113" type="noConversion"/>
  </si>
  <si>
    <t>현 금 흐 름 표</t>
    <phoneticPr fontId="113" type="noConversion"/>
  </si>
  <si>
    <t>판매관리비</t>
  </si>
  <si>
    <t>잔액</t>
    <phoneticPr fontId="113" type="noConversion"/>
  </si>
  <si>
    <t>검증</t>
    <phoneticPr fontId="113" type="noConversion"/>
  </si>
  <si>
    <t>차이</t>
    <phoneticPr fontId="113" type="noConversion"/>
  </si>
  <si>
    <t>잔액</t>
    <phoneticPr fontId="109" type="noConversion"/>
  </si>
  <si>
    <t>대변</t>
    <phoneticPr fontId="113" type="noConversion"/>
  </si>
  <si>
    <t>계정과목</t>
    <phoneticPr fontId="113" type="noConversion"/>
  </si>
  <si>
    <t>차변</t>
    <phoneticPr fontId="113" type="noConversion"/>
  </si>
  <si>
    <t>제 7 기  2023년 1월 1일부터 2023년 12월 31일까지</t>
  </si>
  <si>
    <t>제 6 기  2022년 1월 1일부터 2022년 12월 31일까지</t>
  </si>
  <si>
    <t>제 7 기  2023년 12월 31일 현재</t>
  </si>
  <si>
    <t>제 6 기  2022년 12월 31일 현재</t>
  </si>
  <si>
    <t>제 7 기 : 2023년 1월 1일 부터 2023년 12월 31일까지</t>
    <phoneticPr fontId="113" type="noConversion"/>
  </si>
  <si>
    <t>제 7 기 : 2023년 1월 1일 부터 2023년  12월 31일까지</t>
    <phoneticPr fontId="113" type="noConversion"/>
  </si>
  <si>
    <t>2022.01.01(수정후기초)</t>
  </si>
  <si>
    <t>  3. 토지재평가이익</t>
  </si>
  <si>
    <t>  4. 매도가능증권평가이익</t>
  </si>
  <si>
    <t>  5. 지분법자본변동</t>
  </si>
  <si>
    <t>  6. 지분법이익잉여금변동</t>
  </si>
  <si>
    <t>2022.01.01(전기초)</t>
  </si>
  <si>
    <t>  1. 현금출자(주석14)</t>
  </si>
  <si>
    <t>  2. 공채이관(주석14)</t>
  </si>
  <si>
    <t>2023.01.01(당기초)</t>
  </si>
  <si>
    <t>  6. 당기순이익(손실)</t>
  </si>
  <si>
    <t xml:space="preserve">  1. 전기오류수정손실</t>
    <phoneticPr fontId="109" type="noConversion"/>
  </si>
  <si>
    <t>  1. 현금출자</t>
    <phoneticPr fontId="109" type="noConversion"/>
  </si>
  <si>
    <t>  2. 공채이관</t>
    <phoneticPr fontId="109" type="noConversion"/>
  </si>
  <si>
    <t>  7. 당기순손실</t>
    <phoneticPr fontId="109" type="noConversion"/>
  </si>
  <si>
    <t>제 7 기</t>
    <phoneticPr fontId="113" type="noConversion"/>
  </si>
  <si>
    <t xml:space="preserve">제 6 기 </t>
    <phoneticPr fontId="109" type="noConversion"/>
  </si>
  <si>
    <t>유형수탁자산의 감소</t>
  </si>
  <si>
    <t>무형수탁자산의 감소</t>
  </si>
  <si>
    <t>매출채권의 증가(감소)</t>
    <phoneticPr fontId="113" type="noConversion"/>
  </si>
  <si>
    <t>미수금의 증가(감소)</t>
    <phoneticPr fontId="113" type="noConversion"/>
  </si>
  <si>
    <t>미수수익의 증가(감소)</t>
    <phoneticPr fontId="113" type="noConversion"/>
  </si>
  <si>
    <t>선급금의 증가(감소)</t>
    <phoneticPr fontId="113" type="noConversion"/>
  </si>
  <si>
    <t>선급비용의 증가(감소)</t>
    <phoneticPr fontId="113" type="noConversion"/>
  </si>
  <si>
    <t>당기법인세자산의 증가(감소)</t>
    <phoneticPr fontId="113" type="noConversion"/>
  </si>
  <si>
    <t>기타의당좌자산의 증가(감소)</t>
    <phoneticPr fontId="113" type="noConversion"/>
  </si>
  <si>
    <t>재고자산의 증가(감소)</t>
    <phoneticPr fontId="113" type="noConversion"/>
  </si>
  <si>
    <t>미지급금의 증가(감소)</t>
    <phoneticPr fontId="113" type="noConversion"/>
  </si>
  <si>
    <t>선수금의 증가(감소)</t>
    <phoneticPr fontId="113" type="noConversion"/>
  </si>
  <si>
    <t>예수금의 증가(감소)</t>
    <phoneticPr fontId="113" type="noConversion"/>
  </si>
  <si>
    <t>부가세예수금의 증가(감소)</t>
    <phoneticPr fontId="113" type="noConversion"/>
  </si>
  <si>
    <t>선수수익의 증가(감소)</t>
    <phoneticPr fontId="113" type="noConversion"/>
  </si>
  <si>
    <t>소송충당부채의 증가(감소)</t>
    <phoneticPr fontId="113" type="noConversion"/>
  </si>
  <si>
    <t>장기미지급금의 증가(감소)</t>
    <phoneticPr fontId="113" type="noConversion"/>
  </si>
  <si>
    <t>장기미지급비용의 증가(감소)</t>
    <phoneticPr fontId="113" type="noConversion"/>
  </si>
  <si>
    <t>국민연금전환금의 증가(감소)</t>
    <phoneticPr fontId="113" type="noConversion"/>
  </si>
  <si>
    <t>장기선수수익의 증가(감소)</t>
    <phoneticPr fontId="113" type="noConversion"/>
  </si>
  <si>
    <t>건물의 처분</t>
    <phoneticPr fontId="109" type="noConversion"/>
  </si>
  <si>
    <t>지분법적용투자주식의 취득</t>
    <phoneticPr fontId="109" type="noConversion"/>
  </si>
  <si>
    <t>-</t>
    <phoneticPr fontId="109" type="noConversion"/>
  </si>
  <si>
    <t>토지의 취득</t>
    <phoneticPr fontId="109" type="noConversion"/>
  </si>
  <si>
    <t>건물의 취득</t>
    <phoneticPr fontId="109" type="noConversion"/>
  </si>
  <si>
    <t>장기차입금의 증가</t>
    <phoneticPr fontId="109" type="noConversion"/>
  </si>
  <si>
    <t>　현금</t>
  </si>
  <si>
    <t>　당좌예금</t>
  </si>
  <si>
    <t>　보통예금</t>
  </si>
  <si>
    <t>　현금성자산</t>
  </si>
  <si>
    <t>　국고보조금</t>
  </si>
  <si>
    <t>　지방자치단체보조금</t>
  </si>
  <si>
    <t>　수탁자산보조금</t>
  </si>
  <si>
    <t>　외상매출금</t>
  </si>
  <si>
    <t>　대손충당금</t>
  </si>
  <si>
    <t>　단기대여금</t>
  </si>
  <si>
    <t>　미수금</t>
  </si>
  <si>
    <t>　미수수익</t>
  </si>
  <si>
    <t>　선급금</t>
  </si>
  <si>
    <t>　선급비용</t>
  </si>
  <si>
    <t>　가지급금</t>
  </si>
  <si>
    <t>　선급법인세</t>
  </si>
  <si>
    <t>　선급부가세</t>
  </si>
  <si>
    <t>　선급지방세</t>
  </si>
  <si>
    <t>　국고부가세/철스크랩</t>
  </si>
  <si>
    <t>　기타의당좌자산</t>
  </si>
  <si>
    <t>　저장품</t>
  </si>
  <si>
    <t>　미착품</t>
  </si>
  <si>
    <t>　매도가능증권</t>
  </si>
  <si>
    <t>　장기대여금</t>
  </si>
  <si>
    <t>　지분법적용투자주식</t>
  </si>
  <si>
    <t>　토지</t>
  </si>
  <si>
    <t>　건물</t>
  </si>
  <si>
    <t>　감가상각누계액</t>
  </si>
  <si>
    <t>　국고/감가상각누계액</t>
  </si>
  <si>
    <t>　기계장치</t>
  </si>
  <si>
    <t>　선로설비</t>
  </si>
  <si>
    <t>　지방자치단체보조금/감가상각누계액</t>
  </si>
  <si>
    <t>　전로설비</t>
  </si>
  <si>
    <t>　전동차량</t>
  </si>
  <si>
    <t>　차량운반구</t>
  </si>
  <si>
    <t>　차량운반구/지방자치단체보조금</t>
  </si>
  <si>
    <t>　차량운반구/지방자치단체보조금/감가상각누계액</t>
  </si>
  <si>
    <t>　공기구비품</t>
  </si>
  <si>
    <t>　건설중인자산</t>
  </si>
  <si>
    <t>　기타의유형자산</t>
  </si>
  <si>
    <t>　기계장치수탁자산</t>
  </si>
  <si>
    <t>　기계장치수탁자산취득보조금</t>
  </si>
  <si>
    <t>　기계장치수탁자산감가상각누계액</t>
  </si>
  <si>
    <t>　선로설비수탁자산</t>
  </si>
  <si>
    <t>　선로설비수탁자산취득보조금</t>
  </si>
  <si>
    <t>　선로설비수탁자산감가상각누계액</t>
  </si>
  <si>
    <t>　선로설비수탁자산/국고보조금</t>
  </si>
  <si>
    <t>　전로설비수탁자산</t>
  </si>
  <si>
    <t>　전로설비수탁자산취득보조금</t>
  </si>
  <si>
    <t>　전로설비수탁자산감가상각누계액</t>
  </si>
  <si>
    <t>　전로설비수탁자산/국고보조금</t>
  </si>
  <si>
    <t>　전동차량수탁자산</t>
  </si>
  <si>
    <t>　전동차량수탁자산취득보조금</t>
  </si>
  <si>
    <t>　전동차량수탁자산감가상각누계액</t>
  </si>
  <si>
    <t>　전동차량수탁자산/국고보조금</t>
  </si>
  <si>
    <t>　차량운반구수탁자산취득보조금</t>
  </si>
  <si>
    <t>　차량운반구수탁자산감가상각누계액</t>
  </si>
  <si>
    <t>　공기구비품수탁자산</t>
  </si>
  <si>
    <t>　공기구비품수탁자산취득보조금</t>
  </si>
  <si>
    <t>　공기구비품수탁자산감가상각누계액</t>
  </si>
  <si>
    <t>　공기구비품수탁자산/국고보조금</t>
  </si>
  <si>
    <t>　건설중수탁자산</t>
  </si>
  <si>
    <t>　예치금</t>
  </si>
  <si>
    <t>　기타의비유동자산</t>
  </si>
  <si>
    <t>자산</t>
    <phoneticPr fontId="109" type="noConversion"/>
  </si>
  <si>
    <t>부채</t>
    <phoneticPr fontId="109" type="noConversion"/>
  </si>
  <si>
    <t>자본</t>
    <phoneticPr fontId="109" type="noConversion"/>
  </si>
  <si>
    <t>구분</t>
    <phoneticPr fontId="109" type="noConversion"/>
  </si>
  <si>
    <t>금액</t>
    <phoneticPr fontId="109" type="noConversion"/>
  </si>
  <si>
    <t>　차량운반구수탁자산</t>
  </si>
  <si>
    <t>　건설중인자산/수탁자산취득보조금</t>
    <phoneticPr fontId="109" type="noConversion"/>
  </si>
  <si>
    <t>　건설중인자산/수탁자산국고보조금</t>
    <phoneticPr fontId="109" type="noConversion"/>
  </si>
  <si>
    <t>　특허권</t>
    <phoneticPr fontId="109" type="noConversion"/>
  </si>
  <si>
    <t>　실용신안권</t>
    <phoneticPr fontId="109" type="noConversion"/>
  </si>
  <si>
    <t>　상표권</t>
    <phoneticPr fontId="109" type="noConversion"/>
  </si>
  <si>
    <t>　차지권</t>
    <phoneticPr fontId="109" type="noConversion"/>
  </si>
  <si>
    <t>　소프트웨어</t>
    <phoneticPr fontId="109" type="noConversion"/>
  </si>
  <si>
    <t>　국고보조금</t>
    <phoneticPr fontId="109" type="noConversion"/>
  </si>
  <si>
    <t>　국고/감가상각누계액</t>
    <phoneticPr fontId="109" type="noConversion"/>
  </si>
  <si>
    <t>　수탁자산소프트웨어</t>
    <phoneticPr fontId="109" type="noConversion"/>
  </si>
  <si>
    <t>　수탁자산소프트웨어취득보조금</t>
    <phoneticPr fontId="109" type="noConversion"/>
  </si>
  <si>
    <t>　수탁자산소프트웨어감가상각누계액</t>
    <phoneticPr fontId="109" type="noConversion"/>
  </si>
  <si>
    <t xml:space="preserve">   의장권</t>
    <phoneticPr fontId="109" type="noConversion"/>
  </si>
  <si>
    <t xml:space="preserve">   장기미수금</t>
    <phoneticPr fontId="109" type="noConversion"/>
  </si>
  <si>
    <t xml:space="preserve">   대손충당금</t>
    <phoneticPr fontId="109" type="noConversion"/>
  </si>
  <si>
    <t>　단기차입금</t>
  </si>
  <si>
    <t>　미지급금</t>
  </si>
  <si>
    <t>　선수금</t>
  </si>
  <si>
    <t>　예수금</t>
  </si>
  <si>
    <t>　미지급비용</t>
  </si>
  <si>
    <t>　예수부가세</t>
  </si>
  <si>
    <t>　유동성장기부채</t>
  </si>
  <si>
    <t>　선수수익</t>
  </si>
  <si>
    <t>　예수보증금</t>
  </si>
  <si>
    <t>　기타의유동부채</t>
  </si>
  <si>
    <t>　소송충당부채</t>
  </si>
  <si>
    <t>　사채</t>
  </si>
  <si>
    <t>　사채발행차금</t>
  </si>
  <si>
    <t>　장기차입금</t>
  </si>
  <si>
    <t>　장기성미지급금</t>
  </si>
  <si>
    <t>　퇴직급여충당부채</t>
  </si>
  <si>
    <t>　국민연금전환금</t>
  </si>
  <si>
    <t>　장기선수수익</t>
  </si>
  <si>
    <t>　이연법인세부채</t>
  </si>
  <si>
    <t>　기타의비유동부채</t>
  </si>
  <si>
    <t>　자본금</t>
  </si>
  <si>
    <t>　출자준비금</t>
  </si>
  <si>
    <t>　재평가잉여금</t>
    <phoneticPr fontId="109" type="noConversion"/>
  </si>
  <si>
    <t>　지분법자본변동</t>
    <phoneticPr fontId="109" type="noConversion"/>
  </si>
  <si>
    <t>　전기이월이익잉여금(결손금)</t>
  </si>
  <si>
    <t>　전기오류수정손실</t>
  </si>
  <si>
    <t>　당기순이익(순손실)</t>
  </si>
  <si>
    <t>　매도가능증권평가차손익</t>
    <phoneticPr fontId="109" type="noConversion"/>
  </si>
  <si>
    <t>　운수사업수익</t>
  </si>
  <si>
    <t>　부대사업수익</t>
  </si>
  <si>
    <t>　기타사업수익</t>
  </si>
  <si>
    <t>　수탁/운수사업수익</t>
    <phoneticPr fontId="109" type="noConversion"/>
  </si>
  <si>
    <t>　수탁/부대사업수익</t>
    <phoneticPr fontId="109" type="noConversion"/>
  </si>
  <si>
    <t>　수탁/기타사업수익</t>
    <phoneticPr fontId="109" type="noConversion"/>
  </si>
  <si>
    <t>　수탁/대행사업수익</t>
    <phoneticPr fontId="109" type="noConversion"/>
  </si>
  <si>
    <t>　급여</t>
    <phoneticPr fontId="109" type="noConversion"/>
  </si>
  <si>
    <t>　성과급</t>
    <phoneticPr fontId="109" type="noConversion"/>
  </si>
  <si>
    <t>　퇴직급여</t>
    <phoneticPr fontId="109" type="noConversion"/>
  </si>
  <si>
    <t>　복리후생비</t>
    <phoneticPr fontId="109" type="noConversion"/>
  </si>
  <si>
    <t>　여비교통비</t>
    <phoneticPr fontId="109" type="noConversion"/>
  </si>
  <si>
    <t>　수도광열비</t>
    <phoneticPr fontId="109" type="noConversion"/>
  </si>
  <si>
    <t>　공공요금 및 제세</t>
    <phoneticPr fontId="109" type="noConversion"/>
  </si>
  <si>
    <t>　소모품비</t>
    <phoneticPr fontId="109" type="noConversion"/>
  </si>
  <si>
    <t>　도서인쇄비</t>
    <phoneticPr fontId="109" type="noConversion"/>
  </si>
  <si>
    <t>　임차료</t>
    <phoneticPr fontId="109" type="noConversion"/>
  </si>
  <si>
    <t>　감가상각비</t>
    <phoneticPr fontId="109" type="noConversion"/>
  </si>
  <si>
    <t>　무형자산상각비</t>
    <phoneticPr fontId="109" type="noConversion"/>
  </si>
  <si>
    <t>　수선유지비</t>
    <phoneticPr fontId="109" type="noConversion"/>
  </si>
  <si>
    <t>　차량유지비</t>
    <phoneticPr fontId="109" type="noConversion"/>
  </si>
  <si>
    <t>　보험료</t>
    <phoneticPr fontId="109" type="noConversion"/>
  </si>
  <si>
    <t>　지급수수료</t>
    <phoneticPr fontId="109" type="noConversion"/>
  </si>
  <si>
    <t>　업무추진비</t>
    <phoneticPr fontId="109" type="noConversion"/>
  </si>
  <si>
    <t>　교육훈련비</t>
    <phoneticPr fontId="109" type="noConversion"/>
  </si>
  <si>
    <t>　포상비</t>
    <phoneticPr fontId="109" type="noConversion"/>
  </si>
  <si>
    <t>　피해보상비</t>
    <phoneticPr fontId="109" type="noConversion"/>
  </si>
  <si>
    <t>　경상연구개발비</t>
    <phoneticPr fontId="109" type="noConversion"/>
  </si>
  <si>
    <t>　재료비기타</t>
    <phoneticPr fontId="109" type="noConversion"/>
  </si>
  <si>
    <t>　재고자산평가손실</t>
    <phoneticPr fontId="109" type="noConversion"/>
  </si>
  <si>
    <t>　잡비</t>
    <phoneticPr fontId="109" type="noConversion"/>
  </si>
  <si>
    <t>　관서업무비</t>
    <phoneticPr fontId="109" type="noConversion"/>
  </si>
  <si>
    <t>　비예산공사비</t>
    <phoneticPr fontId="109" type="noConversion"/>
  </si>
  <si>
    <t>　자본투자비</t>
    <phoneticPr fontId="109" type="noConversion"/>
  </si>
  <si>
    <t>　광고선전비</t>
    <phoneticPr fontId="109" type="noConversion"/>
  </si>
  <si>
    <t>　등기소송비</t>
    <phoneticPr fontId="109" type="noConversion"/>
  </si>
  <si>
    <t>　대손상각비</t>
    <phoneticPr fontId="109" type="noConversion"/>
  </si>
  <si>
    <t>　이자수익</t>
  </si>
  <si>
    <t>　배당금수익</t>
  </si>
  <si>
    <t>　폐품매각수익</t>
  </si>
  <si>
    <t>　수입위약배상금</t>
  </si>
  <si>
    <t>　대손충당금환입</t>
  </si>
  <si>
    <t>　투자자산처분이익</t>
  </si>
  <si>
    <t>　유형자산처분이익</t>
  </si>
  <si>
    <t>　공채상환이익</t>
  </si>
  <si>
    <t>　자산수증이익</t>
  </si>
  <si>
    <t>　수입보조금</t>
  </si>
  <si>
    <t>　지분법이익</t>
  </si>
  <si>
    <t>　잡이익</t>
  </si>
  <si>
    <t>　이자비용</t>
  </si>
  <si>
    <t>　재고자산폐기손실</t>
  </si>
  <si>
    <t>　기부금</t>
  </si>
  <si>
    <t>　유형자산처분손실</t>
  </si>
  <si>
    <t>　유형자산폐기손실</t>
  </si>
  <si>
    <t>　무형자산폐기손실</t>
  </si>
  <si>
    <t>　기타의대손상각비</t>
  </si>
  <si>
    <t>　지분법손실</t>
  </si>
  <si>
    <t>　잡손실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</si>
</sst>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3">
    <numFmt numFmtId="41" formatCode="_-* #,##0_-;\-* #,##0_-;_-* &quot;-&quot;_-;_-@_-"/>
    <numFmt numFmtId="43" formatCode="_-* #,##0.00_-;\-* #,##0.00_-;_-* &quot;-&quot;??_-;_-@_-"/>
    <numFmt numFmtId="176" formatCode="#,##0_);[Red]\(#,##0\)"/>
    <numFmt numFmtId="177" formatCode="#,##0_);\(#,##0\)"/>
    <numFmt numFmtId="178" formatCode="###,###\ ;\(###,###\)\ ;\-\ "/>
    <numFmt numFmtId="179" formatCode="#,##0\ ;\(#,##0\)"/>
    <numFmt numFmtId="180" formatCode="#,###,,"/>
    <numFmt numFmtId="181" formatCode="#,##0,,"/>
    <numFmt numFmtId="182" formatCode="0_);[Red]\(0\)"/>
    <numFmt numFmtId="183" formatCode="#,##0;[Red]\(#,##0\);\-"/>
    <numFmt numFmtId="184" formatCode="#,##0_ "/>
    <numFmt numFmtId="185" formatCode="#,##0_);[Red]\(#,##0\);_*&quot;-&quot;"/>
    <numFmt numFmtId="186" formatCode="#,##0_);\(#,##0\);_*&quot;-&quot;"/>
  </numFmts>
  <fonts count="145" x14ac:knownFonts="1">
    <font>
      <sz val="11"/>
      <color rgb="FF000000"/>
      <name val="맑은 고딕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sz val="11"/>
      <color rgb="FF000000"/>
      <name val="돋움"/>
      <family val="3"/>
      <charset val="129"/>
    </font>
    <font>
      <b/>
      <sz val="18"/>
      <color rgb="FF44546A"/>
      <name val="맑은 고딕"/>
      <family val="3"/>
      <charset val="129"/>
    </font>
    <font>
      <b/>
      <sz val="15"/>
      <color rgb="FF44546A"/>
      <name val="맑은 고딕"/>
      <family val="3"/>
      <charset val="129"/>
    </font>
    <font>
      <b/>
      <sz val="13"/>
      <color rgb="FF44546A"/>
      <name val="맑은 고딕"/>
      <family val="3"/>
      <charset val="129"/>
    </font>
    <font>
      <b/>
      <sz val="11"/>
      <color rgb="FF44546A"/>
      <name val="맑은 고딕"/>
      <family val="3"/>
      <charset val="129"/>
    </font>
    <font>
      <sz val="11"/>
      <color rgb="FF006100"/>
      <name val="맑은 고딕"/>
      <family val="3"/>
      <charset val="129"/>
    </font>
    <font>
      <sz val="11"/>
      <color rgb="FF9C0006"/>
      <name val="맑은 고딕"/>
      <family val="3"/>
      <charset val="129"/>
    </font>
    <font>
      <sz val="11"/>
      <color rgb="FF9C6500"/>
      <name val="맑은 고딕"/>
      <family val="3"/>
      <charset val="129"/>
    </font>
    <font>
      <sz val="11"/>
      <color rgb="FF3F3F76"/>
      <name val="맑은 고딕"/>
      <family val="3"/>
      <charset val="129"/>
    </font>
    <font>
      <b/>
      <sz val="11"/>
      <color rgb="FF3F3F3F"/>
      <name val="맑은 고딕"/>
      <family val="3"/>
      <charset val="129"/>
    </font>
    <font>
      <b/>
      <sz val="11"/>
      <color rgb="FFFA7D00"/>
      <name val="맑은 고딕"/>
      <family val="3"/>
      <charset val="129"/>
    </font>
    <font>
      <sz val="11"/>
      <color rgb="FFFA7D00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11"/>
      <color rgb="FFFF0000"/>
      <name val="맑은 고딕"/>
      <family val="3"/>
      <charset val="129"/>
    </font>
    <font>
      <i/>
      <sz val="11"/>
      <color rgb="FF7F7F7F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1"/>
      <color rgb="FFFFFFFF"/>
      <name val="맑은 고딕"/>
      <family val="3"/>
      <charset val="129"/>
    </font>
    <font>
      <sz val="10"/>
      <color rgb="FF000000"/>
      <name val="Arial"/>
      <family val="2"/>
    </font>
    <font>
      <sz val="12"/>
      <color rgb="FF000000"/>
      <name val="맑은 고딕"/>
      <family val="3"/>
      <charset val="129"/>
    </font>
    <font>
      <sz val="15"/>
      <color rgb="FF000000"/>
      <name val="맑은 고딕"/>
      <family val="3"/>
      <charset val="129"/>
    </font>
    <font>
      <b/>
      <sz val="15"/>
      <color rgb="FF000000"/>
      <name val="맑은 고딕"/>
      <family val="3"/>
      <charset val="129"/>
    </font>
    <font>
      <b/>
      <sz val="11"/>
      <color rgb="FF000000"/>
      <name val="돋움"/>
      <family val="3"/>
      <charset val="129"/>
    </font>
    <font>
      <b/>
      <sz val="11"/>
      <color rgb="FFFF0000"/>
      <name val="돋움"/>
      <family val="3"/>
      <charset val="129"/>
    </font>
    <font>
      <b/>
      <sz val="11"/>
      <color rgb="FFFF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4"/>
      <color rgb="FF000000"/>
      <name val="맑은 고딕"/>
      <family val="3"/>
      <charset val="129"/>
    </font>
    <font>
      <sz val="14"/>
      <color rgb="FF000000"/>
      <name val="돋움"/>
      <family val="3"/>
      <charset val="129"/>
    </font>
    <font>
      <sz val="10"/>
      <color rgb="FF000000"/>
      <name val="돋움"/>
      <family val="3"/>
      <charset val="129"/>
    </font>
    <font>
      <sz val="15"/>
      <color rgb="FFFF0000"/>
      <name val="맑은 고딕"/>
      <family val="3"/>
      <charset val="129"/>
    </font>
    <font>
      <sz val="22"/>
      <color rgb="FF000000"/>
      <name val="맑은 고딕"/>
      <family val="3"/>
      <charset val="129"/>
    </font>
    <font>
      <b/>
      <sz val="26"/>
      <color rgb="FF000000"/>
      <name val="맑은 고딕"/>
      <family val="3"/>
      <charset val="129"/>
    </font>
    <font>
      <b/>
      <sz val="20"/>
      <color rgb="FF000000"/>
      <name val="맑은 고딕"/>
      <family val="3"/>
      <charset val="129"/>
    </font>
    <font>
      <b/>
      <sz val="20"/>
      <color rgb="FFFF0000"/>
      <name val="맑은 고딕"/>
      <family val="3"/>
      <charset val="129"/>
    </font>
    <font>
      <b/>
      <sz val="24"/>
      <color rgb="FF000000"/>
      <name val="맑은 고딕"/>
      <family val="3"/>
      <charset val="129"/>
    </font>
    <font>
      <b/>
      <sz val="16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5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5"/>
      <color theme="1"/>
      <name val="맑은 고딕"/>
      <family val="3"/>
      <charset val="129"/>
    </font>
    <font>
      <b/>
      <sz val="14"/>
      <color rgb="FF000000"/>
      <name val="맑은 고딕"/>
      <family val="3"/>
      <charset val="129"/>
    </font>
    <font>
      <b/>
      <sz val="20"/>
      <name val="맑은 고딕"/>
      <family val="3"/>
      <charset val="129"/>
    </font>
    <font>
      <sz val="11"/>
      <name val="맑은 고딕"/>
      <family val="3"/>
      <charset val="129"/>
    </font>
    <font>
      <sz val="10"/>
      <color theme="1"/>
      <name val="돋움"/>
      <family val="3"/>
      <charset val="129"/>
    </font>
    <font>
      <sz val="11"/>
      <color theme="1"/>
      <name val="돋움"/>
      <family val="3"/>
      <charset val="129"/>
    </font>
    <font>
      <sz val="11"/>
      <color rgb="FF0000FF"/>
      <name val="맑은 고딕"/>
      <family val="3"/>
      <charset val="129"/>
    </font>
    <font>
      <sz val="11"/>
      <color rgb="FF0000FF"/>
      <name val="돋움"/>
      <family val="3"/>
      <charset val="129"/>
    </font>
    <font>
      <sz val="11"/>
      <color theme="0" tint="-0.34998626667073579"/>
      <name val="맑은 고딕"/>
      <family val="3"/>
      <charset val="129"/>
    </font>
    <font>
      <b/>
      <sz val="11"/>
      <name val="맑은 고딕"/>
      <family val="3"/>
      <charset val="129"/>
    </font>
    <font>
      <sz val="11"/>
      <color theme="2" tint="-0.499984740745262"/>
      <name val="맑은 고딕"/>
      <family val="3"/>
      <charset val="129"/>
    </font>
    <font>
      <b/>
      <sz val="11"/>
      <color rgb="FF0000FF"/>
      <name val="돋움"/>
      <family val="3"/>
      <charset val="129"/>
    </font>
    <font>
      <sz val="10"/>
      <name val="Arial"/>
      <family val="2"/>
    </font>
    <font>
      <sz val="9"/>
      <color indexed="8"/>
      <name val="굴림체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5"/>
      <color rgb="FF000000"/>
      <name val="맑은 고딕"/>
      <family val="3"/>
      <charset val="129"/>
      <scheme val="minor"/>
    </font>
    <font>
      <sz val="15"/>
      <color rgb="FF000000"/>
      <name val="맑은 고딕"/>
      <family val="3"/>
      <charset val="129"/>
      <scheme val="minor"/>
    </font>
    <font>
      <sz val="14"/>
      <color rgb="FF000000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sz val="26"/>
      <color theme="1"/>
      <name val="맑은 고딕"/>
      <family val="3"/>
      <charset val="129"/>
      <scheme val="minor"/>
    </font>
    <font>
      <sz val="15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b/>
      <sz val="26"/>
      <color rgb="FF00000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0"/>
      <name val="맑은 고딕"/>
      <family val="3"/>
      <charset val="129"/>
    </font>
    <font>
      <b/>
      <sz val="22"/>
      <name val="맑은 고딕"/>
      <family val="3"/>
      <charset val="129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rgb="FF5B9BD5"/>
      </patternFill>
    </fill>
    <fill>
      <patternFill patternType="solid">
        <fgColor rgb="FFDDEBF7"/>
      </patternFill>
    </fill>
    <fill>
      <patternFill patternType="solid">
        <fgColor rgb="FFBED7EE"/>
      </patternFill>
    </fill>
    <fill>
      <patternFill patternType="solid">
        <fgColor rgb="FF9CC3E6"/>
      </patternFill>
    </fill>
    <fill>
      <patternFill patternType="solid">
        <fgColor rgb="FFED7D31"/>
      </patternFill>
    </fill>
    <fill>
      <patternFill patternType="solid">
        <fgColor rgb="FFFBE5D7"/>
      </patternFill>
    </fill>
    <fill>
      <patternFill patternType="solid">
        <fgColor rgb="FFF8CBAC"/>
      </patternFill>
    </fill>
    <fill>
      <patternFill patternType="solid">
        <fgColor rgb="FFF4B184"/>
      </patternFill>
    </fill>
    <fill>
      <patternFill patternType="solid">
        <fgColor rgb="FFEDEDED"/>
      </patternFill>
    </fill>
    <fill>
      <patternFill patternType="solid">
        <fgColor rgb="FFDBDBDB"/>
      </patternFill>
    </fill>
    <fill>
      <patternFill patternType="solid">
        <fgColor rgb="FFC9C9C9"/>
      </patternFill>
    </fill>
    <fill>
      <patternFill patternType="solid">
        <fgColor rgb="FFFFC000"/>
      </patternFill>
    </fill>
    <fill>
      <patternFill patternType="solid">
        <fgColor rgb="FFFFF2CC"/>
      </patternFill>
    </fill>
    <fill>
      <patternFill patternType="solid">
        <fgColor rgb="FFFFE699"/>
      </patternFill>
    </fill>
    <fill>
      <patternFill patternType="solid">
        <fgColor rgb="FFFFD966"/>
      </patternFill>
    </fill>
    <fill>
      <patternFill patternType="solid">
        <fgColor rgb="FF4472C4"/>
      </patternFill>
    </fill>
    <fill>
      <patternFill patternType="solid">
        <fgColor rgb="FFDAE3F3"/>
      </patternFill>
    </fill>
    <fill>
      <patternFill patternType="solid">
        <fgColor rgb="FFB4C6E7"/>
      </patternFill>
    </fill>
    <fill>
      <patternFill patternType="solid">
        <fgColor rgb="FF8FABDB"/>
      </patternFill>
    </fill>
    <fill>
      <patternFill patternType="solid">
        <fgColor rgb="FF70AD47"/>
      </patternFill>
    </fill>
    <fill>
      <patternFill patternType="solid">
        <fgColor rgb="FFE2F0D9"/>
      </patternFill>
    </fill>
    <fill>
      <patternFill patternType="solid">
        <fgColor rgb="FFC6E0B3"/>
      </patternFill>
    </fill>
    <fill>
      <patternFill patternType="solid">
        <fgColor rgb="FFA8D08F"/>
      </patternFill>
    </fill>
    <fill>
      <patternFill patternType="solid">
        <fgColor rgb="FFFFFF00"/>
      </patternFill>
    </fill>
    <fill>
      <patternFill patternType="solid">
        <fgColor rgb="FFD9D9D9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</fills>
  <borders count="82">
    <border>
      <left/>
      <right/>
      <top/>
      <bottom/>
      <diagonal/>
    </border>
    <border diagonalUp="1" diagonalDown="1">
      <left/>
      <right/>
      <top/>
      <bottom style="thick">
        <color rgb="FF5B9BD5"/>
      </bottom>
      <diagonal/>
    </border>
    <border diagonalUp="1" diagonalDown="1">
      <left/>
      <right/>
      <top/>
      <bottom style="thick">
        <color rgb="FFADCDEA"/>
      </bottom>
      <diagonal/>
    </border>
    <border diagonalUp="1" diagonalDown="1">
      <left/>
      <right/>
      <top/>
      <bottom style="medium">
        <color rgb="FF9CC3E6"/>
      </bottom>
      <diagonal/>
    </border>
    <border diagonalUp="1" diagonalDown="1"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 diagonalUp="1" diagonalDown="1"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 diagonalUp="1" diagonalDown="1">
      <left/>
      <right/>
      <top/>
      <bottom style="double">
        <color rgb="FFFF8001"/>
      </bottom>
      <diagonal/>
    </border>
    <border diagonalUp="1" diagonalDown="1"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 diagonalUp="1" diagonalDown="1"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 diagonalUp="1" diagonalDown="1">
      <left/>
      <right/>
      <top style="thin">
        <color rgb="FF5B9BD5"/>
      </top>
      <bottom style="double">
        <color rgb="FF5B9BD5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/>
      <right/>
      <top style="thin">
        <color indexed="64"/>
      </top>
      <bottom/>
      <diagonal/>
    </border>
    <border diagonalUp="1" diagonalDown="1">
      <left style="medium">
        <color indexed="64"/>
      </left>
      <right/>
      <top style="medium">
        <color indexed="64"/>
      </top>
      <bottom style="thin">
        <color indexed="64"/>
      </bottom>
      <diagonal/>
    </border>
    <border diagonalUp="1" diagonalDown="1">
      <left/>
      <right/>
      <top style="medium">
        <color indexed="64"/>
      </top>
      <bottom style="thin">
        <color indexed="64"/>
      </bottom>
      <diagonal/>
    </border>
    <border diagonalUp="1" diagonalDown="1">
      <left style="medium">
        <color indexed="64"/>
      </left>
      <right/>
      <top/>
      <bottom/>
      <diagonal/>
    </border>
    <border diagonalUp="1" diagonalDown="1">
      <left style="medium">
        <color indexed="64"/>
      </left>
      <right style="thin">
        <color indexed="64"/>
      </right>
      <top/>
      <bottom/>
      <diagonal/>
    </border>
    <border diagonalUp="1" diagonalDown="1">
      <left style="thin">
        <color indexed="64"/>
      </left>
      <right style="medium">
        <color indexed="64"/>
      </right>
      <top/>
      <bottom/>
      <diagonal/>
    </border>
    <border diagonalUp="1" diagonalDown="1">
      <left/>
      <right style="medium">
        <color indexed="64"/>
      </right>
      <top/>
      <bottom/>
      <diagonal/>
    </border>
    <border diagonalUp="1" diagonalDown="1">
      <left style="medium">
        <color indexed="64"/>
      </left>
      <right/>
      <top/>
      <bottom style="medium">
        <color indexed="64"/>
      </bottom>
      <diagonal/>
    </border>
    <border diagonalUp="1" diagonalDown="1">
      <left/>
      <right/>
      <top/>
      <bottom style="medium">
        <color indexed="64"/>
      </bottom>
      <diagonal/>
    </border>
    <border diagonalUp="1" diagonalDown="1">
      <left style="medium">
        <color indexed="64"/>
      </left>
      <right style="thin">
        <color indexed="64"/>
      </right>
      <top/>
      <bottom style="medium">
        <color indexed="64"/>
      </bottom>
      <diagonal/>
    </border>
    <border diagonalUp="1" diagonalDown="1">
      <left style="thin">
        <color indexed="64"/>
      </left>
      <right style="medium">
        <color indexed="64"/>
      </right>
      <top/>
      <bottom style="medium">
        <color indexed="64"/>
      </bottom>
      <diagonal/>
    </border>
    <border diagonalUp="1" diagonalDown="1"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 diagonalUp="1" diagonalDown="1">
      <left style="thin">
        <color indexed="64"/>
      </left>
      <right/>
      <top style="medium">
        <color indexed="64"/>
      </top>
      <bottom style="medium">
        <color indexed="64"/>
      </bottom>
      <diagonal/>
    </border>
    <border diagonalUp="1" diagonalDown="1"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 diagonalUp="1" diagonalDown="1">
      <left style="medium">
        <color indexed="64"/>
      </left>
      <right style="medium">
        <color indexed="64"/>
      </right>
      <top style="medium">
        <color indexed="64"/>
      </top>
      <bottom/>
      <diagonal/>
    </border>
    <border diagonalUp="1" diagonalDown="1"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 diagonalUp="1" diagonalDown="1">
      <left style="medium">
        <color indexed="64"/>
      </left>
      <right/>
      <top style="thin">
        <color indexed="64"/>
      </top>
      <bottom style="thin">
        <color indexed="64"/>
      </bottom>
      <diagonal/>
    </border>
    <border diagonalUp="1" diagonalDown="1"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 diagonalUp="1" diagonalDown="1">
      <left/>
      <right/>
      <top style="thin">
        <color indexed="64"/>
      </top>
      <bottom style="thin">
        <color indexed="64"/>
      </bottom>
      <diagonal/>
    </border>
    <border diagonalUp="1" diagonalDown="1">
      <left style="medium">
        <color indexed="64"/>
      </left>
      <right style="medium">
        <color indexed="64"/>
      </right>
      <top/>
      <bottom/>
      <diagonal/>
    </border>
    <border diagonalUp="1" diagonalDown="1">
      <left/>
      <right style="medium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medium">
        <color indexed="64"/>
      </left>
      <right/>
      <top style="thin">
        <color indexed="64"/>
      </top>
      <bottom style="medium">
        <color indexed="64"/>
      </bottom>
      <diagonal/>
    </border>
    <border diagonalUp="1" diagonalDown="1"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 diagonalUp="1" diagonalDown="1"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 diagonalUp="1" diagonalDown="1"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/>
      <right style="medium">
        <color indexed="64"/>
      </right>
      <top style="medium">
        <color indexed="64"/>
      </top>
      <bottom style="thin">
        <color indexed="64"/>
      </bottom>
      <diagonal/>
    </border>
    <border diagonalUp="1" diagonalDown="1">
      <left style="medium">
        <color indexed="64"/>
      </left>
      <right/>
      <top/>
      <bottom style="thin">
        <color indexed="64"/>
      </bottom>
      <diagonal/>
    </border>
    <border diagonalUp="1" diagonalDown="1">
      <left style="medium">
        <color indexed="64"/>
      </left>
      <right style="medium">
        <color indexed="64"/>
      </right>
      <top/>
      <bottom style="thin">
        <color indexed="64"/>
      </bottom>
      <diagonal/>
    </border>
    <border diagonalUp="1" diagonalDown="1">
      <left/>
      <right style="medium">
        <color indexed="64"/>
      </right>
      <top style="thin">
        <color indexed="64"/>
      </top>
      <bottom style="medium">
        <color indexed="64"/>
      </bottom>
      <diagonal/>
    </border>
    <border diagonalUp="1" diagonalDown="1">
      <left/>
      <right style="thin">
        <color indexed="64"/>
      </right>
      <top style="thin">
        <color indexed="64"/>
      </top>
      <bottom style="medium">
        <color indexed="64"/>
      </bottom>
      <diagonal/>
    </border>
    <border diagonalUp="1" diagonalDown="1"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 diagonalUp="1" diagonalDown="1">
      <left style="thin">
        <color indexed="64"/>
      </left>
      <right/>
      <top/>
      <bottom/>
      <diagonal/>
    </border>
    <border diagonalUp="1" diagonalDown="1">
      <left/>
      <right style="medium">
        <color indexed="64"/>
      </right>
      <top/>
      <bottom style="medium">
        <color indexed="64"/>
      </bottom>
      <diagonal/>
    </border>
    <border diagonalUp="1" diagonalDown="1"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 diagonalUp="1" diagonalDown="1">
      <left style="thin">
        <color indexed="64"/>
      </left>
      <right style="medium">
        <color indexed="64"/>
      </right>
      <top style="medium">
        <color indexed="64"/>
      </top>
      <bottom/>
      <diagonal/>
    </border>
    <border diagonalUp="1" diagonalDown="1">
      <left style="medium">
        <color indexed="64"/>
      </left>
      <right/>
      <top style="medium">
        <color indexed="64"/>
      </top>
      <bottom/>
      <diagonal/>
    </border>
    <border diagonalUp="1" diagonalDown="1">
      <left/>
      <right/>
      <top style="medium">
        <color indexed="64"/>
      </top>
      <bottom/>
      <diagonal/>
    </border>
    <border diagonalUp="1" diagonalDown="1">
      <left style="medium">
        <color indexed="64"/>
      </left>
      <right/>
      <top style="medium">
        <color indexed="64"/>
      </top>
      <bottom style="medium">
        <color indexed="64"/>
      </bottom>
      <diagonal/>
    </border>
    <border diagonalUp="1" diagonalDown="1">
      <left/>
      <right/>
      <top style="medium">
        <color indexed="64"/>
      </top>
      <bottom style="medium">
        <color indexed="64"/>
      </bottom>
      <diagonal/>
    </border>
    <border diagonalUp="1" diagonalDown="1"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 diagonalUp="1" diagonalDown="1">
      <left style="medium">
        <color indexed="64"/>
      </left>
      <right/>
      <top style="thin">
        <color indexed="64"/>
      </top>
      <bottom/>
      <diagonal/>
    </border>
    <border diagonalUp="1" diagonalDown="1">
      <left/>
      <right/>
      <top/>
      <bottom style="thin">
        <color indexed="64"/>
      </bottom>
      <diagonal/>
    </border>
    <border diagonalUp="1" diagonalDown="1">
      <left/>
      <right style="medium">
        <color indexed="64"/>
      </right>
      <top style="thin">
        <color indexed="64"/>
      </top>
      <bottom/>
      <diagonal/>
    </border>
    <border diagonalUp="1" diagonalDown="1">
      <left/>
      <right style="medium">
        <color indexed="64"/>
      </right>
      <top/>
      <bottom style="thin">
        <color indexed="64"/>
      </bottom>
      <diagonal/>
    </border>
    <border diagonalUp="1" diagonalDown="1"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 diagonalUp="1" diagonalDown="1"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medium">
        <color indexed="64"/>
      </right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000000"/>
      </top>
      <bottom style="thin">
        <color rgb="FF808080"/>
      </bottom>
      <diagonal/>
    </border>
    <border>
      <left/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medium">
        <color indexed="64"/>
      </bottom>
      <diagonal/>
    </border>
    <border>
      <left style="medium">
        <color indexed="64"/>
      </left>
      <right style="thin">
        <color rgb="FF808080"/>
      </right>
      <top style="thin">
        <color rgb="FF808080"/>
      </top>
      <bottom style="medium">
        <color indexed="64"/>
      </bottom>
      <diagonal/>
    </border>
    <border>
      <left style="medium">
        <color indexed="64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medium">
        <color indexed="64"/>
      </right>
      <top style="medium">
        <color indexed="64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medium">
        <color indexed="64"/>
      </top>
      <bottom style="thin">
        <color rgb="FF808080"/>
      </bottom>
      <diagonal/>
    </border>
    <border>
      <left style="medium">
        <color indexed="64"/>
      </left>
      <right style="thin">
        <color rgb="FF808080"/>
      </right>
      <top style="medium">
        <color indexed="64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indexed="64"/>
      </bottom>
      <diagonal/>
    </border>
    <border>
      <left style="medium">
        <color indexed="64"/>
      </left>
      <right/>
      <top style="medium">
        <color auto="1"/>
      </top>
      <bottom style="medium">
        <color indexed="64"/>
      </bottom>
      <diagonal/>
    </border>
  </borders>
  <cellStyleXfs count="255">
    <xf numFmtId="0" fontId="0" fillId="0" borderId="0">
      <alignment vertical="center"/>
    </xf>
    <xf numFmtId="41" fontId="108" fillId="0" borderId="0">
      <alignment vertical="center"/>
    </xf>
    <xf numFmtId="0" fontId="72" fillId="0" borderId="0"/>
    <xf numFmtId="41" fontId="72" fillId="0" borderId="0"/>
    <xf numFmtId="0" fontId="73" fillId="0" borderId="0">
      <alignment vertical="center"/>
    </xf>
    <xf numFmtId="0" fontId="74" fillId="0" borderId="1">
      <alignment vertical="center"/>
    </xf>
    <xf numFmtId="0" fontId="75" fillId="0" borderId="2">
      <alignment vertical="center"/>
    </xf>
    <xf numFmtId="0" fontId="76" fillId="0" borderId="3">
      <alignment vertical="center"/>
    </xf>
    <xf numFmtId="0" fontId="76" fillId="0" borderId="0">
      <alignment vertical="center"/>
    </xf>
    <xf numFmtId="0" fontId="77" fillId="2" borderId="0">
      <alignment vertical="center"/>
    </xf>
    <xf numFmtId="0" fontId="78" fillId="3" borderId="0">
      <alignment vertical="center"/>
    </xf>
    <xf numFmtId="0" fontId="79" fillId="4" borderId="0">
      <alignment vertical="center"/>
    </xf>
    <xf numFmtId="0" fontId="80" fillId="5" borderId="4">
      <alignment vertical="center"/>
    </xf>
    <xf numFmtId="0" fontId="81" fillId="6" borderId="5">
      <alignment vertical="center"/>
    </xf>
    <xf numFmtId="0" fontId="82" fillId="6" borderId="4">
      <alignment vertical="center"/>
    </xf>
    <xf numFmtId="0" fontId="83" fillId="0" borderId="6">
      <alignment vertical="center"/>
    </xf>
    <xf numFmtId="0" fontId="84" fillId="7" borderId="7">
      <alignment vertical="center"/>
    </xf>
    <xf numFmtId="0" fontId="85" fillId="0" borderId="0">
      <alignment vertical="center"/>
    </xf>
    <xf numFmtId="0" fontId="108" fillId="8" borderId="8">
      <alignment vertical="center"/>
    </xf>
    <xf numFmtId="0" fontId="86" fillId="0" borderId="0">
      <alignment vertical="center"/>
    </xf>
    <xf numFmtId="0" fontId="87" fillId="0" borderId="9">
      <alignment vertical="center"/>
    </xf>
    <xf numFmtId="0" fontId="88" fillId="9" borderId="0">
      <alignment vertical="center"/>
    </xf>
    <xf numFmtId="0" fontId="108" fillId="10" borderId="0">
      <alignment vertical="center"/>
    </xf>
    <xf numFmtId="0" fontId="108" fillId="11" borderId="0">
      <alignment vertical="center"/>
    </xf>
    <xf numFmtId="0" fontId="88" fillId="12" borderId="0">
      <alignment vertical="center"/>
    </xf>
    <xf numFmtId="0" fontId="88" fillId="13" borderId="0">
      <alignment vertical="center"/>
    </xf>
    <xf numFmtId="0" fontId="108" fillId="14" borderId="0">
      <alignment vertical="center"/>
    </xf>
    <xf numFmtId="0" fontId="108" fillId="15" borderId="0">
      <alignment vertical="center"/>
    </xf>
    <xf numFmtId="0" fontId="88" fillId="16" borderId="0">
      <alignment vertical="center"/>
    </xf>
    <xf numFmtId="0" fontId="88" fillId="7" borderId="0">
      <alignment vertical="center"/>
    </xf>
    <xf numFmtId="0" fontId="108" fillId="17" borderId="0">
      <alignment vertical="center"/>
    </xf>
    <xf numFmtId="0" fontId="108" fillId="18" borderId="0">
      <alignment vertical="center"/>
    </xf>
    <xf numFmtId="0" fontId="88" fillId="19" borderId="0">
      <alignment vertical="center"/>
    </xf>
    <xf numFmtId="0" fontId="88" fillId="20" borderId="0">
      <alignment vertical="center"/>
    </xf>
    <xf numFmtId="0" fontId="108" fillId="21" borderId="0">
      <alignment vertical="center"/>
    </xf>
    <xf numFmtId="0" fontId="108" fillId="22" borderId="0">
      <alignment vertical="center"/>
    </xf>
    <xf numFmtId="0" fontId="88" fillId="23" borderId="0">
      <alignment vertical="center"/>
    </xf>
    <xf numFmtId="0" fontId="88" fillId="24" borderId="0">
      <alignment vertical="center"/>
    </xf>
    <xf numFmtId="0" fontId="108" fillId="25" borderId="0">
      <alignment vertical="center"/>
    </xf>
    <xf numFmtId="0" fontId="108" fillId="26" borderId="0">
      <alignment vertical="center"/>
    </xf>
    <xf numFmtId="0" fontId="88" fillId="27" borderId="0">
      <alignment vertical="center"/>
    </xf>
    <xf numFmtId="0" fontId="88" fillId="28" borderId="0">
      <alignment vertical="center"/>
    </xf>
    <xf numFmtId="0" fontId="108" fillId="29" borderId="0">
      <alignment vertical="center"/>
    </xf>
    <xf numFmtId="0" fontId="108" fillId="30" borderId="0">
      <alignment vertical="center"/>
    </xf>
    <xf numFmtId="0" fontId="88" fillId="31" borderId="0">
      <alignment vertical="center"/>
    </xf>
    <xf numFmtId="0" fontId="89" fillId="0" borderId="0"/>
    <xf numFmtId="0" fontId="89" fillId="0" borderId="0"/>
    <xf numFmtId="0" fontId="70" fillId="0" borderId="0">
      <alignment vertical="center"/>
    </xf>
    <xf numFmtId="41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0" fontId="110" fillId="0" borderId="0"/>
    <xf numFmtId="41" fontId="110" fillId="0" borderId="0" applyFont="0" applyFill="0" applyBorder="0" applyAlignment="0" applyProtection="0"/>
    <xf numFmtId="0" fontId="69" fillId="0" borderId="0">
      <alignment vertical="center"/>
    </xf>
    <xf numFmtId="0" fontId="68" fillId="0" borderId="0">
      <alignment vertical="center"/>
    </xf>
    <xf numFmtId="41" fontId="68" fillId="0" borderId="0" applyFont="0" applyFill="0" applyBorder="0" applyAlignment="0" applyProtection="0">
      <alignment vertical="center"/>
    </xf>
    <xf numFmtId="0" fontId="67" fillId="0" borderId="0">
      <alignment vertical="center"/>
    </xf>
    <xf numFmtId="0" fontId="66" fillId="0" borderId="0">
      <alignment vertical="center"/>
    </xf>
    <xf numFmtId="41" fontId="66" fillId="0" borderId="0" applyFont="0" applyFill="0" applyBorder="0" applyAlignment="0" applyProtection="0">
      <alignment vertical="center"/>
    </xf>
    <xf numFmtId="0" fontId="65" fillId="0" borderId="0">
      <alignment vertical="center"/>
    </xf>
    <xf numFmtId="0" fontId="64" fillId="0" borderId="0">
      <alignment vertical="center"/>
    </xf>
    <xf numFmtId="0" fontId="63" fillId="0" borderId="0">
      <alignment vertical="center"/>
    </xf>
    <xf numFmtId="0" fontId="62" fillId="0" borderId="0">
      <alignment vertical="center"/>
    </xf>
    <xf numFmtId="0" fontId="61" fillId="0" borderId="0">
      <alignment vertical="center"/>
    </xf>
    <xf numFmtId="0" fontId="60" fillId="0" borderId="0">
      <alignment vertical="center"/>
    </xf>
    <xf numFmtId="0" fontId="59" fillId="0" borderId="0">
      <alignment vertical="center"/>
    </xf>
    <xf numFmtId="0" fontId="58" fillId="0" borderId="0">
      <alignment vertical="center"/>
    </xf>
    <xf numFmtId="0" fontId="57" fillId="0" borderId="0">
      <alignment vertical="center"/>
    </xf>
    <xf numFmtId="41" fontId="57" fillId="0" borderId="0" applyFont="0" applyFill="0" applyBorder="0" applyAlignment="0" applyProtection="0">
      <alignment vertical="center"/>
    </xf>
    <xf numFmtId="0" fontId="56" fillId="0" borderId="0">
      <alignment vertical="center"/>
    </xf>
    <xf numFmtId="41" fontId="56" fillId="0" borderId="0" applyFont="0" applyFill="0" applyBorder="0" applyAlignment="0" applyProtection="0">
      <alignment vertical="center"/>
    </xf>
    <xf numFmtId="0" fontId="55" fillId="0" borderId="0">
      <alignment vertical="center"/>
    </xf>
    <xf numFmtId="41" fontId="55" fillId="0" borderId="0" applyFont="0" applyFill="0" applyBorder="0" applyAlignment="0" applyProtection="0">
      <alignment vertical="center"/>
    </xf>
    <xf numFmtId="0" fontId="71" fillId="0" borderId="0">
      <alignment vertical="center"/>
    </xf>
    <xf numFmtId="41" fontId="71" fillId="0" borderId="0">
      <alignment vertical="center"/>
    </xf>
    <xf numFmtId="41" fontId="55" fillId="0" borderId="0" applyFont="0" applyFill="0" applyBorder="0" applyAlignment="0" applyProtection="0">
      <alignment vertical="center"/>
    </xf>
    <xf numFmtId="0" fontId="54" fillId="0" borderId="0">
      <alignment vertical="center"/>
    </xf>
    <xf numFmtId="41" fontId="53" fillId="0" borderId="0" applyFont="0" applyFill="0" applyBorder="0" applyAlignment="0" applyProtection="0">
      <alignment vertical="center"/>
    </xf>
    <xf numFmtId="0" fontId="53" fillId="0" borderId="0">
      <alignment vertical="center"/>
    </xf>
    <xf numFmtId="0" fontId="52" fillId="0" borderId="0">
      <alignment vertical="center"/>
    </xf>
    <xf numFmtId="0" fontId="51" fillId="0" borderId="0">
      <alignment vertical="center"/>
    </xf>
    <xf numFmtId="41" fontId="51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49" fillId="0" borderId="0">
      <alignment vertical="center"/>
    </xf>
    <xf numFmtId="0" fontId="71" fillId="0" borderId="0">
      <alignment vertical="center"/>
    </xf>
    <xf numFmtId="41" fontId="71" fillId="0" borderId="0">
      <alignment vertical="center"/>
    </xf>
    <xf numFmtId="41" fontId="49" fillId="0" borderId="0" applyFont="0" applyFill="0" applyBorder="0" applyAlignment="0" applyProtection="0">
      <alignment vertical="center"/>
    </xf>
    <xf numFmtId="41" fontId="72" fillId="0" borderId="0"/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7" fillId="0" borderId="0">
      <alignment vertical="center"/>
    </xf>
    <xf numFmtId="41" fontId="47" fillId="0" borderId="0" applyFont="0" applyFill="0" applyBorder="0" applyAlignment="0" applyProtection="0">
      <alignment vertical="center"/>
    </xf>
    <xf numFmtId="0" fontId="71" fillId="0" borderId="0">
      <alignment vertical="center"/>
    </xf>
    <xf numFmtId="41" fontId="71" fillId="0" borderId="0">
      <alignment vertical="center"/>
    </xf>
    <xf numFmtId="9" fontId="71" fillId="0" borderId="0">
      <alignment vertical="center"/>
    </xf>
    <xf numFmtId="41" fontId="72" fillId="0" borderId="0"/>
    <xf numFmtId="0" fontId="73" fillId="0" borderId="0">
      <alignment vertical="center"/>
    </xf>
    <xf numFmtId="0" fontId="74" fillId="0" borderId="1">
      <alignment vertical="center"/>
    </xf>
    <xf numFmtId="0" fontId="75" fillId="0" borderId="2">
      <alignment vertical="center"/>
    </xf>
    <xf numFmtId="0" fontId="76" fillId="0" borderId="3">
      <alignment vertical="center"/>
    </xf>
    <xf numFmtId="0" fontId="76" fillId="0" borderId="0">
      <alignment vertical="center"/>
    </xf>
    <xf numFmtId="0" fontId="77" fillId="2" borderId="0">
      <alignment vertical="center"/>
    </xf>
    <xf numFmtId="0" fontId="78" fillId="3" borderId="0">
      <alignment vertical="center"/>
    </xf>
    <xf numFmtId="0" fontId="79" fillId="4" borderId="0">
      <alignment vertical="center"/>
    </xf>
    <xf numFmtId="0" fontId="80" fillId="5" borderId="4">
      <alignment vertical="center"/>
    </xf>
    <xf numFmtId="0" fontId="81" fillId="6" borderId="5">
      <alignment vertical="center"/>
    </xf>
    <xf numFmtId="0" fontId="82" fillId="6" borderId="4">
      <alignment vertical="center"/>
    </xf>
    <xf numFmtId="0" fontId="83" fillId="0" borderId="6">
      <alignment vertical="center"/>
    </xf>
    <xf numFmtId="0" fontId="84" fillId="7" borderId="7">
      <alignment vertical="center"/>
    </xf>
    <xf numFmtId="0" fontId="85" fillId="0" borderId="0">
      <alignment vertical="center"/>
    </xf>
    <xf numFmtId="0" fontId="71" fillId="8" borderId="8">
      <alignment vertical="center"/>
    </xf>
    <xf numFmtId="0" fontId="86" fillId="0" borderId="0">
      <alignment vertical="center"/>
    </xf>
    <xf numFmtId="0" fontId="87" fillId="0" borderId="9">
      <alignment vertical="center"/>
    </xf>
    <xf numFmtId="0" fontId="88" fillId="9" borderId="0">
      <alignment vertical="center"/>
    </xf>
    <xf numFmtId="0" fontId="71" fillId="10" borderId="0">
      <alignment vertical="center"/>
    </xf>
    <xf numFmtId="0" fontId="71" fillId="11" borderId="0">
      <alignment vertical="center"/>
    </xf>
    <xf numFmtId="0" fontId="88" fillId="12" borderId="0">
      <alignment vertical="center"/>
    </xf>
    <xf numFmtId="0" fontId="88" fillId="13" borderId="0">
      <alignment vertical="center"/>
    </xf>
    <xf numFmtId="0" fontId="71" fillId="14" borderId="0">
      <alignment vertical="center"/>
    </xf>
    <xf numFmtId="0" fontId="71" fillId="15" borderId="0">
      <alignment vertical="center"/>
    </xf>
    <xf numFmtId="0" fontId="88" fillId="16" borderId="0">
      <alignment vertical="center"/>
    </xf>
    <xf numFmtId="0" fontId="88" fillId="7" borderId="0">
      <alignment vertical="center"/>
    </xf>
    <xf numFmtId="0" fontId="71" fillId="17" borderId="0">
      <alignment vertical="center"/>
    </xf>
    <xf numFmtId="0" fontId="71" fillId="18" borderId="0">
      <alignment vertical="center"/>
    </xf>
    <xf numFmtId="0" fontId="88" fillId="19" borderId="0">
      <alignment vertical="center"/>
    </xf>
    <xf numFmtId="0" fontId="88" fillId="20" borderId="0">
      <alignment vertical="center"/>
    </xf>
    <xf numFmtId="0" fontId="71" fillId="21" borderId="0">
      <alignment vertical="center"/>
    </xf>
    <xf numFmtId="0" fontId="71" fillId="22" borderId="0">
      <alignment vertical="center"/>
    </xf>
    <xf numFmtId="0" fontId="88" fillId="23" borderId="0">
      <alignment vertical="center"/>
    </xf>
    <xf numFmtId="0" fontId="88" fillId="24" borderId="0">
      <alignment vertical="center"/>
    </xf>
    <xf numFmtId="0" fontId="71" fillId="25" borderId="0">
      <alignment vertical="center"/>
    </xf>
    <xf numFmtId="0" fontId="71" fillId="26" borderId="0">
      <alignment vertical="center"/>
    </xf>
    <xf numFmtId="0" fontId="88" fillId="27" borderId="0">
      <alignment vertical="center"/>
    </xf>
    <xf numFmtId="0" fontId="88" fillId="28" borderId="0">
      <alignment vertical="center"/>
    </xf>
    <xf numFmtId="0" fontId="71" fillId="29" borderId="0">
      <alignment vertical="center"/>
    </xf>
    <xf numFmtId="0" fontId="71" fillId="30" borderId="0">
      <alignment vertical="center"/>
    </xf>
    <xf numFmtId="0" fontId="88" fillId="31" borderId="0">
      <alignment vertical="center"/>
    </xf>
    <xf numFmtId="0" fontId="47" fillId="0" borderId="0">
      <alignment vertical="center"/>
    </xf>
    <xf numFmtId="41" fontId="47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>
      <alignment vertical="center"/>
    </xf>
    <xf numFmtId="41" fontId="110" fillId="0" borderId="0" applyFont="0" applyFill="0" applyBorder="0" applyAlignment="0" applyProtection="0"/>
    <xf numFmtId="0" fontId="47" fillId="0" borderId="0">
      <alignment vertical="center"/>
    </xf>
    <xf numFmtId="0" fontId="47" fillId="0" borderId="0">
      <alignment vertical="center"/>
    </xf>
    <xf numFmtId="41" fontId="47" fillId="0" borderId="0" applyFont="0" applyFill="0" applyBorder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41" fontId="47" fillId="0" borderId="0" applyFont="0" applyFill="0" applyBorder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41" fontId="47" fillId="0" borderId="0" applyFont="0" applyFill="0" applyBorder="0" applyAlignment="0" applyProtection="0">
      <alignment vertical="center"/>
    </xf>
    <xf numFmtId="0" fontId="47" fillId="0" borderId="0">
      <alignment vertical="center"/>
    </xf>
    <xf numFmtId="41" fontId="47" fillId="0" borderId="0" applyFont="0" applyFill="0" applyBorder="0" applyAlignment="0" applyProtection="0">
      <alignment vertical="center"/>
    </xf>
    <xf numFmtId="0" fontId="47" fillId="0" borderId="0">
      <alignment vertical="center"/>
    </xf>
    <xf numFmtId="41" fontId="47" fillId="0" borderId="0" applyFont="0" applyFill="0" applyBorder="0" applyAlignment="0" applyProtection="0">
      <alignment vertical="center"/>
    </xf>
    <xf numFmtId="41" fontId="71" fillId="0" borderId="0">
      <alignment vertical="center"/>
    </xf>
    <xf numFmtId="41" fontId="47" fillId="0" borderId="0" applyFont="0" applyFill="0" applyBorder="0" applyAlignment="0" applyProtection="0">
      <alignment vertical="center"/>
    </xf>
    <xf numFmtId="0" fontId="47" fillId="0" borderId="0">
      <alignment vertical="center"/>
    </xf>
    <xf numFmtId="41" fontId="47" fillId="0" borderId="0" applyFont="0" applyFill="0" applyBorder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41" fontId="47" fillId="0" borderId="0" applyFont="0" applyFill="0" applyBorder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41" fontId="71" fillId="0" borderId="0">
      <alignment vertical="center"/>
    </xf>
    <xf numFmtId="41" fontId="47" fillId="0" borderId="0" applyFont="0" applyFill="0" applyBorder="0" applyAlignment="0" applyProtection="0">
      <alignment vertical="center"/>
    </xf>
    <xf numFmtId="41" fontId="72" fillId="0" borderId="0"/>
    <xf numFmtId="0" fontId="47" fillId="0" borderId="0">
      <alignment vertical="center"/>
    </xf>
    <xf numFmtId="41" fontId="47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3" fillId="0" borderId="0">
      <alignment vertical="center"/>
    </xf>
    <xf numFmtId="0" fontId="42" fillId="0" borderId="0">
      <alignment vertical="center"/>
    </xf>
    <xf numFmtId="41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0" fontId="39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7" fillId="0" borderId="0">
      <alignment vertical="center"/>
    </xf>
    <xf numFmtId="0" fontId="36" fillId="0" borderId="0">
      <alignment vertical="center"/>
    </xf>
    <xf numFmtId="41" fontId="36" fillId="0" borderId="0" applyFont="0" applyFill="0" applyBorder="0" applyAlignment="0" applyProtection="0">
      <alignment vertical="center"/>
    </xf>
    <xf numFmtId="0" fontId="35" fillId="0" borderId="0">
      <alignment vertical="center"/>
    </xf>
    <xf numFmtId="0" fontId="34" fillId="0" borderId="0">
      <alignment vertical="center"/>
    </xf>
    <xf numFmtId="41" fontId="34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41" fontId="33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0" fontId="31" fillId="0" borderId="0">
      <alignment vertical="center"/>
    </xf>
    <xf numFmtId="0" fontId="30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27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41" fontId="26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41" fontId="25" fillId="0" borderId="0" applyFont="0" applyFill="0" applyBorder="0" applyAlignment="0" applyProtection="0">
      <alignment vertical="center"/>
    </xf>
    <xf numFmtId="0" fontId="24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1" fillId="0" borderId="0">
      <alignment vertical="center"/>
    </xf>
    <xf numFmtId="0" fontId="126" fillId="0" borderId="0">
      <alignment vertical="center"/>
    </xf>
    <xf numFmtId="0" fontId="20" fillId="0" borderId="0">
      <alignment vertical="center"/>
    </xf>
    <xf numFmtId="41" fontId="110" fillId="0" borderId="0" applyFont="0" applyFill="0" applyBorder="0" applyAlignment="0" applyProtection="0">
      <alignment vertical="center"/>
    </xf>
    <xf numFmtId="0" fontId="110" fillId="0" borderId="0">
      <alignment vertical="center"/>
    </xf>
    <xf numFmtId="0" fontId="127" fillId="0" borderId="0"/>
    <xf numFmtId="0" fontId="128" fillId="0" borderId="0">
      <alignment vertical="center"/>
    </xf>
    <xf numFmtId="0" fontId="129" fillId="0" borderId="0">
      <alignment vertical="center"/>
    </xf>
    <xf numFmtId="41" fontId="110" fillId="0" borderId="0" applyFont="0" applyFill="0" applyBorder="0" applyAlignment="0" applyProtection="0"/>
    <xf numFmtId="41" fontId="20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460">
    <xf numFmtId="0" fontId="0" fillId="0" borderId="0" xfId="0">
      <alignment vertical="center"/>
    </xf>
    <xf numFmtId="0" fontId="90" fillId="0" borderId="0" xfId="2" applyFont="1" applyAlignment="1">
      <alignment vertical="center" shrinkToFit="1"/>
    </xf>
    <xf numFmtId="38" fontId="90" fillId="0" borderId="0" xfId="2" applyNumberFormat="1" applyFont="1" applyAlignment="1">
      <alignment vertical="center" shrinkToFit="1"/>
    </xf>
    <xf numFmtId="41" fontId="90" fillId="0" borderId="0" xfId="3" applyFont="1" applyAlignment="1">
      <alignment horizontal="right" vertical="center" shrinkToFit="1"/>
    </xf>
    <xf numFmtId="1" fontId="91" fillId="33" borderId="12" xfId="2" applyNumberFormat="1" applyFont="1" applyFill="1" applyBorder="1" applyAlignment="1">
      <alignment horizontal="center" vertical="center" shrinkToFit="1"/>
    </xf>
    <xf numFmtId="0" fontId="92" fillId="34" borderId="14" xfId="2" applyFont="1" applyFill="1" applyBorder="1" applyAlignment="1">
      <alignment horizontal="center" vertical="center" shrinkToFit="1"/>
    </xf>
    <xf numFmtId="0" fontId="92" fillId="34" borderId="0" xfId="2" applyFont="1" applyFill="1" applyAlignment="1">
      <alignment vertical="center" shrinkToFit="1"/>
    </xf>
    <xf numFmtId="41" fontId="92" fillId="34" borderId="15" xfId="1" applyFont="1" applyFill="1" applyBorder="1" applyAlignment="1">
      <alignment horizontal="right" vertical="center"/>
    </xf>
    <xf numFmtId="41" fontId="92" fillId="34" borderId="16" xfId="1" applyFont="1" applyFill="1" applyBorder="1" applyAlignment="1">
      <alignment horizontal="right" vertical="center"/>
    </xf>
    <xf numFmtId="49" fontId="91" fillId="34" borderId="14" xfId="2" applyNumberFormat="1" applyFont="1" applyFill="1" applyBorder="1" applyAlignment="1">
      <alignment horizontal="center" vertical="center" shrinkToFit="1"/>
    </xf>
    <xf numFmtId="1" fontId="91" fillId="34" borderId="0" xfId="2" applyNumberFormat="1" applyFont="1" applyFill="1" applyAlignment="1">
      <alignment vertical="center" shrinkToFit="1"/>
    </xf>
    <xf numFmtId="41" fontId="91" fillId="34" borderId="15" xfId="1" applyFont="1" applyFill="1" applyBorder="1" applyAlignment="1">
      <alignment horizontal="right" vertical="center"/>
    </xf>
    <xf numFmtId="41" fontId="91" fillId="34" borderId="16" xfId="1" applyFont="1" applyFill="1" applyBorder="1" applyAlignment="1">
      <alignment horizontal="right" vertical="center"/>
    </xf>
    <xf numFmtId="0" fontId="91" fillId="34" borderId="14" xfId="2" applyFont="1" applyFill="1" applyBorder="1" applyAlignment="1">
      <alignment horizontal="center" vertical="center" shrinkToFit="1"/>
    </xf>
    <xf numFmtId="41" fontId="91" fillId="34" borderId="17" xfId="1" applyFont="1" applyFill="1" applyBorder="1" applyAlignment="1">
      <alignment horizontal="right" vertical="center" shrinkToFit="1"/>
    </xf>
    <xf numFmtId="41" fontId="91" fillId="34" borderId="17" xfId="1" applyFont="1" applyFill="1" applyBorder="1" applyAlignment="1">
      <alignment horizontal="right" vertical="center"/>
    </xf>
    <xf numFmtId="176" fontId="92" fillId="34" borderId="16" xfId="1" applyNumberFormat="1" applyFont="1" applyFill="1" applyBorder="1" applyAlignment="1">
      <alignment horizontal="right" vertical="center"/>
    </xf>
    <xf numFmtId="0" fontId="92" fillId="34" borderId="18" xfId="2" applyFont="1" applyFill="1" applyBorder="1" applyAlignment="1">
      <alignment horizontal="center" vertical="center" shrinkToFit="1"/>
    </xf>
    <xf numFmtId="0" fontId="92" fillId="34" borderId="19" xfId="2" applyFont="1" applyFill="1" applyBorder="1" applyAlignment="1">
      <alignment vertical="center" shrinkToFit="1"/>
    </xf>
    <xf numFmtId="41" fontId="92" fillId="34" borderId="20" xfId="1" applyFont="1" applyFill="1" applyBorder="1" applyAlignment="1">
      <alignment horizontal="right" vertical="center"/>
    </xf>
    <xf numFmtId="176" fontId="92" fillId="34" borderId="21" xfId="1" applyNumberFormat="1" applyFont="1" applyFill="1" applyBorder="1" applyAlignment="1">
      <alignment horizontal="right" vertical="center"/>
    </xf>
    <xf numFmtId="41" fontId="0" fillId="0" borderId="0" xfId="0" applyNumberFormat="1">
      <alignment vertical="center"/>
    </xf>
    <xf numFmtId="0" fontId="72" fillId="0" borderId="0" xfId="2"/>
    <xf numFmtId="0" fontId="98" fillId="0" borderId="0" xfId="2" applyFont="1"/>
    <xf numFmtId="0" fontId="98" fillId="0" borderId="0" xfId="2" applyFont="1" applyAlignment="1">
      <alignment horizontal="center"/>
    </xf>
    <xf numFmtId="0" fontId="98" fillId="0" borderId="0" xfId="2" applyFont="1" applyAlignment="1">
      <alignment vertical="center" shrinkToFit="1"/>
    </xf>
    <xf numFmtId="178" fontId="98" fillId="0" borderId="0" xfId="2" applyNumberFormat="1" applyFont="1" applyAlignment="1">
      <alignment vertical="center" shrinkToFit="1"/>
    </xf>
    <xf numFmtId="0" fontId="99" fillId="0" borderId="0" xfId="2" applyFont="1" applyAlignment="1">
      <alignment vertical="center" shrinkToFit="1"/>
    </xf>
    <xf numFmtId="38" fontId="99" fillId="0" borderId="0" xfId="2" applyNumberFormat="1" applyFont="1" applyAlignment="1">
      <alignment vertical="center" shrinkToFit="1"/>
    </xf>
    <xf numFmtId="3" fontId="98" fillId="0" borderId="0" xfId="2" applyNumberFormat="1" applyFont="1" applyAlignment="1">
      <alignment vertical="center" shrinkToFit="1"/>
    </xf>
    <xf numFmtId="0" fontId="98" fillId="0" borderId="0" xfId="2" applyFont="1" applyAlignment="1">
      <alignment horizontal="center" vertical="center" shrinkToFit="1"/>
    </xf>
    <xf numFmtId="0" fontId="98" fillId="0" borderId="0" xfId="2" applyFont="1" applyAlignment="1">
      <alignment horizontal="right" vertical="center" shrinkToFit="1"/>
    </xf>
    <xf numFmtId="177" fontId="0" fillId="0" borderId="0" xfId="0" applyNumberFormat="1">
      <alignment vertical="center"/>
    </xf>
    <xf numFmtId="177" fontId="92" fillId="34" borderId="41" xfId="3" applyNumberFormat="1" applyFont="1" applyFill="1" applyBorder="1" applyAlignment="1">
      <alignment horizontal="right" vertical="center"/>
    </xf>
    <xf numFmtId="1" fontId="92" fillId="34" borderId="19" xfId="2" applyNumberFormat="1" applyFont="1" applyFill="1" applyBorder="1" applyAlignment="1">
      <alignment horizontal="center" vertical="center" shrinkToFit="1"/>
    </xf>
    <xf numFmtId="1" fontId="92" fillId="34" borderId="18" xfId="2" applyNumberFormat="1" applyFont="1" applyFill="1" applyBorder="1" applyAlignment="1">
      <alignment horizontal="right" vertical="center" shrinkToFit="1"/>
    </xf>
    <xf numFmtId="177" fontId="92" fillId="34" borderId="44" xfId="3" applyNumberFormat="1" applyFont="1" applyFill="1" applyBorder="1" applyAlignment="1">
      <alignment horizontal="right" vertical="center"/>
    </xf>
    <xf numFmtId="1" fontId="92" fillId="34" borderId="14" xfId="2" applyNumberFormat="1" applyFont="1" applyFill="1" applyBorder="1" applyAlignment="1">
      <alignment horizontal="right" vertical="center" shrinkToFit="1"/>
    </xf>
    <xf numFmtId="177" fontId="100" fillId="34" borderId="16" xfId="3" applyNumberFormat="1" applyFont="1" applyFill="1" applyBorder="1" applyAlignment="1">
      <alignment horizontal="right" vertical="center"/>
    </xf>
    <xf numFmtId="177" fontId="100" fillId="34" borderId="15" xfId="3" applyNumberFormat="1" applyFont="1" applyFill="1" applyBorder="1" applyAlignment="1">
      <alignment horizontal="right" vertical="center"/>
    </xf>
    <xf numFmtId="49" fontId="91" fillId="34" borderId="14" xfId="2" applyNumberFormat="1" applyFont="1" applyFill="1" applyBorder="1" applyAlignment="1">
      <alignment vertical="center" shrinkToFit="1"/>
    </xf>
    <xf numFmtId="177" fontId="100" fillId="34" borderId="16" xfId="3" applyNumberFormat="1" applyFont="1" applyFill="1" applyBorder="1" applyAlignment="1">
      <alignment horizontal="right" vertical="center" shrinkToFit="1"/>
    </xf>
    <xf numFmtId="177" fontId="100" fillId="34" borderId="15" xfId="2" applyNumberFormat="1" applyFont="1" applyFill="1" applyBorder="1" applyAlignment="1">
      <alignment horizontal="right" vertical="center"/>
    </xf>
    <xf numFmtId="0" fontId="91" fillId="34" borderId="14" xfId="2" applyFont="1" applyFill="1" applyBorder="1" applyAlignment="1">
      <alignment horizontal="right" vertical="center" shrinkToFit="1"/>
    </xf>
    <xf numFmtId="177" fontId="91" fillId="34" borderId="16" xfId="3" applyNumberFormat="1" applyFont="1" applyFill="1" applyBorder="1" applyAlignment="1">
      <alignment horizontal="right" vertical="center"/>
    </xf>
    <xf numFmtId="177" fontId="91" fillId="34" borderId="15" xfId="2" applyNumberFormat="1" applyFont="1" applyFill="1" applyBorder="1" applyAlignment="1">
      <alignment horizontal="right" vertical="center"/>
    </xf>
    <xf numFmtId="177" fontId="91" fillId="34" borderId="17" xfId="2" applyNumberFormat="1" applyFont="1" applyFill="1" applyBorder="1" applyAlignment="1">
      <alignment horizontal="right" vertical="center" shrinkToFit="1"/>
    </xf>
    <xf numFmtId="177" fontId="91" fillId="34" borderId="17" xfId="2" applyNumberFormat="1" applyFont="1" applyFill="1" applyBorder="1" applyAlignment="1">
      <alignment horizontal="right" vertical="center"/>
    </xf>
    <xf numFmtId="177" fontId="100" fillId="34" borderId="16" xfId="2" applyNumberFormat="1" applyFont="1" applyFill="1" applyBorder="1" applyAlignment="1">
      <alignment horizontal="right" vertical="center"/>
    </xf>
    <xf numFmtId="177" fontId="91" fillId="34" borderId="15" xfId="3" applyNumberFormat="1" applyFont="1" applyFill="1" applyBorder="1" applyAlignment="1">
      <alignment horizontal="right" vertical="center"/>
    </xf>
    <xf numFmtId="177" fontId="91" fillId="34" borderId="16" xfId="2" applyNumberFormat="1" applyFont="1" applyFill="1" applyBorder="1" applyAlignment="1">
      <alignment horizontal="right" vertical="center"/>
    </xf>
    <xf numFmtId="177" fontId="91" fillId="34" borderId="17" xfId="3" applyNumberFormat="1" applyFont="1" applyFill="1" applyBorder="1" applyAlignment="1">
      <alignment horizontal="right" vertical="center"/>
    </xf>
    <xf numFmtId="177" fontId="100" fillId="34" borderId="17" xfId="2" applyNumberFormat="1" applyFont="1" applyFill="1" applyBorder="1" applyAlignment="1">
      <alignment horizontal="right" vertical="center" shrinkToFit="1"/>
    </xf>
    <xf numFmtId="1" fontId="91" fillId="33" borderId="12" xfId="2" applyNumberFormat="1" applyFont="1" applyFill="1" applyBorder="1" applyAlignment="1">
      <alignment horizontal="right" vertical="center" shrinkToFit="1"/>
    </xf>
    <xf numFmtId="38" fontId="90" fillId="0" borderId="19" xfId="2" applyNumberFormat="1" applyFont="1" applyBorder="1" applyAlignment="1">
      <alignment vertical="center" shrinkToFit="1"/>
    </xf>
    <xf numFmtId="0" fontId="90" fillId="0" borderId="19" xfId="2" applyFont="1" applyBorder="1" applyAlignment="1">
      <alignment vertical="center" shrinkToFit="1"/>
    </xf>
    <xf numFmtId="41" fontId="0" fillId="0" borderId="0" xfId="1" applyFont="1">
      <alignment vertical="center"/>
    </xf>
    <xf numFmtId="177" fontId="92" fillId="0" borderId="21" xfId="0" applyNumberFormat="1" applyFont="1" applyBorder="1">
      <alignment vertical="center"/>
    </xf>
    <xf numFmtId="1" fontId="91" fillId="34" borderId="19" xfId="2" applyNumberFormat="1" applyFont="1" applyFill="1" applyBorder="1" applyAlignment="1">
      <alignment vertical="center" shrinkToFit="1"/>
    </xf>
    <xf numFmtId="49" fontId="91" fillId="34" borderId="18" xfId="2" applyNumberFormat="1" applyFont="1" applyFill="1" applyBorder="1" applyAlignment="1">
      <alignment horizontal="center" vertical="center" shrinkToFit="1"/>
    </xf>
    <xf numFmtId="41" fontId="91" fillId="34" borderId="21" xfId="1" applyFont="1" applyFill="1" applyBorder="1" applyAlignment="1">
      <alignment horizontal="right" vertical="center"/>
    </xf>
    <xf numFmtId="41" fontId="91" fillId="34" borderId="18" xfId="1" applyFont="1" applyFill="1" applyBorder="1" applyAlignment="1">
      <alignment horizontal="right" vertical="center"/>
    </xf>
    <xf numFmtId="41" fontId="91" fillId="34" borderId="14" xfId="1" applyFont="1" applyFill="1" applyBorder="1" applyAlignment="1">
      <alignment horizontal="right" vertical="center"/>
    </xf>
    <xf numFmtId="41" fontId="92" fillId="34" borderId="14" xfId="1" applyFont="1" applyFill="1" applyBorder="1" applyAlignment="1">
      <alignment horizontal="right" vertical="center"/>
    </xf>
    <xf numFmtId="41" fontId="92" fillId="34" borderId="45" xfId="1" applyFont="1" applyFill="1" applyBorder="1" applyAlignment="1">
      <alignment horizontal="right" vertical="center"/>
    </xf>
    <xf numFmtId="41" fontId="92" fillId="34" borderId="46" xfId="1" applyFont="1" applyFill="1" applyBorder="1" applyAlignment="1">
      <alignment horizontal="right" vertical="center"/>
    </xf>
    <xf numFmtId="0" fontId="92" fillId="34" borderId="47" xfId="2" applyFont="1" applyFill="1" applyBorder="1" applyAlignment="1">
      <alignment vertical="center" shrinkToFit="1"/>
    </xf>
    <xf numFmtId="0" fontId="92" fillId="34" borderId="46" xfId="2" applyFont="1" applyFill="1" applyBorder="1" applyAlignment="1">
      <alignment horizontal="center" vertical="center" shrinkToFit="1"/>
    </xf>
    <xf numFmtId="1" fontId="91" fillId="33" borderId="46" xfId="2" applyNumberFormat="1" applyFont="1" applyFill="1" applyBorder="1" applyAlignment="1">
      <alignment horizontal="center" vertical="center" shrinkToFit="1"/>
    </xf>
    <xf numFmtId="1" fontId="97" fillId="0" borderId="0" xfId="2" applyNumberFormat="1" applyFont="1" applyAlignment="1">
      <alignment vertical="center" shrinkToFit="1"/>
    </xf>
    <xf numFmtId="49" fontId="91" fillId="34" borderId="48" xfId="2" applyNumberFormat="1" applyFont="1" applyFill="1" applyBorder="1" applyAlignment="1">
      <alignment horizontal="center" vertical="center" shrinkToFit="1"/>
    </xf>
    <xf numFmtId="1" fontId="91" fillId="34" borderId="49" xfId="2" applyNumberFormat="1" applyFont="1" applyFill="1" applyBorder="1" applyAlignment="1">
      <alignment vertical="center" shrinkToFit="1"/>
    </xf>
    <xf numFmtId="177" fontId="91" fillId="34" borderId="48" xfId="2" applyNumberFormat="1" applyFont="1" applyFill="1" applyBorder="1" applyAlignment="1">
      <alignment horizontal="right" vertical="center"/>
    </xf>
    <xf numFmtId="41" fontId="92" fillId="0" borderId="50" xfId="1" applyFont="1" applyBorder="1">
      <alignment vertical="center"/>
    </xf>
    <xf numFmtId="177" fontId="91" fillId="34" borderId="22" xfId="2" applyNumberFormat="1" applyFont="1" applyFill="1" applyBorder="1" applyAlignment="1">
      <alignment horizontal="right" vertical="center"/>
    </xf>
    <xf numFmtId="0" fontId="0" fillId="32" borderId="0" xfId="0" applyFill="1" applyAlignment="1">
      <alignment horizontal="center" vertical="center"/>
    </xf>
    <xf numFmtId="41" fontId="97" fillId="34" borderId="15" xfId="1" applyFont="1" applyFill="1" applyBorder="1" applyAlignment="1">
      <alignment horizontal="right" vertical="center"/>
    </xf>
    <xf numFmtId="41" fontId="97" fillId="34" borderId="16" xfId="1" applyFont="1" applyFill="1" applyBorder="1" applyAlignment="1">
      <alignment horizontal="right" vertical="center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181" fontId="103" fillId="0" borderId="0" xfId="0" applyNumberFormat="1" applyFont="1">
      <alignment vertical="center"/>
    </xf>
    <xf numFmtId="181" fontId="104" fillId="0" borderId="0" xfId="0" applyNumberFormat="1" applyFont="1">
      <alignment vertical="center"/>
    </xf>
    <xf numFmtId="181" fontId="85" fillId="0" borderId="0" xfId="0" applyNumberFormat="1" applyFont="1">
      <alignment vertical="center"/>
    </xf>
    <xf numFmtId="49" fontId="91" fillId="34" borderId="0" xfId="2" applyNumberFormat="1" applyFont="1" applyFill="1" applyAlignment="1">
      <alignment vertical="center" wrapText="1" shrinkToFit="1"/>
    </xf>
    <xf numFmtId="182" fontId="91" fillId="34" borderId="0" xfId="2" applyNumberFormat="1" applyFont="1" applyFill="1" applyAlignment="1">
      <alignment vertical="center" wrapText="1" shrinkToFit="1"/>
    </xf>
    <xf numFmtId="176" fontId="0" fillId="0" borderId="0" xfId="0" applyNumberFormat="1">
      <alignment vertical="center"/>
    </xf>
    <xf numFmtId="49" fontId="91" fillId="35" borderId="14" xfId="2" applyNumberFormat="1" applyFont="1" applyFill="1" applyBorder="1" applyAlignment="1">
      <alignment vertical="center" shrinkToFit="1"/>
    </xf>
    <xf numFmtId="1" fontId="91" fillId="35" borderId="0" xfId="2" applyNumberFormat="1" applyFont="1" applyFill="1" applyAlignment="1">
      <alignment vertical="center" shrinkToFit="1"/>
    </xf>
    <xf numFmtId="177" fontId="91" fillId="35" borderId="17" xfId="2" applyNumberFormat="1" applyFont="1" applyFill="1" applyBorder="1" applyAlignment="1">
      <alignment horizontal="right" vertical="center" shrinkToFit="1"/>
    </xf>
    <xf numFmtId="1" fontId="92" fillId="35" borderId="14" xfId="2" applyNumberFormat="1" applyFont="1" applyFill="1" applyBorder="1" applyAlignment="1">
      <alignment horizontal="right" vertical="center" shrinkToFit="1"/>
    </xf>
    <xf numFmtId="177" fontId="92" fillId="35" borderId="44" xfId="3" applyNumberFormat="1" applyFont="1" applyFill="1" applyBorder="1" applyAlignment="1">
      <alignment horizontal="right" vertical="center"/>
    </xf>
    <xf numFmtId="177" fontId="91" fillId="35" borderId="15" xfId="2" applyNumberFormat="1" applyFont="1" applyFill="1" applyBorder="1" applyAlignment="1">
      <alignment horizontal="right" vertical="center"/>
    </xf>
    <xf numFmtId="177" fontId="91" fillId="35" borderId="16" xfId="3" applyNumberFormat="1" applyFont="1" applyFill="1" applyBorder="1" applyAlignment="1">
      <alignment horizontal="right" vertical="center"/>
    </xf>
    <xf numFmtId="0" fontId="91" fillId="35" borderId="14" xfId="2" applyFont="1" applyFill="1" applyBorder="1" applyAlignment="1">
      <alignment horizontal="right" vertical="center" shrinkToFit="1"/>
    </xf>
    <xf numFmtId="177" fontId="91" fillId="35" borderId="15" xfId="3" applyNumberFormat="1" applyFont="1" applyFill="1" applyBorder="1" applyAlignment="1">
      <alignment horizontal="right" vertical="center"/>
    </xf>
    <xf numFmtId="177" fontId="91" fillId="35" borderId="14" xfId="3" applyNumberFormat="1" applyFont="1" applyFill="1" applyBorder="1" applyAlignment="1">
      <alignment horizontal="right" vertical="center"/>
    </xf>
    <xf numFmtId="177" fontId="91" fillId="35" borderId="14" xfId="2" applyNumberFormat="1" applyFont="1" applyFill="1" applyBorder="1" applyAlignment="1">
      <alignment horizontal="right" vertical="center"/>
    </xf>
    <xf numFmtId="177" fontId="91" fillId="35" borderId="16" xfId="3" applyNumberFormat="1" applyFont="1" applyFill="1" applyBorder="1" applyAlignment="1">
      <alignment horizontal="right" vertical="center" shrinkToFit="1"/>
    </xf>
    <xf numFmtId="41" fontId="91" fillId="35" borderId="15" xfId="2" applyNumberFormat="1" applyFont="1" applyFill="1" applyBorder="1" applyAlignment="1">
      <alignment horizontal="right" vertical="center"/>
    </xf>
    <xf numFmtId="177" fontId="100" fillId="35" borderId="15" xfId="3" applyNumberFormat="1" applyFont="1" applyFill="1" applyBorder="1" applyAlignment="1">
      <alignment horizontal="right" vertical="center"/>
    </xf>
    <xf numFmtId="177" fontId="100" fillId="35" borderId="16" xfId="3" applyNumberFormat="1" applyFont="1" applyFill="1" applyBorder="1" applyAlignment="1">
      <alignment horizontal="right" vertical="center"/>
    </xf>
    <xf numFmtId="177" fontId="91" fillId="35" borderId="16" xfId="2" applyNumberFormat="1" applyFont="1" applyFill="1" applyBorder="1" applyAlignment="1">
      <alignment horizontal="right" vertical="center"/>
    </xf>
    <xf numFmtId="177" fontId="100" fillId="35" borderId="16" xfId="2" applyNumberFormat="1" applyFont="1" applyFill="1" applyBorder="1" applyAlignment="1">
      <alignment horizontal="right" vertical="center"/>
    </xf>
    <xf numFmtId="177" fontId="91" fillId="35" borderId="17" xfId="2" applyNumberFormat="1" applyFont="1" applyFill="1" applyBorder="1" applyAlignment="1">
      <alignment horizontal="right" vertical="center"/>
    </xf>
    <xf numFmtId="177" fontId="100" fillId="35" borderId="17" xfId="2" applyNumberFormat="1" applyFont="1" applyFill="1" applyBorder="1" applyAlignment="1">
      <alignment horizontal="right" vertical="center"/>
    </xf>
    <xf numFmtId="177" fontId="114" fillId="35" borderId="16" xfId="3" applyNumberFormat="1" applyFont="1" applyFill="1" applyBorder="1" applyAlignment="1">
      <alignment horizontal="right" vertical="center" shrinkToFit="1"/>
    </xf>
    <xf numFmtId="181" fontId="87" fillId="0" borderId="0" xfId="0" applyNumberFormat="1" applyFont="1">
      <alignment vertical="center"/>
    </xf>
    <xf numFmtId="181" fontId="106" fillId="0" borderId="0" xfId="0" applyNumberFormat="1" applyFont="1">
      <alignment vertical="center"/>
    </xf>
    <xf numFmtId="41" fontId="111" fillId="35" borderId="56" xfId="1" applyFont="1" applyFill="1" applyBorder="1" applyAlignment="1">
      <alignment horizontal="right" vertical="center"/>
    </xf>
    <xf numFmtId="179" fontId="100" fillId="34" borderId="57" xfId="3" applyNumberFormat="1" applyFont="1" applyFill="1" applyBorder="1" applyAlignment="1">
      <alignment horizontal="right" vertical="center"/>
    </xf>
    <xf numFmtId="177" fontId="91" fillId="0" borderId="16" xfId="3" applyNumberFormat="1" applyFont="1" applyBorder="1" applyAlignment="1">
      <alignment horizontal="right" vertical="center"/>
    </xf>
    <xf numFmtId="177" fontId="91" fillId="0" borderId="16" xfId="3" applyNumberFormat="1" applyFont="1" applyBorder="1" applyAlignment="1">
      <alignment horizontal="right" vertical="center" shrinkToFit="1"/>
    </xf>
    <xf numFmtId="41" fontId="118" fillId="0" borderId="0" xfId="3" applyFont="1" applyAlignment="1">
      <alignment vertical="center" shrinkToFit="1"/>
    </xf>
    <xf numFmtId="177" fontId="119" fillId="0" borderId="0" xfId="2" applyNumberFormat="1" applyFont="1"/>
    <xf numFmtId="0" fontId="119" fillId="0" borderId="0" xfId="2" applyFont="1"/>
    <xf numFmtId="41" fontId="91" fillId="34" borderId="15" xfId="73" applyFont="1" applyFill="1" applyBorder="1" applyAlignment="1">
      <alignment horizontal="right" vertical="center"/>
    </xf>
    <xf numFmtId="0" fontId="71" fillId="0" borderId="0" xfId="72">
      <alignment vertical="center"/>
    </xf>
    <xf numFmtId="41" fontId="71" fillId="0" borderId="0" xfId="73">
      <alignment vertical="center"/>
    </xf>
    <xf numFmtId="10" fontId="71" fillId="0" borderId="0" xfId="72" applyNumberFormat="1">
      <alignment vertical="center"/>
    </xf>
    <xf numFmtId="41" fontId="71" fillId="0" borderId="0" xfId="72" applyNumberFormat="1">
      <alignment vertical="center"/>
    </xf>
    <xf numFmtId="0" fontId="95" fillId="0" borderId="0" xfId="73" applyNumberFormat="1" applyFont="1" applyAlignment="1">
      <alignment horizontal="right" vertical="center"/>
    </xf>
    <xf numFmtId="41" fontId="94" fillId="0" borderId="43" xfId="73" applyFont="1" applyBorder="1" applyAlignment="1">
      <alignment horizontal="center" vertical="center"/>
    </xf>
    <xf numFmtId="0" fontId="87" fillId="0" borderId="33" xfId="72" applyFont="1" applyBorder="1" applyAlignment="1">
      <alignment horizontal="center" vertical="center"/>
    </xf>
    <xf numFmtId="41" fontId="71" fillId="0" borderId="33" xfId="72" applyNumberFormat="1" applyBorder="1">
      <alignment vertical="center"/>
    </xf>
    <xf numFmtId="41" fontId="94" fillId="0" borderId="18" xfId="73" applyFont="1" applyBorder="1" applyAlignment="1">
      <alignment horizontal="center" vertical="center"/>
    </xf>
    <xf numFmtId="41" fontId="72" fillId="0" borderId="39" xfId="73" applyFont="1" applyBorder="1">
      <alignment vertical="center"/>
    </xf>
    <xf numFmtId="0" fontId="71" fillId="0" borderId="34" xfId="72" applyBorder="1">
      <alignment vertical="center"/>
    </xf>
    <xf numFmtId="41" fontId="72" fillId="32" borderId="27" xfId="73" applyFont="1" applyFill="1" applyBorder="1" applyAlignment="1">
      <alignment horizontal="center" vertical="center"/>
    </xf>
    <xf numFmtId="41" fontId="72" fillId="29" borderId="31" xfId="73" applyFont="1" applyFill="1" applyBorder="1">
      <alignment vertical="center"/>
    </xf>
    <xf numFmtId="0" fontId="71" fillId="29" borderId="28" xfId="72" applyFill="1" applyBorder="1">
      <alignment vertical="center"/>
    </xf>
    <xf numFmtId="0" fontId="95" fillId="29" borderId="28" xfId="72" applyFont="1" applyFill="1" applyBorder="1">
      <alignment vertical="center"/>
    </xf>
    <xf numFmtId="41" fontId="94" fillId="29" borderId="27" xfId="73" applyFont="1" applyFill="1" applyBorder="1" applyAlignment="1">
      <alignment horizontal="center" vertical="center"/>
    </xf>
    <xf numFmtId="41" fontId="72" fillId="0" borderId="31" xfId="73" applyFont="1" applyBorder="1" applyAlignment="1">
      <alignment horizontal="left" vertical="center"/>
    </xf>
    <xf numFmtId="0" fontId="71" fillId="0" borderId="28" xfId="72" applyBorder="1">
      <alignment vertical="center"/>
    </xf>
    <xf numFmtId="0" fontId="71" fillId="0" borderId="30" xfId="72" applyBorder="1">
      <alignment vertical="center"/>
    </xf>
    <xf numFmtId="0" fontId="87" fillId="0" borderId="0" xfId="72" applyFont="1">
      <alignment vertical="center"/>
    </xf>
    <xf numFmtId="41" fontId="93" fillId="29" borderId="31" xfId="73" applyFont="1" applyFill="1" applyBorder="1">
      <alignment vertical="center"/>
    </xf>
    <xf numFmtId="0" fontId="87" fillId="29" borderId="28" xfId="72" applyFont="1" applyFill="1" applyBorder="1">
      <alignment vertical="center"/>
    </xf>
    <xf numFmtId="41" fontId="94" fillId="29" borderId="37" xfId="73" applyFont="1" applyFill="1" applyBorder="1" applyAlignment="1">
      <alignment horizontal="center" vertical="center"/>
    </xf>
    <xf numFmtId="41" fontId="72" fillId="0" borderId="31" xfId="73" applyFont="1" applyBorder="1">
      <alignment vertical="center"/>
    </xf>
    <xf numFmtId="41" fontId="72" fillId="0" borderId="28" xfId="73" applyFont="1" applyBorder="1">
      <alignment vertical="center"/>
    </xf>
    <xf numFmtId="3" fontId="71" fillId="36" borderId="0" xfId="72" applyNumberFormat="1" applyFill="1">
      <alignment vertical="center"/>
    </xf>
    <xf numFmtId="0" fontId="71" fillId="29" borderId="38" xfId="72" applyFill="1" applyBorder="1">
      <alignment vertical="center"/>
    </xf>
    <xf numFmtId="0" fontId="87" fillId="29" borderId="38" xfId="72" applyFont="1" applyFill="1" applyBorder="1">
      <alignment vertical="center"/>
    </xf>
    <xf numFmtId="41" fontId="94" fillId="29" borderId="59" xfId="73" applyFont="1" applyFill="1" applyBorder="1" applyAlignment="1">
      <alignment horizontal="center" vertical="center"/>
    </xf>
    <xf numFmtId="41" fontId="87" fillId="0" borderId="58" xfId="73" applyFont="1" applyBorder="1">
      <alignment vertical="center"/>
    </xf>
    <xf numFmtId="41" fontId="87" fillId="0" borderId="58" xfId="72" applyNumberFormat="1" applyFont="1" applyBorder="1">
      <alignment vertical="center"/>
    </xf>
    <xf numFmtId="41" fontId="71" fillId="0" borderId="58" xfId="73" applyBorder="1">
      <alignment vertical="center"/>
    </xf>
    <xf numFmtId="41" fontId="71" fillId="0" borderId="58" xfId="72" applyNumberFormat="1" applyBorder="1">
      <alignment vertical="center"/>
    </xf>
    <xf numFmtId="41" fontId="93" fillId="29" borderId="36" xfId="73" applyFont="1" applyFill="1" applyBorder="1">
      <alignment vertical="center"/>
    </xf>
    <xf numFmtId="0" fontId="87" fillId="29" borderId="26" xfId="72" applyFont="1" applyFill="1" applyBorder="1">
      <alignment vertical="center"/>
    </xf>
    <xf numFmtId="0" fontId="95" fillId="29" borderId="26" xfId="72" applyFont="1" applyFill="1" applyBorder="1">
      <alignment vertical="center"/>
    </xf>
    <xf numFmtId="41" fontId="94" fillId="29" borderId="12" xfId="73" applyFont="1" applyFill="1" applyBorder="1" applyAlignment="1">
      <alignment horizontal="center" vertical="center"/>
    </xf>
    <xf numFmtId="41" fontId="72" fillId="0" borderId="30" xfId="73" applyFont="1" applyBorder="1">
      <alignment vertical="center"/>
    </xf>
    <xf numFmtId="0" fontId="71" fillId="0" borderId="14" xfId="72" applyBorder="1">
      <alignment vertical="center"/>
    </xf>
    <xf numFmtId="0" fontId="71" fillId="0" borderId="42" xfId="72" applyBorder="1">
      <alignment vertical="center"/>
    </xf>
    <xf numFmtId="41" fontId="72" fillId="0" borderId="15" xfId="73" applyFont="1" applyBorder="1" applyAlignment="1">
      <alignment horizontal="center" vertical="center"/>
    </xf>
    <xf numFmtId="41" fontId="71" fillId="0" borderId="58" xfId="73" applyBorder="1" applyAlignment="1">
      <alignment horizontal="center" vertical="center"/>
    </xf>
    <xf numFmtId="41" fontId="71" fillId="0" borderId="58" xfId="72" applyNumberFormat="1" applyBorder="1" applyAlignment="1">
      <alignment horizontal="center" vertical="center"/>
    </xf>
    <xf numFmtId="41" fontId="94" fillId="0" borderId="41" xfId="73" applyFont="1" applyBorder="1" applyAlignment="1">
      <alignment horizontal="center" vertical="center"/>
    </xf>
    <xf numFmtId="0" fontId="87" fillId="0" borderId="40" xfId="72" applyFont="1" applyBorder="1" applyAlignment="1">
      <alignment horizontal="center" vertical="center"/>
    </xf>
    <xf numFmtId="41" fontId="71" fillId="0" borderId="34" xfId="72" applyNumberFormat="1" applyBorder="1">
      <alignment vertical="center"/>
    </xf>
    <xf numFmtId="41" fontId="94" fillId="0" borderId="32" xfId="73" applyFont="1" applyBorder="1" applyAlignment="1">
      <alignment horizontal="center" vertical="center"/>
    </xf>
    <xf numFmtId="0" fontId="71" fillId="0" borderId="58" xfId="72" applyBorder="1" applyAlignment="1">
      <alignment horizontal="center" vertical="center"/>
    </xf>
    <xf numFmtId="43" fontId="71" fillId="0" borderId="0" xfId="72" applyNumberFormat="1">
      <alignment vertical="center"/>
    </xf>
    <xf numFmtId="41" fontId="72" fillId="29" borderId="28" xfId="73" applyFont="1" applyFill="1" applyBorder="1">
      <alignment vertical="center"/>
    </xf>
    <xf numFmtId="0" fontId="71" fillId="29" borderId="29" xfId="72" applyFill="1" applyBorder="1">
      <alignment vertical="center"/>
    </xf>
    <xf numFmtId="41" fontId="72" fillId="0" borderId="28" xfId="73" applyFont="1" applyBorder="1" applyAlignment="1">
      <alignment horizontal="left" vertical="center"/>
    </xf>
    <xf numFmtId="41" fontId="72" fillId="0" borderId="27" xfId="73" applyFont="1" applyBorder="1" applyAlignment="1">
      <alignment horizontal="center" vertical="center"/>
    </xf>
    <xf numFmtId="0" fontId="71" fillId="0" borderId="29" xfId="72" applyBorder="1">
      <alignment vertical="center"/>
    </xf>
    <xf numFmtId="41" fontId="93" fillId="29" borderId="26" xfId="73" applyFont="1" applyFill="1" applyBorder="1">
      <alignment vertical="center"/>
    </xf>
    <xf numFmtId="0" fontId="87" fillId="29" borderId="13" xfId="72" applyFont="1" applyFill="1" applyBorder="1">
      <alignment vertical="center"/>
    </xf>
    <xf numFmtId="41" fontId="72" fillId="0" borderId="39" xfId="73" applyFont="1" applyBorder="1" applyAlignment="1">
      <alignment horizontal="left" vertical="center"/>
    </xf>
    <xf numFmtId="0" fontId="71" fillId="0" borderId="33" xfId="72" applyBorder="1">
      <alignment vertical="center"/>
    </xf>
    <xf numFmtId="0" fontId="71" fillId="32" borderId="10" xfId="72" applyFill="1" applyBorder="1" applyAlignment="1">
      <alignment horizontal="center" vertical="center"/>
    </xf>
    <xf numFmtId="0" fontId="71" fillId="0" borderId="0" xfId="72" applyAlignment="1">
      <alignment horizontal="center" vertical="center"/>
    </xf>
    <xf numFmtId="0" fontId="95" fillId="29" borderId="38" xfId="72" applyFont="1" applyFill="1" applyBorder="1">
      <alignment vertical="center"/>
    </xf>
    <xf numFmtId="41" fontId="72" fillId="0" borderId="36" xfId="73" applyFont="1" applyBorder="1">
      <alignment vertical="center"/>
    </xf>
    <xf numFmtId="0" fontId="71" fillId="0" borderId="26" xfId="72" applyBorder="1">
      <alignment vertical="center"/>
    </xf>
    <xf numFmtId="41" fontId="72" fillId="0" borderId="12" xfId="73" applyFont="1" applyBorder="1" applyAlignment="1">
      <alignment horizontal="center" vertical="center"/>
    </xf>
    <xf numFmtId="41" fontId="94" fillId="0" borderId="26" xfId="73" applyFont="1" applyBorder="1">
      <alignment vertical="center"/>
    </xf>
    <xf numFmtId="0" fontId="87" fillId="0" borderId="12" xfId="72" applyFont="1" applyBorder="1" applyAlignment="1">
      <alignment horizontal="center" vertical="center"/>
    </xf>
    <xf numFmtId="41" fontId="72" fillId="0" borderId="34" xfId="73" applyFont="1" applyBorder="1" applyAlignment="1">
      <alignment horizontal="left" vertical="center"/>
    </xf>
    <xf numFmtId="0" fontId="95" fillId="29" borderId="28" xfId="72" applyFont="1" applyFill="1" applyBorder="1" applyAlignment="1">
      <alignment horizontal="left" vertical="center"/>
    </xf>
    <xf numFmtId="0" fontId="71" fillId="0" borderId="35" xfId="72" applyBorder="1">
      <alignment vertical="center"/>
    </xf>
    <xf numFmtId="0" fontId="71" fillId="32" borderId="30" xfId="72" applyFill="1" applyBorder="1">
      <alignment vertical="center"/>
    </xf>
    <xf numFmtId="41" fontId="0" fillId="38" borderId="10" xfId="73" applyFont="1" applyFill="1" applyBorder="1">
      <alignment vertical="center"/>
    </xf>
    <xf numFmtId="41" fontId="96" fillId="38" borderId="10" xfId="73" applyFont="1" applyFill="1" applyBorder="1" applyProtection="1">
      <alignment vertical="center"/>
      <protection locked="0"/>
    </xf>
    <xf numFmtId="41" fontId="71" fillId="38" borderId="0" xfId="73" applyFill="1">
      <alignment vertical="center"/>
    </xf>
    <xf numFmtId="0" fontId="71" fillId="0" borderId="10" xfId="72" applyBorder="1" applyAlignment="1">
      <alignment horizontal="center" vertical="center"/>
    </xf>
    <xf numFmtId="0" fontId="96" fillId="0" borderId="10" xfId="72" applyFont="1" applyBorder="1" applyAlignment="1" applyProtection="1">
      <alignment horizontal="center" vertical="center"/>
      <protection locked="0"/>
    </xf>
    <xf numFmtId="41" fontId="0" fillId="0" borderId="0" xfId="73" applyFont="1">
      <alignment vertical="center"/>
    </xf>
    <xf numFmtId="41" fontId="96" fillId="0" borderId="0" xfId="73" applyFont="1" applyProtection="1">
      <alignment vertical="center"/>
      <protection locked="0"/>
    </xf>
    <xf numFmtId="0" fontId="71" fillId="32" borderId="0" xfId="72" applyFill="1" applyAlignment="1">
      <alignment horizontal="center" vertical="center"/>
    </xf>
    <xf numFmtId="41" fontId="0" fillId="0" borderId="11" xfId="73" applyFont="1" applyBorder="1">
      <alignment vertical="center"/>
    </xf>
    <xf numFmtId="41" fontId="96" fillId="0" borderId="11" xfId="73" applyFont="1" applyBorder="1" applyProtection="1">
      <alignment vertical="center"/>
      <protection locked="0"/>
    </xf>
    <xf numFmtId="0" fontId="71" fillId="32" borderId="11" xfId="72" applyFill="1" applyBorder="1" applyAlignment="1">
      <alignment horizontal="center" vertical="center"/>
    </xf>
    <xf numFmtId="0" fontId="95" fillId="29" borderId="26" xfId="72" applyFont="1" applyFill="1" applyBorder="1" applyAlignment="1">
      <alignment horizontal="left" vertical="center"/>
    </xf>
    <xf numFmtId="41" fontId="72" fillId="0" borderId="34" xfId="73" applyFont="1" applyBorder="1">
      <alignment vertical="center"/>
    </xf>
    <xf numFmtId="0" fontId="71" fillId="0" borderId="19" xfId="72" applyBorder="1">
      <alignment vertical="center"/>
    </xf>
    <xf numFmtId="0" fontId="96" fillId="0" borderId="0" xfId="72" applyFont="1" applyProtection="1">
      <alignment vertical="center"/>
      <protection locked="0"/>
    </xf>
    <xf numFmtId="0" fontId="71" fillId="0" borderId="31" xfId="72" applyBorder="1">
      <alignment vertical="center"/>
    </xf>
    <xf numFmtId="41" fontId="94" fillId="29" borderId="27" xfId="73" applyFont="1" applyFill="1" applyBorder="1">
      <alignment vertical="center"/>
    </xf>
    <xf numFmtId="41" fontId="93" fillId="29" borderId="28" xfId="73" applyFont="1" applyFill="1" applyBorder="1">
      <alignment vertical="center"/>
    </xf>
    <xf numFmtId="0" fontId="71" fillId="0" borderId="0" xfId="72" applyProtection="1">
      <alignment vertical="center"/>
      <protection locked="0"/>
    </xf>
    <xf numFmtId="41" fontId="87" fillId="33" borderId="25" xfId="73" applyFont="1" applyFill="1" applyBorder="1" applyAlignment="1">
      <alignment horizontal="center" vertical="center"/>
    </xf>
    <xf numFmtId="0" fontId="87" fillId="33" borderId="24" xfId="72" applyFont="1" applyFill="1" applyBorder="1" applyAlignment="1">
      <alignment horizontal="center" vertical="center"/>
    </xf>
    <xf numFmtId="0" fontId="87" fillId="33" borderId="23" xfId="72" applyFont="1" applyFill="1" applyBorder="1" applyAlignment="1">
      <alignment horizontal="center" vertical="center"/>
    </xf>
    <xf numFmtId="0" fontId="93" fillId="33" borderId="22" xfId="72" applyFont="1" applyFill="1" applyBorder="1" applyAlignment="1">
      <alignment horizontal="center" vertical="center"/>
    </xf>
    <xf numFmtId="0" fontId="97" fillId="0" borderId="0" xfId="72" applyFont="1">
      <alignment vertical="center"/>
    </xf>
    <xf numFmtId="0" fontId="97" fillId="0" borderId="0" xfId="72" applyFont="1" applyAlignment="1">
      <alignment horizontal="center" vertical="center"/>
    </xf>
    <xf numFmtId="0" fontId="112" fillId="0" borderId="0" xfId="72" applyFont="1">
      <alignment vertical="center"/>
    </xf>
    <xf numFmtId="0" fontId="115" fillId="35" borderId="0" xfId="72" applyFont="1" applyFill="1" applyAlignment="1">
      <alignment horizontal="center" vertical="center"/>
    </xf>
    <xf numFmtId="181" fontId="104" fillId="0" borderId="0" xfId="72" applyNumberFormat="1" applyFont="1">
      <alignment vertical="center"/>
    </xf>
    <xf numFmtId="181" fontId="71" fillId="0" borderId="0" xfId="72" applyNumberFormat="1">
      <alignment vertical="center"/>
    </xf>
    <xf numFmtId="0" fontId="117" fillId="0" borderId="0" xfId="72" applyFont="1">
      <alignment vertical="center"/>
    </xf>
    <xf numFmtId="181" fontId="116" fillId="0" borderId="0" xfId="72" applyNumberFormat="1" applyFont="1">
      <alignment vertical="center"/>
    </xf>
    <xf numFmtId="0" fontId="115" fillId="0" borderId="0" xfId="72" applyFont="1" applyAlignment="1">
      <alignment horizontal="center" vertical="center"/>
    </xf>
    <xf numFmtId="41" fontId="114" fillId="35" borderId="15" xfId="73" applyFont="1" applyFill="1" applyBorder="1" applyAlignment="1">
      <alignment horizontal="right" vertical="center"/>
    </xf>
    <xf numFmtId="0" fontId="71" fillId="35" borderId="0" xfId="72" applyFill="1">
      <alignment vertical="center"/>
    </xf>
    <xf numFmtId="41" fontId="91" fillId="35" borderId="15" xfId="73" applyFont="1" applyFill="1" applyBorder="1" applyAlignment="1">
      <alignment horizontal="right" vertical="center"/>
    </xf>
    <xf numFmtId="181" fontId="103" fillId="0" borderId="0" xfId="72" applyNumberFormat="1" applyFont="1">
      <alignment vertical="center"/>
    </xf>
    <xf numFmtId="177" fontId="91" fillId="35" borderId="15" xfId="73" applyNumberFormat="1" applyFont="1" applyFill="1" applyBorder="1" applyAlignment="1">
      <alignment horizontal="right" vertical="center"/>
    </xf>
    <xf numFmtId="177" fontId="91" fillId="34" borderId="15" xfId="73" applyNumberFormat="1" applyFont="1" applyFill="1" applyBorder="1" applyAlignment="1">
      <alignment horizontal="right" vertical="center"/>
    </xf>
    <xf numFmtId="181" fontId="87" fillId="0" borderId="0" xfId="72" applyNumberFormat="1" applyFont="1">
      <alignment vertical="center"/>
    </xf>
    <xf numFmtId="177" fontId="100" fillId="34" borderId="15" xfId="73" applyNumberFormat="1" applyFont="1" applyFill="1" applyBorder="1" applyAlignment="1">
      <alignment horizontal="right" vertical="center"/>
    </xf>
    <xf numFmtId="177" fontId="91" fillId="34" borderId="16" xfId="73" applyNumberFormat="1" applyFont="1" applyFill="1" applyBorder="1" applyAlignment="1">
      <alignment horizontal="right" vertical="center"/>
    </xf>
    <xf numFmtId="177" fontId="91" fillId="0" borderId="15" xfId="73" applyNumberFormat="1" applyFont="1" applyBorder="1" applyAlignment="1">
      <alignment horizontal="right" vertical="center"/>
    </xf>
    <xf numFmtId="177" fontId="91" fillId="34" borderId="56" xfId="73" applyNumberFormat="1" applyFont="1" applyFill="1" applyBorder="1" applyAlignment="1">
      <alignment horizontal="right" vertical="center"/>
    </xf>
    <xf numFmtId="176" fontId="90" fillId="0" borderId="0" xfId="72" applyNumberFormat="1" applyFont="1" applyAlignment="1">
      <alignment horizontal="right" vertical="center"/>
    </xf>
    <xf numFmtId="0" fontId="101" fillId="0" borderId="0" xfId="72" applyFont="1">
      <alignment vertical="center"/>
    </xf>
    <xf numFmtId="41" fontId="91" fillId="34" borderId="16" xfId="73" applyFont="1" applyFill="1" applyBorder="1" applyAlignment="1">
      <alignment horizontal="right" vertical="center"/>
    </xf>
    <xf numFmtId="41" fontId="91" fillId="34" borderId="21" xfId="73" applyFont="1" applyFill="1" applyBorder="1" applyAlignment="1">
      <alignment horizontal="right" vertical="center"/>
    </xf>
    <xf numFmtId="0" fontId="122" fillId="0" borderId="0" xfId="0" applyFont="1">
      <alignment vertical="center"/>
    </xf>
    <xf numFmtId="0" fontId="123" fillId="38" borderId="58" xfId="72" applyFont="1" applyFill="1" applyBorder="1" applyAlignment="1">
      <alignment horizontal="center" vertical="center"/>
    </xf>
    <xf numFmtId="41" fontId="123" fillId="0" borderId="0" xfId="73" applyFont="1">
      <alignment vertical="center"/>
    </xf>
    <xf numFmtId="9" fontId="71" fillId="32" borderId="0" xfId="72" applyNumberFormat="1" applyFill="1" applyAlignment="1">
      <alignment horizontal="center" vertical="center"/>
    </xf>
    <xf numFmtId="0" fontId="49" fillId="0" borderId="0" xfId="82">
      <alignment vertical="center"/>
    </xf>
    <xf numFmtId="0" fontId="71" fillId="0" borderId="0" xfId="83">
      <alignment vertical="center"/>
    </xf>
    <xf numFmtId="0" fontId="71" fillId="0" borderId="60" xfId="72" applyBorder="1">
      <alignment vertical="center"/>
    </xf>
    <xf numFmtId="0" fontId="117" fillId="0" borderId="0" xfId="0" applyFont="1">
      <alignment vertical="center"/>
    </xf>
    <xf numFmtId="41" fontId="91" fillId="34" borderId="14" xfId="92" applyFont="1" applyFill="1" applyBorder="1" applyAlignment="1">
      <alignment horizontal="right" vertical="center"/>
    </xf>
    <xf numFmtId="41" fontId="72" fillId="0" borderId="0" xfId="73" applyFont="1">
      <alignment vertical="center"/>
    </xf>
    <xf numFmtId="0" fontId="71" fillId="29" borderId="59" xfId="72" applyFill="1" applyBorder="1">
      <alignment vertical="center"/>
    </xf>
    <xf numFmtId="41" fontId="92" fillId="34" borderId="15" xfId="92" applyFont="1" applyFill="1" applyBorder="1" applyAlignment="1">
      <alignment horizontal="right" vertical="center"/>
    </xf>
    <xf numFmtId="41" fontId="92" fillId="34" borderId="20" xfId="92" applyFont="1" applyFill="1" applyBorder="1" applyAlignment="1">
      <alignment horizontal="right" vertical="center"/>
    </xf>
    <xf numFmtId="0" fontId="87" fillId="35" borderId="0" xfId="72" applyFont="1" applyFill="1">
      <alignment vertical="center"/>
    </xf>
    <xf numFmtId="41" fontId="87" fillId="35" borderId="0" xfId="73" applyFont="1" applyFill="1">
      <alignment vertical="center"/>
    </xf>
    <xf numFmtId="0" fontId="87" fillId="35" borderId="10" xfId="72" applyFont="1" applyFill="1" applyBorder="1" applyAlignment="1">
      <alignment horizontal="center" vertical="center"/>
    </xf>
    <xf numFmtId="0" fontId="107" fillId="35" borderId="10" xfId="72" applyFont="1" applyFill="1" applyBorder="1" applyAlignment="1" applyProtection="1">
      <alignment horizontal="center" vertical="center"/>
      <protection locked="0"/>
    </xf>
    <xf numFmtId="41" fontId="107" fillId="35" borderId="10" xfId="73" applyFont="1" applyFill="1" applyBorder="1" applyProtection="1">
      <alignment vertical="center"/>
      <protection locked="0"/>
    </xf>
    <xf numFmtId="41" fontId="87" fillId="35" borderId="10" xfId="73" applyFont="1" applyFill="1" applyBorder="1">
      <alignment vertical="center"/>
    </xf>
    <xf numFmtId="0" fontId="124" fillId="0" borderId="58" xfId="72" applyFont="1" applyBorder="1">
      <alignment vertical="center"/>
    </xf>
    <xf numFmtId="41" fontId="124" fillId="0" borderId="58" xfId="73" applyFont="1" applyBorder="1">
      <alignment vertical="center"/>
    </xf>
    <xf numFmtId="41" fontId="124" fillId="0" borderId="58" xfId="1" applyFont="1" applyBorder="1">
      <alignment vertical="center"/>
    </xf>
    <xf numFmtId="3" fontId="71" fillId="0" borderId="0" xfId="72" applyNumberFormat="1">
      <alignment vertical="center"/>
    </xf>
    <xf numFmtId="41" fontId="94" fillId="0" borderId="0" xfId="73" applyFont="1" applyAlignment="1">
      <alignment horizontal="center" vertical="center"/>
    </xf>
    <xf numFmtId="0" fontId="95" fillId="0" borderId="0" xfId="72" applyFont="1" applyAlignment="1">
      <alignment horizontal="left" vertical="center"/>
    </xf>
    <xf numFmtId="41" fontId="125" fillId="38" borderId="27" xfId="73" applyFont="1" applyFill="1" applyBorder="1" applyAlignment="1">
      <alignment horizontal="center" vertical="center"/>
    </xf>
    <xf numFmtId="0" fontId="112" fillId="0" borderId="28" xfId="72" applyFont="1" applyBorder="1">
      <alignment vertical="center"/>
    </xf>
    <xf numFmtId="41" fontId="100" fillId="35" borderId="15" xfId="3" applyFont="1" applyFill="1" applyBorder="1" applyAlignment="1">
      <alignment horizontal="right" vertical="center"/>
    </xf>
    <xf numFmtId="41" fontId="92" fillId="0" borderId="15" xfId="1" applyFont="1" applyBorder="1" applyAlignment="1">
      <alignment horizontal="right" vertical="center"/>
    </xf>
    <xf numFmtId="177" fontId="92" fillId="0" borderId="15" xfId="2" applyNumberFormat="1" applyFont="1" applyBorder="1" applyAlignment="1">
      <alignment horizontal="right" vertical="center"/>
    </xf>
    <xf numFmtId="14" fontId="71" fillId="0" borderId="0" xfId="72" applyNumberFormat="1">
      <alignment vertical="center"/>
    </xf>
    <xf numFmtId="182" fontId="71" fillId="0" borderId="0" xfId="73" applyNumberFormat="1" applyAlignment="1">
      <alignment horizontal="center" vertical="center"/>
    </xf>
    <xf numFmtId="0" fontId="71" fillId="39" borderId="28" xfId="72" applyFill="1" applyBorder="1">
      <alignment vertical="center"/>
    </xf>
    <xf numFmtId="0" fontId="71" fillId="39" borderId="33" xfId="72" applyFill="1" applyBorder="1">
      <alignment vertical="center"/>
    </xf>
    <xf numFmtId="41" fontId="71" fillId="0" borderId="0" xfId="73" applyAlignment="1">
      <alignment horizontal="center" vertical="center"/>
    </xf>
    <xf numFmtId="41" fontId="92" fillId="35" borderId="15" xfId="92" applyFont="1" applyFill="1" applyBorder="1" applyAlignment="1">
      <alignment horizontal="right" vertical="center"/>
    </xf>
    <xf numFmtId="41" fontId="91" fillId="0" borderId="15" xfId="1" applyFont="1" applyBorder="1" applyAlignment="1">
      <alignment horizontal="right" vertical="center"/>
    </xf>
    <xf numFmtId="41" fontId="53" fillId="0" borderId="0" xfId="76" applyFont="1" applyFill="1">
      <alignment vertical="center"/>
    </xf>
    <xf numFmtId="0" fontId="71" fillId="38" borderId="0" xfId="72" applyFill="1">
      <alignment vertical="center"/>
    </xf>
    <xf numFmtId="181" fontId="71" fillId="38" borderId="0" xfId="72" applyNumberFormat="1" applyFill="1">
      <alignment vertical="center"/>
    </xf>
    <xf numFmtId="177" fontId="100" fillId="0" borderId="15" xfId="3" applyNumberFormat="1" applyFont="1" applyFill="1" applyBorder="1" applyAlignment="1">
      <alignment horizontal="right" vertical="center"/>
    </xf>
    <xf numFmtId="177" fontId="91" fillId="0" borderId="17" xfId="2" applyNumberFormat="1" applyFont="1" applyFill="1" applyBorder="1" applyAlignment="1">
      <alignment horizontal="right" vertical="center" shrinkToFit="1"/>
    </xf>
    <xf numFmtId="0" fontId="71" fillId="0" borderId="0" xfId="72" applyFill="1" applyBorder="1" applyAlignment="1">
      <alignment horizontal="center" vertical="center"/>
    </xf>
    <xf numFmtId="3" fontId="71" fillId="0" borderId="0" xfId="72" applyNumberFormat="1" applyFill="1" applyBorder="1">
      <alignment vertical="center"/>
    </xf>
    <xf numFmtId="0" fontId="71" fillId="0" borderId="0" xfId="72" applyFill="1" applyBorder="1">
      <alignment vertical="center"/>
    </xf>
    <xf numFmtId="41" fontId="71" fillId="0" borderId="0" xfId="73" applyFill="1" applyBorder="1">
      <alignment vertical="center"/>
    </xf>
    <xf numFmtId="0" fontId="87" fillId="0" borderId="0" xfId="72" applyFont="1" applyFill="1" applyBorder="1" applyAlignment="1">
      <alignment horizontal="center" vertical="center"/>
    </xf>
    <xf numFmtId="41" fontId="71" fillId="0" borderId="0" xfId="72" applyNumberFormat="1" applyFill="1" applyBorder="1">
      <alignment vertical="center"/>
    </xf>
    <xf numFmtId="0" fontId="71" fillId="0" borderId="58" xfId="72" applyBorder="1">
      <alignment vertical="center"/>
    </xf>
    <xf numFmtId="3" fontId="71" fillId="0" borderId="58" xfId="72" applyNumberFormat="1" applyBorder="1">
      <alignment vertical="center"/>
    </xf>
    <xf numFmtId="41" fontId="92" fillId="35" borderId="46" xfId="73" applyFont="1" applyFill="1" applyBorder="1" applyAlignment="1">
      <alignment horizontal="right" vertical="center"/>
    </xf>
    <xf numFmtId="41" fontId="92" fillId="35" borderId="14" xfId="92" applyFont="1" applyFill="1" applyBorder="1" applyAlignment="1">
      <alignment horizontal="right" vertical="center"/>
    </xf>
    <xf numFmtId="41" fontId="91" fillId="35" borderId="15" xfId="92" applyFont="1" applyFill="1" applyBorder="1" applyAlignment="1">
      <alignment horizontal="right" vertical="center"/>
    </xf>
    <xf numFmtId="41" fontId="97" fillId="35" borderId="15" xfId="92" applyFont="1" applyFill="1" applyBorder="1" applyAlignment="1">
      <alignment horizontal="right" vertical="center"/>
    </xf>
    <xf numFmtId="41" fontId="92" fillId="35" borderId="14" xfId="73" applyFont="1" applyFill="1" applyBorder="1" applyAlignment="1">
      <alignment horizontal="right" vertical="center"/>
    </xf>
    <xf numFmtId="41" fontId="92" fillId="35" borderId="46" xfId="1" applyFont="1" applyFill="1" applyBorder="1" applyAlignment="1">
      <alignment horizontal="right" vertical="center"/>
    </xf>
    <xf numFmtId="41" fontId="92" fillId="35" borderId="14" xfId="1" applyFont="1" applyFill="1" applyBorder="1" applyAlignment="1">
      <alignment horizontal="right" vertical="center"/>
    </xf>
    <xf numFmtId="3" fontId="71" fillId="0" borderId="0" xfId="72" applyNumberFormat="1" applyFill="1">
      <alignment vertical="center"/>
    </xf>
    <xf numFmtId="0" fontId="71" fillId="0" borderId="0" xfId="72" applyAlignment="1">
      <alignment vertical="center"/>
    </xf>
    <xf numFmtId="41" fontId="72" fillId="0" borderId="27" xfId="73" applyFont="1" applyFill="1" applyBorder="1" applyAlignment="1">
      <alignment horizontal="center" vertical="center"/>
    </xf>
    <xf numFmtId="41" fontId="111" fillId="35" borderId="56" xfId="92" applyFont="1" applyFill="1" applyBorder="1" applyAlignment="1">
      <alignment horizontal="right" vertical="center"/>
    </xf>
    <xf numFmtId="41" fontId="111" fillId="35" borderId="56" xfId="48" applyFont="1" applyFill="1" applyBorder="1" applyAlignment="1">
      <alignment horizontal="right" vertical="center"/>
    </xf>
    <xf numFmtId="41" fontId="91" fillId="35" borderId="14" xfId="92" applyFont="1" applyFill="1" applyBorder="1" applyAlignment="1">
      <alignment horizontal="right" vertical="center"/>
    </xf>
    <xf numFmtId="41" fontId="72" fillId="0" borderId="73" xfId="73" applyFont="1" applyBorder="1" applyAlignment="1">
      <alignment horizontal="center" vertical="center"/>
    </xf>
    <xf numFmtId="41" fontId="72" fillId="0" borderId="72" xfId="73" applyFont="1" applyBorder="1" applyAlignment="1">
      <alignment horizontal="center" vertical="center"/>
    </xf>
    <xf numFmtId="41" fontId="72" fillId="0" borderId="38" xfId="73" applyFont="1" applyBorder="1">
      <alignment vertical="center"/>
    </xf>
    <xf numFmtId="41" fontId="72" fillId="0" borderId="28" xfId="73" applyFont="1" applyFill="1" applyBorder="1">
      <alignment vertical="center"/>
    </xf>
    <xf numFmtId="3" fontId="71" fillId="0" borderId="0" xfId="72" applyNumberFormat="1" applyFont="1" applyFill="1">
      <alignment vertical="center"/>
    </xf>
    <xf numFmtId="3" fontId="53" fillId="0" borderId="0" xfId="77" applyNumberFormat="1" applyFill="1">
      <alignment vertical="center"/>
    </xf>
    <xf numFmtId="3" fontId="128" fillId="0" borderId="0" xfId="77" applyNumberFormat="1" applyFont="1" applyFill="1">
      <alignment vertical="center"/>
    </xf>
    <xf numFmtId="41" fontId="121" fillId="0" borderId="27" xfId="73" applyFont="1" applyFill="1" applyBorder="1" applyAlignment="1">
      <alignment horizontal="center" vertical="center"/>
    </xf>
    <xf numFmtId="41" fontId="72" fillId="0" borderId="72" xfId="73" applyFont="1" applyFill="1" applyBorder="1" applyAlignment="1">
      <alignment horizontal="center" vertical="center"/>
    </xf>
    <xf numFmtId="41" fontId="72" fillId="0" borderId="73" xfId="73" applyFont="1" applyFill="1" applyBorder="1" applyAlignment="1">
      <alignment horizontal="center" vertical="center"/>
    </xf>
    <xf numFmtId="3" fontId="71" fillId="0" borderId="65" xfId="72" applyNumberFormat="1" applyFill="1" applyBorder="1">
      <alignment vertical="center"/>
    </xf>
    <xf numFmtId="3" fontId="120" fillId="0" borderId="0" xfId="72" applyNumberFormat="1" applyFont="1" applyFill="1">
      <alignment vertical="center"/>
    </xf>
    <xf numFmtId="3" fontId="87" fillId="0" borderId="65" xfId="72" applyNumberFormat="1" applyFont="1" applyBorder="1">
      <alignment vertical="center"/>
    </xf>
    <xf numFmtId="0" fontId="71" fillId="32" borderId="0" xfId="72" applyFill="1" applyBorder="1" applyAlignment="1">
      <alignment horizontal="center" vertical="center"/>
    </xf>
    <xf numFmtId="1" fontId="91" fillId="34" borderId="0" xfId="2" applyNumberFormat="1" applyFont="1" applyFill="1" applyBorder="1" applyAlignment="1">
      <alignment horizontal="center" vertical="center" shrinkToFit="1"/>
    </xf>
    <xf numFmtId="0" fontId="91" fillId="34" borderId="0" xfId="2" applyFont="1" applyFill="1" applyBorder="1" applyAlignment="1">
      <alignment vertical="center" shrinkToFit="1"/>
    </xf>
    <xf numFmtId="1" fontId="91" fillId="34" borderId="0" xfId="2" applyNumberFormat="1" applyFont="1" applyFill="1" applyBorder="1" applyAlignment="1">
      <alignment vertical="center" shrinkToFit="1"/>
    </xf>
    <xf numFmtId="0" fontId="91" fillId="34" borderId="0" xfId="72" applyFont="1" applyFill="1" applyBorder="1">
      <alignment vertical="center"/>
    </xf>
    <xf numFmtId="49" fontId="91" fillId="34" borderId="0" xfId="2" applyNumberFormat="1" applyFont="1" applyFill="1" applyBorder="1" applyAlignment="1">
      <alignment horizontal="center" vertical="center" shrinkToFit="1"/>
    </xf>
    <xf numFmtId="0" fontId="91" fillId="35" borderId="0" xfId="72" applyFont="1" applyFill="1" applyBorder="1">
      <alignment vertical="center"/>
    </xf>
    <xf numFmtId="49" fontId="91" fillId="35" borderId="0" xfId="2" applyNumberFormat="1" applyFont="1" applyFill="1" applyBorder="1" applyAlignment="1">
      <alignment horizontal="center" vertical="center" shrinkToFit="1"/>
    </xf>
    <xf numFmtId="1" fontId="91" fillId="35" borderId="0" xfId="2" applyNumberFormat="1" applyFont="1" applyFill="1" applyBorder="1" applyAlignment="1">
      <alignment vertical="center" shrinkToFit="1"/>
    </xf>
    <xf numFmtId="0" fontId="91" fillId="34" borderId="0" xfId="72" applyFont="1" applyFill="1" applyBorder="1" applyAlignment="1">
      <alignment horizontal="center" vertical="center"/>
    </xf>
    <xf numFmtId="179" fontId="100" fillId="35" borderId="0" xfId="3" applyNumberFormat="1" applyFont="1" applyFill="1" applyBorder="1" applyAlignment="1">
      <alignment horizontal="right" vertical="center"/>
    </xf>
    <xf numFmtId="179" fontId="100" fillId="34" borderId="0" xfId="3" applyNumberFormat="1" applyFont="1" applyFill="1" applyBorder="1" applyAlignment="1">
      <alignment horizontal="right" vertical="center"/>
    </xf>
    <xf numFmtId="179" fontId="91" fillId="34" borderId="0" xfId="3" applyNumberFormat="1" applyFont="1" applyFill="1" applyBorder="1" applyAlignment="1">
      <alignment horizontal="right" vertical="center"/>
    </xf>
    <xf numFmtId="178" fontId="91" fillId="34" borderId="0" xfId="2" applyNumberFormat="1" applyFont="1" applyFill="1" applyBorder="1" applyAlignment="1">
      <alignment horizontal="right" vertical="center"/>
    </xf>
    <xf numFmtId="49" fontId="91" fillId="34" borderId="0" xfId="2" applyNumberFormat="1" applyFont="1" applyFill="1" applyBorder="1" applyAlignment="1">
      <alignment horizontal="distributed" vertical="distributed" shrinkToFit="1"/>
    </xf>
    <xf numFmtId="1" fontId="92" fillId="34" borderId="0" xfId="2" applyNumberFormat="1" applyFont="1" applyFill="1" applyBorder="1" applyAlignment="1">
      <alignment horizontal="center" vertical="center" shrinkToFit="1"/>
    </xf>
    <xf numFmtId="49" fontId="91" fillId="34" borderId="0" xfId="2" applyNumberFormat="1" applyFont="1" applyFill="1" applyBorder="1" applyAlignment="1">
      <alignment vertical="center" shrinkToFit="1"/>
    </xf>
    <xf numFmtId="49" fontId="0" fillId="34" borderId="0" xfId="2" applyNumberFormat="1" applyFont="1" applyFill="1" applyBorder="1" applyAlignment="1">
      <alignment horizontal="distributed" vertical="center" wrapText="1" shrinkToFit="1"/>
    </xf>
    <xf numFmtId="49" fontId="91" fillId="35" borderId="0" xfId="2" applyNumberFormat="1" applyFont="1" applyFill="1" applyBorder="1" applyAlignment="1">
      <alignment horizontal="distributed" vertical="distributed" shrinkToFit="1"/>
    </xf>
    <xf numFmtId="1" fontId="92" fillId="35" borderId="0" xfId="2" applyNumberFormat="1" applyFont="1" applyFill="1" applyBorder="1" applyAlignment="1">
      <alignment horizontal="center" vertical="center" shrinkToFit="1"/>
    </xf>
    <xf numFmtId="1" fontId="91" fillId="35" borderId="0" xfId="2" applyNumberFormat="1" applyFont="1" applyFill="1" applyBorder="1" applyAlignment="1">
      <alignment horizontal="center" vertical="center" shrinkToFit="1"/>
    </xf>
    <xf numFmtId="0" fontId="91" fillId="35" borderId="0" xfId="2" applyFont="1" applyFill="1" applyBorder="1" applyAlignment="1">
      <alignment vertical="center" shrinkToFit="1"/>
    </xf>
    <xf numFmtId="49" fontId="114" fillId="0" borderId="0" xfId="2" applyNumberFormat="1" applyFont="1" applyBorder="1" applyAlignment="1">
      <alignment horizontal="center" vertical="center" shrinkToFit="1"/>
    </xf>
    <xf numFmtId="0" fontId="114" fillId="0" borderId="0" xfId="2" applyFont="1" applyBorder="1" applyAlignment="1">
      <alignment vertical="center" shrinkToFit="1"/>
    </xf>
    <xf numFmtId="177" fontId="92" fillId="0" borderId="20" xfId="2" applyNumberFormat="1" applyFont="1" applyBorder="1" applyAlignment="1">
      <alignment horizontal="right" vertical="center"/>
    </xf>
    <xf numFmtId="0" fontId="92" fillId="34" borderId="0" xfId="2" applyFont="1" applyFill="1" applyBorder="1" applyAlignment="1">
      <alignment vertical="center" shrinkToFit="1"/>
    </xf>
    <xf numFmtId="0" fontId="91" fillId="34" borderId="0" xfId="0" applyFont="1" applyFill="1" applyBorder="1" applyAlignment="1">
      <alignment horizontal="center" vertical="center"/>
    </xf>
    <xf numFmtId="49" fontId="97" fillId="34" borderId="0" xfId="2" applyNumberFormat="1" applyFont="1" applyFill="1" applyBorder="1" applyAlignment="1">
      <alignment horizontal="center" vertical="center" shrinkToFit="1"/>
    </xf>
    <xf numFmtId="49" fontId="97" fillId="34" borderId="0" xfId="2" applyNumberFormat="1" applyFont="1" applyFill="1" applyBorder="1" applyAlignment="1">
      <alignment horizontal="distributed" vertical="center" wrapText="1" shrinkToFit="1"/>
    </xf>
    <xf numFmtId="1" fontId="97" fillId="34" borderId="0" xfId="2" applyNumberFormat="1" applyFont="1" applyFill="1" applyBorder="1" applyAlignment="1">
      <alignment vertical="center" shrinkToFit="1"/>
    </xf>
    <xf numFmtId="49" fontId="91" fillId="34" borderId="0" xfId="2" applyNumberFormat="1" applyFont="1" applyFill="1" applyBorder="1" applyAlignment="1">
      <alignment horizontal="distributed" vertical="center" wrapText="1" shrinkToFit="1"/>
    </xf>
    <xf numFmtId="49" fontId="91" fillId="34" borderId="14" xfId="2" applyNumberFormat="1" applyFont="1" applyFill="1" applyBorder="1" applyAlignment="1">
      <alignment horizontal="right" vertical="center" shrinkToFit="1"/>
    </xf>
    <xf numFmtId="49" fontId="91" fillId="34" borderId="0" xfId="2" applyNumberFormat="1" applyFont="1" applyFill="1" applyBorder="1" applyAlignment="1">
      <alignment horizontal="right" vertical="center" shrinkToFit="1"/>
    </xf>
    <xf numFmtId="49" fontId="91" fillId="35" borderId="0" xfId="2" applyNumberFormat="1" applyFont="1" applyFill="1" applyBorder="1" applyAlignment="1">
      <alignment horizontal="distributed" vertical="center" wrapText="1" shrinkToFit="1"/>
    </xf>
    <xf numFmtId="1" fontId="92" fillId="33" borderId="13" xfId="2" applyNumberFormat="1" applyFont="1" applyFill="1" applyBorder="1" applyAlignment="1">
      <alignment horizontal="center" vertical="center" shrinkToFit="1"/>
    </xf>
    <xf numFmtId="49" fontId="91" fillId="0" borderId="0" xfId="2" applyNumberFormat="1" applyFont="1" applyBorder="1" applyAlignment="1">
      <alignment horizontal="distributed" vertical="center" wrapText="1" shrinkToFit="1"/>
    </xf>
    <xf numFmtId="1" fontId="99" fillId="0" borderId="0" xfId="2" applyNumberFormat="1" applyFont="1" applyAlignment="1">
      <alignment horizontal="center" vertical="center" shrinkToFit="1"/>
    </xf>
    <xf numFmtId="1" fontId="92" fillId="33" borderId="47" xfId="2" applyNumberFormat="1" applyFont="1" applyFill="1" applyBorder="1" applyAlignment="1">
      <alignment horizontal="center" vertical="center" shrinkToFit="1"/>
    </xf>
    <xf numFmtId="49" fontId="91" fillId="34" borderId="0" xfId="2" applyNumberFormat="1" applyFont="1" applyFill="1" applyAlignment="1">
      <alignment horizontal="distributed" vertical="center" wrapText="1" shrinkToFit="1"/>
    </xf>
    <xf numFmtId="0" fontId="1" fillId="0" borderId="0" xfId="252">
      <alignment vertical="center"/>
    </xf>
    <xf numFmtId="176" fontId="1" fillId="0" borderId="0" xfId="252" applyNumberFormat="1">
      <alignment vertical="center"/>
    </xf>
    <xf numFmtId="0" fontId="132" fillId="37" borderId="75" xfId="252" applyFont="1" applyFill="1" applyBorder="1" applyAlignment="1">
      <alignment horizontal="left" vertical="center" wrapText="1"/>
    </xf>
    <xf numFmtId="176" fontId="133" fillId="0" borderId="68" xfId="252" applyNumberFormat="1" applyFont="1" applyBorder="1" applyAlignment="1">
      <alignment horizontal="right" vertical="center" wrapText="1"/>
    </xf>
    <xf numFmtId="0" fontId="133" fillId="0" borderId="76" xfId="252" applyFont="1" applyBorder="1" applyAlignment="1">
      <alignment horizontal="left" vertical="center" wrapText="1"/>
    </xf>
    <xf numFmtId="0" fontId="1" fillId="0" borderId="0" xfId="252" applyFill="1">
      <alignment vertical="center"/>
    </xf>
    <xf numFmtId="0" fontId="132" fillId="37" borderId="77" xfId="252" applyFont="1" applyFill="1" applyBorder="1" applyAlignment="1">
      <alignment horizontal="center" vertical="center" wrapText="1"/>
    </xf>
    <xf numFmtId="0" fontId="132" fillId="37" borderId="78" xfId="252" applyFont="1" applyFill="1" applyBorder="1" applyAlignment="1">
      <alignment horizontal="center" vertical="center" wrapText="1"/>
    </xf>
    <xf numFmtId="0" fontId="132" fillId="37" borderId="79" xfId="252" applyFont="1" applyFill="1" applyBorder="1" applyAlignment="1">
      <alignment horizontal="center" vertical="center" wrapText="1"/>
    </xf>
    <xf numFmtId="0" fontId="134" fillId="0" borderId="0" xfId="252" applyFont="1" applyAlignment="1">
      <alignment horizontal="right" wrapText="1"/>
    </xf>
    <xf numFmtId="0" fontId="135" fillId="0" borderId="0" xfId="252" applyFont="1">
      <alignment vertical="center"/>
    </xf>
    <xf numFmtId="0" fontId="134" fillId="0" borderId="0" xfId="252" applyFont="1" applyAlignment="1">
      <alignment horizontal="left" wrapText="1"/>
    </xf>
    <xf numFmtId="0" fontId="1" fillId="0" borderId="0" xfId="253">
      <alignment vertical="center"/>
    </xf>
    <xf numFmtId="41" fontId="0" fillId="0" borderId="0" xfId="254" applyFont="1">
      <alignment vertical="center"/>
    </xf>
    <xf numFmtId="0" fontId="137" fillId="0" borderId="0" xfId="253" applyFont="1">
      <alignment vertical="center"/>
    </xf>
    <xf numFmtId="41" fontId="137" fillId="0" borderId="0" xfId="254" applyFont="1">
      <alignment vertical="center"/>
    </xf>
    <xf numFmtId="176" fontId="132" fillId="0" borderId="80" xfId="253" applyNumberFormat="1" applyFont="1" applyBorder="1" applyAlignment="1">
      <alignment horizontal="right" vertical="top" wrapText="1"/>
    </xf>
    <xf numFmtId="176" fontId="132" fillId="0" borderId="66" xfId="253" applyNumberFormat="1" applyFont="1" applyBorder="1" applyAlignment="1">
      <alignment horizontal="right" vertical="top" wrapText="1"/>
    </xf>
    <xf numFmtId="0" fontId="132" fillId="0" borderId="67" xfId="253" applyFont="1" applyBorder="1" applyAlignment="1">
      <alignment horizontal="left" vertical="top" wrapText="1"/>
    </xf>
    <xf numFmtId="176" fontId="132" fillId="0" borderId="68" xfId="253" applyNumberFormat="1" applyFont="1" applyBorder="1" applyAlignment="1">
      <alignment horizontal="right" vertical="top" wrapText="1"/>
    </xf>
    <xf numFmtId="0" fontId="132" fillId="0" borderId="64" xfId="253" applyFont="1" applyBorder="1" applyAlignment="1">
      <alignment horizontal="left" vertical="top" wrapText="1"/>
    </xf>
    <xf numFmtId="176" fontId="133" fillId="0" borderId="68" xfId="253" applyNumberFormat="1" applyFont="1" applyBorder="1" applyAlignment="1">
      <alignment horizontal="right" vertical="top" wrapText="1"/>
    </xf>
    <xf numFmtId="0" fontId="133" fillId="0" borderId="64" xfId="253" applyFont="1" applyBorder="1" applyAlignment="1">
      <alignment horizontal="left" vertical="top" wrapText="1" indent="2"/>
    </xf>
    <xf numFmtId="0" fontId="132" fillId="0" borderId="64" xfId="253" applyFont="1" applyBorder="1" applyAlignment="1">
      <alignment horizontal="left" vertical="top" wrapText="1" indent="1"/>
    </xf>
    <xf numFmtId="0" fontId="138" fillId="0" borderId="0" xfId="253" applyFont="1">
      <alignment vertical="center"/>
    </xf>
    <xf numFmtId="41" fontId="138" fillId="0" borderId="0" xfId="254" applyFont="1">
      <alignment vertical="center"/>
    </xf>
    <xf numFmtId="0" fontId="132" fillId="37" borderId="71" xfId="253" applyFont="1" applyFill="1" applyBorder="1" applyAlignment="1">
      <alignment horizontal="center" vertical="center" wrapText="1"/>
    </xf>
    <xf numFmtId="0" fontId="134" fillId="0" borderId="0" xfId="253" applyFont="1" applyAlignment="1">
      <alignment horizontal="right" wrapText="1"/>
    </xf>
    <xf numFmtId="0" fontId="135" fillId="0" borderId="0" xfId="253" applyFont="1">
      <alignment vertical="center"/>
    </xf>
    <xf numFmtId="0" fontId="134" fillId="0" borderId="0" xfId="253" applyFont="1" applyAlignment="1">
      <alignment horizontal="left" wrapText="1"/>
    </xf>
    <xf numFmtId="0" fontId="71" fillId="0" borderId="0" xfId="83" applyNumberFormat="1">
      <alignment vertical="center"/>
    </xf>
    <xf numFmtId="0" fontId="117" fillId="0" borderId="0" xfId="83" applyNumberFormat="1" applyFont="1">
      <alignment vertical="center"/>
    </xf>
    <xf numFmtId="41" fontId="117" fillId="0" borderId="0" xfId="83" applyNumberFormat="1" applyFont="1">
      <alignment vertical="center"/>
    </xf>
    <xf numFmtId="41" fontId="71" fillId="0" borderId="0" xfId="83" applyNumberFormat="1">
      <alignment vertical="center"/>
    </xf>
    <xf numFmtId="41" fontId="140" fillId="37" borderId="0" xfId="83" applyNumberFormat="1" applyFont="1" applyFill="1">
      <alignment vertical="center"/>
    </xf>
    <xf numFmtId="0" fontId="140" fillId="37" borderId="0" xfId="83" applyFont="1" applyFill="1" applyAlignment="1">
      <alignment vertical="center"/>
    </xf>
    <xf numFmtId="0" fontId="85" fillId="0" borderId="0" xfId="83" applyNumberFormat="1" applyFont="1">
      <alignment vertical="center"/>
    </xf>
    <xf numFmtId="41" fontId="85" fillId="0" borderId="0" xfId="83" applyNumberFormat="1" applyFont="1">
      <alignment vertical="center"/>
    </xf>
    <xf numFmtId="41" fontId="117" fillId="0" borderId="0" xfId="83" applyNumberFormat="1" applyFont="1" applyFill="1" applyAlignment="1">
      <alignment vertical="center"/>
    </xf>
    <xf numFmtId="0" fontId="112" fillId="0" borderId="0" xfId="83" applyNumberFormat="1" applyFont="1">
      <alignment vertical="center"/>
    </xf>
    <xf numFmtId="41" fontId="141" fillId="40" borderId="63" xfId="254" applyFont="1" applyFill="1" applyBorder="1" applyAlignment="1">
      <alignment horizontal="center" vertical="center"/>
    </xf>
    <xf numFmtId="41" fontId="141" fillId="40" borderId="81" xfId="254" applyFont="1" applyFill="1" applyBorder="1" applyAlignment="1">
      <alignment horizontal="center" vertical="center"/>
    </xf>
    <xf numFmtId="41" fontId="142" fillId="40" borderId="81" xfId="254" applyFont="1" applyFill="1" applyBorder="1" applyAlignment="1">
      <alignment horizontal="center" vertical="center"/>
    </xf>
    <xf numFmtId="41" fontId="140" fillId="37" borderId="0" xfId="83" applyNumberFormat="1" applyFont="1" applyFill="1" applyAlignment="1">
      <alignment horizontal="center" vertical="center"/>
    </xf>
    <xf numFmtId="0" fontId="96" fillId="0" borderId="0" xfId="83" applyNumberFormat="1" applyFont="1">
      <alignment vertical="center"/>
    </xf>
    <xf numFmtId="0" fontId="143" fillId="0" borderId="0" xfId="83" applyNumberFormat="1" applyFont="1">
      <alignment vertical="center"/>
    </xf>
    <xf numFmtId="0" fontId="143" fillId="0" borderId="0" xfId="83" applyNumberFormat="1" applyFont="1" applyAlignment="1">
      <alignment horizontal="right" vertical="center"/>
    </xf>
    <xf numFmtId="185" fontId="132" fillId="37" borderId="74" xfId="252" applyNumberFormat="1" applyFont="1" applyFill="1" applyBorder="1" applyAlignment="1">
      <alignment horizontal="right" vertical="center" wrapText="1"/>
    </xf>
    <xf numFmtId="183" fontId="132" fillId="0" borderId="68" xfId="253" applyNumberFormat="1" applyFont="1" applyBorder="1" applyAlignment="1">
      <alignment horizontal="right" vertical="top" wrapText="1"/>
    </xf>
    <xf numFmtId="183" fontId="133" fillId="0" borderId="68" xfId="253" applyNumberFormat="1" applyFont="1" applyBorder="1" applyAlignment="1">
      <alignment horizontal="right" vertical="top" wrapText="1"/>
    </xf>
    <xf numFmtId="184" fontId="133" fillId="0" borderId="68" xfId="253" applyNumberFormat="1" applyFont="1" applyBorder="1" applyAlignment="1">
      <alignment horizontal="right" vertical="top" wrapText="1"/>
    </xf>
    <xf numFmtId="49" fontId="117" fillId="0" borderId="0" xfId="83" applyNumberFormat="1" applyFont="1" applyFill="1" applyAlignment="1">
      <alignment horizontal="left" vertical="center" indent="3"/>
    </xf>
    <xf numFmtId="41" fontId="108" fillId="0" borderId="0" xfId="1">
      <alignment vertical="center"/>
    </xf>
    <xf numFmtId="3" fontId="71" fillId="0" borderId="0" xfId="83" applyNumberFormat="1">
      <alignment vertical="center"/>
    </xf>
    <xf numFmtId="41" fontId="96" fillId="0" borderId="0" xfId="83" applyNumberFormat="1" applyFont="1">
      <alignment vertical="center"/>
    </xf>
    <xf numFmtId="49" fontId="117" fillId="0" borderId="0" xfId="92" applyNumberFormat="1" applyFont="1" applyFill="1" applyAlignment="1">
      <alignment vertical="center"/>
    </xf>
    <xf numFmtId="186" fontId="117" fillId="0" borderId="0" xfId="83" applyNumberFormat="1" applyFont="1" applyFill="1">
      <alignment vertical="center"/>
    </xf>
    <xf numFmtId="0" fontId="71" fillId="0" borderId="11" xfId="72" applyBorder="1" applyAlignment="1">
      <alignment horizontal="left" vertical="center"/>
    </xf>
    <xf numFmtId="0" fontId="71" fillId="0" borderId="52" xfId="72" applyBorder="1" applyAlignment="1">
      <alignment horizontal="left" vertical="center"/>
    </xf>
    <xf numFmtId="0" fontId="71" fillId="0" borderId="53" xfId="72" applyBorder="1" applyAlignment="1">
      <alignment horizontal="left" vertical="center"/>
    </xf>
    <xf numFmtId="0" fontId="71" fillId="0" borderId="17" xfId="72" applyBorder="1" applyAlignment="1">
      <alignment horizontal="left" vertical="center"/>
    </xf>
    <xf numFmtId="0" fontId="71" fillId="0" borderId="54" xfId="72" applyBorder="1" applyAlignment="1">
      <alignment horizontal="left" vertical="center"/>
    </xf>
    <xf numFmtId="0" fontId="71" fillId="0" borderId="0" xfId="72" applyAlignment="1">
      <alignment horizontal="left" vertical="center"/>
    </xf>
    <xf numFmtId="0" fontId="105" fillId="0" borderId="19" xfId="72" applyFont="1" applyBorder="1" applyAlignment="1">
      <alignment horizontal="center" vertical="center"/>
    </xf>
    <xf numFmtId="0" fontId="71" fillId="0" borderId="19" xfId="72" applyBorder="1" applyAlignment="1">
      <alignment horizontal="left" vertical="center"/>
    </xf>
    <xf numFmtId="0" fontId="71" fillId="0" borderId="55" xfId="72" applyBorder="1" applyAlignment="1">
      <alignment horizontal="left" vertical="center"/>
    </xf>
    <xf numFmtId="0" fontId="71" fillId="0" borderId="30" xfId="72" applyBorder="1" applyAlignment="1">
      <alignment horizontal="left" vertical="center"/>
    </xf>
    <xf numFmtId="0" fontId="71" fillId="0" borderId="38" xfId="72" applyBorder="1" applyAlignment="1">
      <alignment horizontal="left" vertical="center"/>
    </xf>
    <xf numFmtId="49" fontId="92" fillId="35" borderId="0" xfId="2" applyNumberFormat="1" applyFont="1" applyFill="1" applyBorder="1" applyAlignment="1">
      <alignment horizontal="distributed" vertical="center" wrapText="1" shrinkToFit="1"/>
    </xf>
    <xf numFmtId="1" fontId="92" fillId="34" borderId="51" xfId="2" applyNumberFormat="1" applyFont="1" applyFill="1" applyBorder="1" applyAlignment="1">
      <alignment horizontal="center" vertical="center" shrinkToFit="1"/>
    </xf>
    <xf numFmtId="1" fontId="92" fillId="34" borderId="11" xfId="2" applyNumberFormat="1" applyFont="1" applyFill="1" applyBorder="1" applyAlignment="1">
      <alignment horizontal="center" vertical="center" shrinkToFit="1"/>
    </xf>
    <xf numFmtId="49" fontId="91" fillId="34" borderId="0" xfId="2" applyNumberFormat="1" applyFont="1" applyFill="1" applyBorder="1" applyAlignment="1">
      <alignment horizontal="distributed" vertical="center" wrapText="1" shrinkToFit="1"/>
    </xf>
    <xf numFmtId="49" fontId="92" fillId="34" borderId="19" xfId="2" applyNumberFormat="1" applyFont="1" applyFill="1" applyBorder="1" applyAlignment="1">
      <alignment horizontal="distributed" vertical="center" wrapText="1" shrinkToFit="1"/>
    </xf>
    <xf numFmtId="49" fontId="92" fillId="34" borderId="0" xfId="2" applyNumberFormat="1" applyFont="1" applyFill="1" applyBorder="1" applyAlignment="1">
      <alignment horizontal="distributed" vertical="center" wrapText="1" shrinkToFit="1"/>
    </xf>
    <xf numFmtId="49" fontId="91" fillId="34" borderId="14" xfId="2" applyNumberFormat="1" applyFont="1" applyFill="1" applyBorder="1" applyAlignment="1">
      <alignment horizontal="right" vertical="center" shrinkToFit="1"/>
    </xf>
    <xf numFmtId="49" fontId="91" fillId="34" borderId="0" xfId="2" applyNumberFormat="1" applyFont="1" applyFill="1" applyBorder="1" applyAlignment="1">
      <alignment horizontal="right" vertical="center" shrinkToFit="1"/>
    </xf>
    <xf numFmtId="49" fontId="91" fillId="35" borderId="0" xfId="2" applyNumberFormat="1" applyFont="1" applyFill="1" applyBorder="1" applyAlignment="1">
      <alignment horizontal="distributed" vertical="center" wrapText="1" shrinkToFit="1"/>
    </xf>
    <xf numFmtId="49" fontId="92" fillId="35" borderId="14" xfId="2" applyNumberFormat="1" applyFont="1" applyFill="1" applyBorder="1" applyAlignment="1">
      <alignment horizontal="center" vertical="center" shrinkToFit="1"/>
    </xf>
    <xf numFmtId="49" fontId="92" fillId="35" borderId="0" xfId="2" applyNumberFormat="1" applyFont="1" applyFill="1" applyBorder="1" applyAlignment="1">
      <alignment horizontal="center" vertical="center" shrinkToFit="1"/>
    </xf>
    <xf numFmtId="1" fontId="91" fillId="34" borderId="0" xfId="2" applyNumberFormat="1" applyFont="1" applyFill="1" applyBorder="1" applyAlignment="1">
      <alignment horizontal="distributed" vertical="center" wrapText="1" shrinkToFit="1"/>
    </xf>
    <xf numFmtId="1" fontId="102" fillId="0" borderId="0" xfId="2" applyNumberFormat="1" applyFont="1" applyAlignment="1">
      <alignment horizontal="center" vertical="center" shrinkToFit="1"/>
    </xf>
    <xf numFmtId="1" fontId="97" fillId="0" borderId="0" xfId="2" applyNumberFormat="1" applyFont="1" applyAlignment="1">
      <alignment horizontal="center" vertical="center" shrinkToFit="1"/>
    </xf>
    <xf numFmtId="41" fontId="92" fillId="33" borderId="12" xfId="3" applyFont="1" applyFill="1" applyBorder="1" applyAlignment="1">
      <alignment horizontal="center" vertical="center" wrapText="1" shrinkToFit="1"/>
    </xf>
    <xf numFmtId="41" fontId="92" fillId="33" borderId="36" xfId="3" applyFont="1" applyFill="1" applyBorder="1" applyAlignment="1">
      <alignment horizontal="center" vertical="center" shrinkToFit="1"/>
    </xf>
    <xf numFmtId="1" fontId="92" fillId="33" borderId="13" xfId="2" applyNumberFormat="1" applyFont="1" applyFill="1" applyBorder="1" applyAlignment="1">
      <alignment horizontal="center" vertical="center" shrinkToFit="1"/>
    </xf>
    <xf numFmtId="41" fontId="97" fillId="0" borderId="19" xfId="3" applyFont="1" applyBorder="1" applyAlignment="1">
      <alignment horizontal="left" vertical="center" shrinkToFit="1"/>
    </xf>
    <xf numFmtId="1" fontId="92" fillId="34" borderId="19" xfId="2" applyNumberFormat="1" applyFont="1" applyFill="1" applyBorder="1" applyAlignment="1">
      <alignment horizontal="distributed" vertical="center" wrapText="1" shrinkToFit="1"/>
    </xf>
    <xf numFmtId="1" fontId="92" fillId="34" borderId="0" xfId="2" applyNumberFormat="1" applyFont="1" applyFill="1" applyBorder="1" applyAlignment="1">
      <alignment horizontal="distributed" vertical="center" wrapText="1" shrinkToFit="1"/>
    </xf>
    <xf numFmtId="49" fontId="91" fillId="0" borderId="0" xfId="2" applyNumberFormat="1" applyFont="1" applyBorder="1" applyAlignment="1">
      <alignment horizontal="distributed" vertical="center" wrapText="1" shrinkToFit="1"/>
    </xf>
    <xf numFmtId="1" fontId="99" fillId="0" borderId="0" xfId="2" applyNumberFormat="1" applyFont="1" applyAlignment="1">
      <alignment horizontal="center" vertical="center" shrinkToFit="1"/>
    </xf>
    <xf numFmtId="41" fontId="97" fillId="0" borderId="0" xfId="3" applyFont="1" applyAlignment="1">
      <alignment horizontal="left" vertical="center" shrinkToFit="1"/>
    </xf>
    <xf numFmtId="41" fontId="92" fillId="33" borderId="12" xfId="3" applyFont="1" applyFill="1" applyBorder="1" applyAlignment="1">
      <alignment horizontal="center" vertical="center" shrinkToFit="1"/>
    </xf>
    <xf numFmtId="41" fontId="92" fillId="33" borderId="61" xfId="3" applyFont="1" applyFill="1" applyBorder="1" applyAlignment="1">
      <alignment horizontal="center" vertical="center" shrinkToFit="1"/>
    </xf>
    <xf numFmtId="41" fontId="92" fillId="33" borderId="62" xfId="3" applyFont="1" applyFill="1" applyBorder="1" applyAlignment="1">
      <alignment horizontal="center" vertical="center" shrinkToFit="1"/>
    </xf>
    <xf numFmtId="1" fontId="92" fillId="33" borderId="47" xfId="2" applyNumberFormat="1" applyFont="1" applyFill="1" applyBorder="1" applyAlignment="1">
      <alignment horizontal="center" vertical="center" shrinkToFit="1"/>
    </xf>
    <xf numFmtId="1" fontId="92" fillId="34" borderId="47" xfId="2" applyNumberFormat="1" applyFont="1" applyFill="1" applyBorder="1" applyAlignment="1">
      <alignment horizontal="distributed" vertical="center" wrapText="1" shrinkToFit="1"/>
    </xf>
    <xf numFmtId="49" fontId="91" fillId="34" borderId="0" xfId="2" applyNumberFormat="1" applyFont="1" applyFill="1" applyAlignment="1">
      <alignment horizontal="distributed" vertical="center" wrapText="1" shrinkToFit="1"/>
    </xf>
    <xf numFmtId="1" fontId="92" fillId="34" borderId="0" xfId="2" applyNumberFormat="1" applyFont="1" applyFill="1" applyAlignment="1">
      <alignment horizontal="distributed" vertical="center" wrapText="1" shrinkToFit="1"/>
    </xf>
    <xf numFmtId="49" fontId="91" fillId="0" borderId="0" xfId="2" applyNumberFormat="1" applyFont="1" applyAlignment="1">
      <alignment horizontal="distributed" vertical="center" wrapText="1" shrinkToFit="1"/>
    </xf>
    <xf numFmtId="49" fontId="91" fillId="34" borderId="19" xfId="2" applyNumberFormat="1" applyFont="1" applyFill="1" applyBorder="1" applyAlignment="1">
      <alignment horizontal="distributed" vertical="center" wrapText="1" shrinkToFit="1"/>
    </xf>
    <xf numFmtId="49" fontId="91" fillId="35" borderId="0" xfId="2" applyNumberFormat="1" applyFont="1" applyFill="1" applyAlignment="1">
      <alignment horizontal="distributed" vertical="center" wrapText="1" shrinkToFit="1"/>
    </xf>
    <xf numFmtId="49" fontId="92" fillId="34" borderId="49" xfId="2" applyNumberFormat="1" applyFont="1" applyFill="1" applyBorder="1" applyAlignment="1">
      <alignment horizontal="distributed" vertical="center" wrapText="1" shrinkToFit="1"/>
    </xf>
    <xf numFmtId="49" fontId="91" fillId="34" borderId="14" xfId="2" applyNumberFormat="1" applyFont="1" applyFill="1" applyBorder="1" applyAlignment="1">
      <alignment horizontal="distributed" vertical="center" wrapText="1" shrinkToFit="1"/>
    </xf>
    <xf numFmtId="49" fontId="91" fillId="32" borderId="0" xfId="2" applyNumberFormat="1" applyFont="1" applyFill="1" applyAlignment="1">
      <alignment horizontal="distributed" vertical="center" wrapText="1" shrinkToFit="1"/>
    </xf>
    <xf numFmtId="49" fontId="91" fillId="0" borderId="19" xfId="2" applyNumberFormat="1" applyFont="1" applyBorder="1" applyAlignment="1">
      <alignment horizontal="distributed" vertical="center" wrapText="1" shrinkToFit="1"/>
    </xf>
    <xf numFmtId="0" fontId="136" fillId="0" borderId="0" xfId="252" applyFont="1" applyAlignment="1">
      <alignment horizontal="center" vertical="center"/>
    </xf>
    <xf numFmtId="0" fontId="134" fillId="0" borderId="0" xfId="252" applyFont="1" applyAlignment="1">
      <alignment horizontal="center" vertical="center" wrapText="1"/>
    </xf>
    <xf numFmtId="0" fontId="139" fillId="0" borderId="0" xfId="253" applyFont="1" applyAlignment="1">
      <alignment horizontal="center" vertical="center"/>
    </xf>
    <xf numFmtId="0" fontId="134" fillId="0" borderId="0" xfId="253" applyFont="1" applyAlignment="1">
      <alignment horizontal="center" vertical="center" wrapText="1"/>
    </xf>
    <xf numFmtId="0" fontId="132" fillId="37" borderId="69" xfId="253" applyFont="1" applyFill="1" applyBorder="1" applyAlignment="1">
      <alignment horizontal="center" vertical="center" wrapText="1"/>
    </xf>
    <xf numFmtId="0" fontId="132" fillId="37" borderId="70" xfId="253" applyFont="1" applyFill="1" applyBorder="1" applyAlignment="1">
      <alignment horizontal="center" vertical="center" wrapText="1"/>
    </xf>
    <xf numFmtId="0" fontId="144" fillId="0" borderId="0" xfId="83" applyNumberFormat="1" applyFont="1" applyAlignment="1">
      <alignment horizontal="center" vertical="center"/>
    </xf>
  </cellXfs>
  <cellStyles count="255">
    <cellStyle name="20% - 강조색1" xfId="22"/>
    <cellStyle name="20% - 강조색1 2" xfId="113"/>
    <cellStyle name="20% - 강조색2" xfId="26"/>
    <cellStyle name="20% - 강조색2 2" xfId="117"/>
    <cellStyle name="20% - 강조색3" xfId="30"/>
    <cellStyle name="20% - 강조색3 2" xfId="121"/>
    <cellStyle name="20% - 강조색4" xfId="34"/>
    <cellStyle name="20% - 강조색4 2" xfId="125"/>
    <cellStyle name="20% - 강조색5" xfId="38"/>
    <cellStyle name="20% - 강조색5 2" xfId="129"/>
    <cellStyle name="20% - 강조색6" xfId="42"/>
    <cellStyle name="20% - 강조색6 2" xfId="133"/>
    <cellStyle name="40% - 강조색1" xfId="23"/>
    <cellStyle name="40% - 강조색1 2" xfId="114"/>
    <cellStyle name="40% - 강조색2" xfId="27"/>
    <cellStyle name="40% - 강조색2 2" xfId="118"/>
    <cellStyle name="40% - 강조색3" xfId="31"/>
    <cellStyle name="40% - 강조색3 2" xfId="122"/>
    <cellStyle name="40% - 강조색4" xfId="35"/>
    <cellStyle name="40% - 강조색4 2" xfId="126"/>
    <cellStyle name="40% - 강조색5" xfId="39"/>
    <cellStyle name="40% - 강조색5 2" xfId="130"/>
    <cellStyle name="40% - 강조색6" xfId="43"/>
    <cellStyle name="40% - 강조색6 2" xfId="134"/>
    <cellStyle name="60% - 강조색1" xfId="24"/>
    <cellStyle name="60% - 강조색1 2" xfId="115"/>
    <cellStyle name="60% - 강조색2" xfId="28"/>
    <cellStyle name="60% - 강조색2 2" xfId="119"/>
    <cellStyle name="60% - 강조색3" xfId="32"/>
    <cellStyle name="60% - 강조색3 2" xfId="123"/>
    <cellStyle name="60% - 강조색4" xfId="36"/>
    <cellStyle name="60% - 강조색4 2" xfId="127"/>
    <cellStyle name="60% - 강조색5" xfId="40"/>
    <cellStyle name="60% - 강조색5 2" xfId="131"/>
    <cellStyle name="60% - 강조색6" xfId="44"/>
    <cellStyle name="60% - 강조색6 2" xfId="135"/>
    <cellStyle name="강조색1" xfId="21"/>
    <cellStyle name="강조색1 2" xfId="112"/>
    <cellStyle name="강조색2" xfId="25"/>
    <cellStyle name="강조색2 2" xfId="116"/>
    <cellStyle name="강조색3" xfId="29"/>
    <cellStyle name="강조색3 2" xfId="120"/>
    <cellStyle name="강조색4" xfId="33"/>
    <cellStyle name="강조색4 2" xfId="124"/>
    <cellStyle name="강조색5" xfId="37"/>
    <cellStyle name="강조색5 2" xfId="128"/>
    <cellStyle name="강조색6" xfId="41"/>
    <cellStyle name="강조색6 2" xfId="132"/>
    <cellStyle name="경고문" xfId="17"/>
    <cellStyle name="경고문 2" xfId="108"/>
    <cellStyle name="계산" xfId="14"/>
    <cellStyle name="계산 2" xfId="105"/>
    <cellStyle name="나쁨" xfId="10"/>
    <cellStyle name="나쁨 2" xfId="101"/>
    <cellStyle name="메모" xfId="18"/>
    <cellStyle name="메모 2" xfId="109"/>
    <cellStyle name="백분율 2" xfId="49"/>
    <cellStyle name="백분율 2 2" xfId="138"/>
    <cellStyle name="백분율 3" xfId="93"/>
    <cellStyle name="보통" xfId="11"/>
    <cellStyle name="보통 2" xfId="102"/>
    <cellStyle name="설명 텍스트" xfId="19"/>
    <cellStyle name="설명 텍스트 2" xfId="110"/>
    <cellStyle name="셀 확인" xfId="16"/>
    <cellStyle name="셀 확인 2" xfId="107"/>
    <cellStyle name="쉼표 [0]" xfId="1" builtinId="6"/>
    <cellStyle name="쉼표 [0] 10" xfId="80"/>
    <cellStyle name="쉼표 [0] 10 2" xfId="167"/>
    <cellStyle name="쉼표 [0] 10 3" xfId="219"/>
    <cellStyle name="쉼표 [0] 10 3 2" xfId="221"/>
    <cellStyle name="쉼표 [0] 10 3 2 2" xfId="224"/>
    <cellStyle name="쉼표 [0] 10 3 2 3" xfId="227"/>
    <cellStyle name="쉼표 [0] 10 3 2 4" xfId="231"/>
    <cellStyle name="쉼표 [0] 10 3 2 5" xfId="250"/>
    <cellStyle name="쉼표 [0] 11" xfId="88"/>
    <cellStyle name="쉼표 [0] 11 2" xfId="174"/>
    <cellStyle name="쉼표 [0] 12" xfId="90"/>
    <cellStyle name="쉼표 [0] 13" xfId="92"/>
    <cellStyle name="쉼표 [0] 13 2" xfId="218"/>
    <cellStyle name="쉼표 [0] 14" xfId="180"/>
    <cellStyle name="쉼표 [0] 15" xfId="184"/>
    <cellStyle name="쉼표 [0] 16" xfId="190"/>
    <cellStyle name="쉼표 [0] 17" xfId="193"/>
    <cellStyle name="쉼표 [0] 18" xfId="195"/>
    <cellStyle name="쉼표 [0] 19" xfId="202"/>
    <cellStyle name="쉼표 [0] 2" xfId="48"/>
    <cellStyle name="쉼표 [0] 2 2" xfId="74"/>
    <cellStyle name="쉼표 [0] 2 2 2" xfId="85"/>
    <cellStyle name="쉼표 [0] 2 2 2 2" xfId="171"/>
    <cellStyle name="쉼표 [0] 2 2 3" xfId="161"/>
    <cellStyle name="쉼표 [0] 2 3" xfId="84"/>
    <cellStyle name="쉼표 [0] 2 3 2" xfId="170"/>
    <cellStyle name="쉼표 [0] 2 4" xfId="137"/>
    <cellStyle name="쉼표 [0] 2 5" xfId="175"/>
    <cellStyle name="쉼표 [0] 2 6" xfId="181"/>
    <cellStyle name="쉼표 [0] 2 7" xfId="182"/>
    <cellStyle name="쉼표 [0] 2 7 2" xfId="213"/>
    <cellStyle name="쉼표 [0] 20" xfId="204"/>
    <cellStyle name="쉼표 [0] 21" xfId="206"/>
    <cellStyle name="쉼표 [0] 22" xfId="235"/>
    <cellStyle name="쉼표 [0] 23" xfId="246"/>
    <cellStyle name="쉼표 [0] 24" xfId="248"/>
    <cellStyle name="쉼표 [0] 3" xfId="54"/>
    <cellStyle name="쉼표 [0] 3 2" xfId="142"/>
    <cellStyle name="쉼표 [0] 3 2 2" xfId="254"/>
    <cellStyle name="쉼표 [0] 4" xfId="57"/>
    <cellStyle name="쉼표 [0] 4 2" xfId="76"/>
    <cellStyle name="쉼표 [0] 4 2 2" xfId="163"/>
    <cellStyle name="쉼표 [0] 4 3" xfId="145"/>
    <cellStyle name="쉼표 [0] 5" xfId="67"/>
    <cellStyle name="쉼표 [0] 5 2" xfId="155"/>
    <cellStyle name="쉼표 [0] 6" xfId="69"/>
    <cellStyle name="쉼표 [0] 6 2" xfId="157"/>
    <cellStyle name="쉼표 [0] 7" xfId="71"/>
    <cellStyle name="쉼표 [0] 7 2" xfId="159"/>
    <cellStyle name="쉼표 [0] 8" xfId="73"/>
    <cellStyle name="쉼표 [0] 8 2" xfId="160"/>
    <cellStyle name="쉼표 [0] 9" xfId="3"/>
    <cellStyle name="쉼표 [0] 9 2" xfId="51"/>
    <cellStyle name="쉼표 [0] 9 2 2" xfId="139"/>
    <cellStyle name="쉼표 [0] 9 3" xfId="86"/>
    <cellStyle name="쉼표 [0] 9 3 2" xfId="172"/>
    <cellStyle name="쉼표 [0] 9 4" xfId="94"/>
    <cellStyle name="연결된 셀" xfId="15"/>
    <cellStyle name="연결된 셀 2" xfId="106"/>
    <cellStyle name="요약" xfId="20"/>
    <cellStyle name="요약 2" xfId="111"/>
    <cellStyle name="입력" xfId="12"/>
    <cellStyle name="입력 2" xfId="103"/>
    <cellStyle name="제목" xfId="4"/>
    <cellStyle name="제목 1" xfId="5"/>
    <cellStyle name="제목 1 2" xfId="96"/>
    <cellStyle name="제목 2" xfId="6"/>
    <cellStyle name="제목 2 2" xfId="97"/>
    <cellStyle name="제목 3" xfId="7"/>
    <cellStyle name="제목 3 2" xfId="98"/>
    <cellStyle name="제목 4" xfId="8"/>
    <cellStyle name="제목 4 2" xfId="99"/>
    <cellStyle name="제목 5" xfId="95"/>
    <cellStyle name="좋음" xfId="9"/>
    <cellStyle name="좋음 2" xfId="100"/>
    <cellStyle name="출력" xfId="13"/>
    <cellStyle name="출력 2" xfId="104"/>
    <cellStyle name="표준" xfId="0" builtinId="0"/>
    <cellStyle name="표준 10" xfId="59"/>
    <cellStyle name="표준 10 2" xfId="147"/>
    <cellStyle name="표준 11" xfId="60"/>
    <cellStyle name="표준 11 2" xfId="148"/>
    <cellStyle name="표준 12" xfId="61"/>
    <cellStyle name="표준 12 2" xfId="149"/>
    <cellStyle name="표준 12 2 2" xfId="217"/>
    <cellStyle name="표준 13" xfId="62"/>
    <cellStyle name="표준 13 2" xfId="150"/>
    <cellStyle name="표준 14" xfId="63"/>
    <cellStyle name="표준 14 2" xfId="151"/>
    <cellStyle name="표준 15" xfId="64"/>
    <cellStyle name="표준 15 2" xfId="152"/>
    <cellStyle name="표준 16" xfId="65"/>
    <cellStyle name="표준 16 2" xfId="153"/>
    <cellStyle name="표준 17" xfId="66"/>
    <cellStyle name="표준 17 2" xfId="154"/>
    <cellStyle name="표준 18" xfId="68"/>
    <cellStyle name="표준 18 2" xfId="156"/>
    <cellStyle name="표준 19" xfId="70"/>
    <cellStyle name="표준 19 2" xfId="158"/>
    <cellStyle name="표준 2" xfId="45"/>
    <cellStyle name="표준 2 2" xfId="83"/>
    <cellStyle name="표준 2 5" xfId="214"/>
    <cellStyle name="표준 20" xfId="72"/>
    <cellStyle name="표준 21" xfId="75"/>
    <cellStyle name="표준 21 2" xfId="162"/>
    <cellStyle name="표준 22" xfId="78"/>
    <cellStyle name="표준 22 2" xfId="165"/>
    <cellStyle name="표준 23" xfId="79"/>
    <cellStyle name="표준 23 2" xfId="166"/>
    <cellStyle name="표준 23 3" xfId="212"/>
    <cellStyle name="표준 23 3 2" xfId="220"/>
    <cellStyle name="표준 23 3 2 2" xfId="223"/>
    <cellStyle name="표준 23 3 2 3" xfId="226"/>
    <cellStyle name="표준 23 3 2 4" xfId="230"/>
    <cellStyle name="표준 23 3 2 5" xfId="249"/>
    <cellStyle name="표준 237" xfId="2"/>
    <cellStyle name="표준 237 2" xfId="50"/>
    <cellStyle name="표준 24" xfId="81"/>
    <cellStyle name="표준 24 2" xfId="168"/>
    <cellStyle name="표준 24 3" xfId="225"/>
    <cellStyle name="표준 24 3 2" xfId="229"/>
    <cellStyle name="표준 24 3 3" xfId="233"/>
    <cellStyle name="표준 24 3 4" xfId="251"/>
    <cellStyle name="표준 24 4" xfId="228"/>
    <cellStyle name="표준 24 4 2" xfId="232"/>
    <cellStyle name="표준 25" xfId="82"/>
    <cellStyle name="표준 25 2" xfId="169"/>
    <cellStyle name="표준 26" xfId="87"/>
    <cellStyle name="표준 26 2" xfId="173"/>
    <cellStyle name="표준 27" xfId="89"/>
    <cellStyle name="표준 28" xfId="91"/>
    <cellStyle name="표준 29" xfId="176"/>
    <cellStyle name="표준 3" xfId="46"/>
    <cellStyle name="표준 3 4" xfId="215"/>
    <cellStyle name="표준 30" xfId="177"/>
    <cellStyle name="표준 31" xfId="178"/>
    <cellStyle name="표준 32" xfId="179"/>
    <cellStyle name="표준 33" xfId="183"/>
    <cellStyle name="표준 34" xfId="185"/>
    <cellStyle name="표준 35" xfId="187"/>
    <cellStyle name="표준 36" xfId="186"/>
    <cellStyle name="표준 37" xfId="188"/>
    <cellStyle name="표준 38" xfId="189"/>
    <cellStyle name="표준 39" xfId="191"/>
    <cellStyle name="표준 4" xfId="47"/>
    <cellStyle name="표준 4 2" xfId="77"/>
    <cellStyle name="표준 4 2 2" xfId="164"/>
    <cellStyle name="표준 4 3" xfId="136"/>
    <cellStyle name="표준 40" xfId="192"/>
    <cellStyle name="표준 41" xfId="194"/>
    <cellStyle name="표준 42" xfId="196"/>
    <cellStyle name="표준 43" xfId="197"/>
    <cellStyle name="표준 44" xfId="198"/>
    <cellStyle name="표준 45" xfId="199"/>
    <cellStyle name="표준 46" xfId="200"/>
    <cellStyle name="표준 47" xfId="201"/>
    <cellStyle name="표준 47 2" xfId="211"/>
    <cellStyle name="표준 48" xfId="203"/>
    <cellStyle name="표준 49" xfId="205"/>
    <cellStyle name="표준 5" xfId="52"/>
    <cellStyle name="표준 5 2" xfId="140"/>
    <cellStyle name="표준 5 2 2" xfId="252"/>
    <cellStyle name="표준 50" xfId="207"/>
    <cellStyle name="표준 51" xfId="208"/>
    <cellStyle name="표준 52" xfId="209"/>
    <cellStyle name="표준 53" xfId="210"/>
    <cellStyle name="표준 54" xfId="222"/>
    <cellStyle name="표준 55" xfId="234"/>
    <cellStyle name="표준 56" xfId="236"/>
    <cellStyle name="표준 57" xfId="237"/>
    <cellStyle name="표준 58" xfId="238"/>
    <cellStyle name="표준 59" xfId="239"/>
    <cellStyle name="표준 6" xfId="53"/>
    <cellStyle name="표준 6 2" xfId="141"/>
    <cellStyle name="표준 6 2 2" xfId="253"/>
    <cellStyle name="표준 60" xfId="240"/>
    <cellStyle name="표준 61" xfId="241"/>
    <cellStyle name="표준 62" xfId="242"/>
    <cellStyle name="표준 63" xfId="243"/>
    <cellStyle name="표준 64" xfId="244"/>
    <cellStyle name="표준 65" xfId="245"/>
    <cellStyle name="표준 66" xfId="247"/>
    <cellStyle name="표준 7" xfId="55"/>
    <cellStyle name="표준 7 2" xfId="143"/>
    <cellStyle name="표준 8" xfId="56"/>
    <cellStyle name="표준 8 2" xfId="144"/>
    <cellStyle name="표준 9" xfId="58"/>
    <cellStyle name="표준 9 2" xfId="146"/>
    <cellStyle name="표준 96" xfId="21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4.xml"/><Relationship Id="rId18" Type="http://schemas.openxmlformats.org/officeDocument/2006/relationships/externalLink" Target="externalLinks/externalLink9.xml"/><Relationship Id="rId26" Type="http://schemas.openxmlformats.org/officeDocument/2006/relationships/externalLink" Target="externalLinks/externalLink17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2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openxmlformats.org/officeDocument/2006/relationships/externalLink" Target="externalLinks/externalLink8.xml"/><Relationship Id="rId25" Type="http://schemas.openxmlformats.org/officeDocument/2006/relationships/externalLink" Target="externalLinks/externalLink16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7.xml"/><Relationship Id="rId20" Type="http://schemas.openxmlformats.org/officeDocument/2006/relationships/externalLink" Target="externalLinks/externalLink11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24" Type="http://schemas.openxmlformats.org/officeDocument/2006/relationships/externalLink" Target="externalLinks/externalLink15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6.xml"/><Relationship Id="rId23" Type="http://schemas.openxmlformats.org/officeDocument/2006/relationships/externalLink" Target="externalLinks/externalLink14.xml"/><Relationship Id="rId28" Type="http://schemas.openxmlformats.org/officeDocument/2006/relationships/externalLink" Target="externalLinks/externalLink19.xml"/><Relationship Id="rId10" Type="http://schemas.openxmlformats.org/officeDocument/2006/relationships/externalLink" Target="externalLinks/externalLink1.xml"/><Relationship Id="rId19" Type="http://schemas.openxmlformats.org/officeDocument/2006/relationships/externalLink" Target="externalLinks/externalLink10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5.xml"/><Relationship Id="rId22" Type="http://schemas.openxmlformats.org/officeDocument/2006/relationships/externalLink" Target="externalLinks/externalLink13.xml"/><Relationship Id="rId27" Type="http://schemas.openxmlformats.org/officeDocument/2006/relationships/externalLink" Target="externalLinks/externalLink18.xml"/><Relationship Id="rId30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&#44048;&#49324;-&#44592;&#47568;\00-5%20&#54620;&#51652;&#51473;&#44277;&#50629;\WF200\TMP\~TMP7233.$$$\WF200\TMP\~TMP5043.$$$\&#44228;&#51221;&#44284;&#47785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JKLEE\&#51116;&#47924;&#51228;&#54364;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yeseul.kim\AppData\Local\Temp\GAMxFiles\ReadOnly\4486d10226da432b9e2d217cb0ec5aaf\&#44552;&#50997;&#44288;&#47144;\&#54620;&#44397;&#49688;&#47141;&#50896;&#51088;&#47141;\2003%201&#48516;&#44592;\Documents%20and%20Settings\hjeon\My%20Documents\2001&#44048;&#49324;\&#44368;&#50896;&#44277;&#51228;&#54924;\0109%20&#44048;&#49324;&#50857;%20tb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ngnt\project\WINDOWS\&#48148;&#53461;%20&#54868;&#47732;\LG_CALTEX\LG_CALTEX\&#49888;&#44368;&#49885;&#44060;&#51064;\01&#44144;&#47000;&#49440;&#44204;&#51201;\SECL_HYCO\DCS&#44204;&#51201;\cs1000\DEC_DHDSR0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yeseul.kim\AppData\Local\Temp\GAMxFiles\ReadOnly\4486d10226da432b9e2d217cb0ec5aaf\&#44552;&#50997;&#44288;&#47144;\&#54620;&#44397;&#49688;&#47141;&#50896;&#51088;&#47141;\2003%203&#48516;&#44592;\&#50980;&#55141;&#44540;\98&#44208;&#49328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R005110\&#44277;&#50976;\&#50980;&#55141;&#44540;\98&#44208;&#49328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9457;&#50980;\&#54924;&#51032;&#51088;&#47308;\&#51088;&#54924;&#49324;&#44288;&#47532;\2001&#50696;&#49328;\&#51088;&#48376;&#51088;&#44552;\&#49324;&#50629;&#51333;&#54633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&#44048;&#49324;-&#44592;&#47568;\00-5%20&#54620;&#51652;&#51473;&#44277;&#50629;\WF200\TMP\~TMP7233.$$$\WF200\TMP\~TMP5461.$$$\&#51116;&#47924;&#51228;&#54364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&#44048;&#49324;-&#44592;&#47568;\00-5%20&#54620;&#51652;&#51473;&#44277;&#50629;\WF200\TMP\~TMP7233.$$$\WF200\TMP\~TMP7201.$$$\ACT\ACT97\&#51116;&#47924;&#51228;&#54364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6211%20&#52264;&#51077;&#44552;%20&#48143;%20&#49324;&#52292;&#51032;%20&#50892;&#53356;&#49884;&#53944;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My%20Documents\@ZZ-YONG\%23sett-97\&#44208;&#49328;&#44288;&#47144;\&#50672;&#47568;&#44208;&#49328;\@office97\97&#44592;&#47568;-&#51116;&#47924;&#51228;&#54364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980;&#44368;&#49688;\C\98&#45380;&#50641;&#49472;\98&#48376;&#50696;&#49328;\97&#50696;&#49328;(&#50504;)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yeseul.kim\AppData\Local\Temp\GAMxFiles\ReadOnly\4486d10226da432b9e2d217cb0ec5aaf\&#44552;&#50997;&#44288;&#47144;\&#48148;&#53461;&#54868;&#47732;\&#51088;&#44552;&#44288;&#47144;\05%20&#44208;&#49328;\05%202&#48516;&#44592;\windows\TEMP\&#50857;&#54217;&#51312;&#54924;&#49436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Santong22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yeseul.kim\AppData\Local\Temp\GAMxFiles\ReadOnly\4486d10226da432b9e2d217cb0ec5aaf\&#44552;&#50997;&#44288;&#47144;\&#54620;&#44397;&#49688;&#47141;&#50896;&#51088;&#47141;\2003%201&#48516;&#44592;\99&#44048;&#49324;\99HANTA\98&#44048;&#49324;\98HANTA\fdmm1000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yeseul.kim\AppData\Local\Temp\GAMxFiles\ReadOnly\4486d10226da432b9e2d217cb0ec5aaf\&#44552;&#50997;&#44288;&#47144;\&#48148;&#53461;&#54868;&#47732;\&#51088;&#44552;&#44288;&#47144;\05%20&#44208;&#49328;\05%202&#48516;&#44592;\&#52292;&#44428;&#52292;&#47924;&#51312;&#54924;&#49436;(&#52285;&#50896;&#53945;&#49688;&#44053;)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9457;&#50980;\&#54924;&#51032;&#51088;&#47308;\My%20Documents\&#51088;&#48376;&#51333;&#54633;\&#49892;&#51201;&#48516;&#49437;\2001&#45380;&#46020;\&#51068;&#49324;&#48516;&#44592;\&#49688;&#54868;&#47141;\99\&#49849;&#51064;&#48320;&#44221;\&#54532;&#47196;&#51229;&#53944;&#48324;&#48176;&#51221;(A4)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&#44048;&#49324;-&#44592;&#47568;\00-5%20&#54620;&#51652;&#51473;&#44277;&#50629;\WF200\TMP\~TMP7233.$$$\WF200\TMP\~TMP7201.$$$\YEAR\YEAR99\&#50900;&#52264;&#44208;&#49328;\&#44277;&#49324;&#54788;&#54889;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계정과목"/>
      <sheetName val="시산표"/>
    </sheetNames>
    <sheetDataSet>
      <sheetData sheetId="0" refreshError="1"/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SPL"/>
      <sheetName val="시산표"/>
      <sheetName val="금융자산부채 "/>
      <sheetName val="비용"/>
      <sheetName val="원가"/>
      <sheetName val="요약재무"/>
      <sheetName val="요약손익"/>
      <sheetName val="사업별"/>
      <sheetName val="사업장별"/>
      <sheetName val="표지"/>
      <sheetName val="grap"/>
      <sheetName val="잉여금 "/>
      <sheetName val="공사원가"/>
      <sheetName val="조회서"/>
      <sheetName val="주소"/>
      <sheetName val="Option"/>
      <sheetName val="개황"/>
      <sheetName val="control sheet"/>
      <sheetName val="차량(구)"/>
      <sheetName val="업체개요"/>
      <sheetName val="회사정보"/>
      <sheetName val="미비용95"/>
      <sheetName val="시설투자"/>
      <sheetName val="COMM"/>
      <sheetName val="수불부"/>
      <sheetName val="소기"/>
      <sheetName val="재무제표A"/>
      <sheetName val="일반물자(한국통신)"/>
      <sheetName val="채권(하반기)"/>
      <sheetName val="계정code"/>
      <sheetName val="시산표12월(수정후)"/>
      <sheetName val="BS"/>
      <sheetName val="J"/>
      <sheetName val="출자한도"/>
      <sheetName val="2000년"/>
      <sheetName val="2001년"/>
      <sheetName val="기본 FACTOR"/>
      <sheetName val="Profit-group"/>
      <sheetName val="대외공문"/>
      <sheetName val="10월"/>
      <sheetName val="본사현황"/>
      <sheetName val="선급금"/>
      <sheetName val="미착품"/>
      <sheetName val="SALE"/>
      <sheetName val="SHEET1"/>
      <sheetName val="감가상각"/>
      <sheetName val="원가계산서"/>
      <sheetName val="Menu_Link"/>
      <sheetName val="모 델 코 드"/>
      <sheetName val="VENDOR LIST"/>
      <sheetName val="공통비"/>
      <sheetName val="노임"/>
      <sheetName val="현금"/>
      <sheetName val="의왕F사"/>
      <sheetName val="가공사"/>
      <sheetName val="10월판관"/>
      <sheetName val="건물명세"/>
      <sheetName val="C2"/>
      <sheetName val="GG"/>
      <sheetName val="미지급내자"/>
      <sheetName val="긴축실적 (2분기)"/>
      <sheetName val="현금흐름표"/>
      <sheetName val="IS_03"/>
      <sheetName val="원가명세_0703"/>
      <sheetName val="99 11월 제조품List"/>
      <sheetName val="99년10월 제조품매출누계"/>
      <sheetName val="판가반영"/>
      <sheetName val="SUD(2Q)"/>
      <sheetName val="WBS"/>
      <sheetName val="BS(30일 HC only)"/>
      <sheetName val="WIS"/>
      <sheetName val="공표(BS)"/>
      <sheetName val="공표(PL)"/>
      <sheetName val="CF"/>
      <sheetName val="업무분장 "/>
      <sheetName val="DY092"/>
      <sheetName val="공통"/>
      <sheetName val="CD-실적"/>
      <sheetName val="내역서"/>
      <sheetName val="차수"/>
      <sheetName val="주주명부&lt;끝&gt;"/>
      <sheetName val="국민연금"/>
      <sheetName val="금융자산부채_"/>
      <sheetName val="잉여금_"/>
      <sheetName val="민감도"/>
      <sheetName val="GCOA_내부거래상계"/>
      <sheetName val="2013.2월 연결대상"/>
      <sheetName val="PL_Package_내부거래"/>
      <sheetName val="BS_Package_내부거래"/>
      <sheetName val="환율"/>
      <sheetName val="채권한전"/>
      <sheetName val="계정코드"/>
      <sheetName val="Master"/>
      <sheetName val="A1"/>
      <sheetName val="Plan_Actual"/>
      <sheetName val="원부재료"/>
      <sheetName val="금융자산부채_1"/>
      <sheetName val="잉여금_1"/>
      <sheetName val="control_sheet"/>
      <sheetName val="긴축실적_(2분기)"/>
      <sheetName val="기본_FACTOR"/>
      <sheetName val="99_11월_제조품List"/>
      <sheetName val="99년10월_제조품매출누계"/>
      <sheetName val="BS(30일_HC_only)"/>
      <sheetName val="모_델_코_드"/>
      <sheetName val="VENDOR_LIST"/>
      <sheetName val="증감내역"/>
      <sheetName val="서식시트"/>
      <sheetName val="외상매출금현황-수정분 A2"/>
      <sheetName val="부서자료"/>
      <sheetName val="8월"/>
      <sheetName val="UTMBPL"/>
      <sheetName val="Macro1"/>
      <sheetName val="피엘"/>
      <sheetName val="당년매출집계"/>
      <sheetName val="대표자"/>
      <sheetName val="손익계산서"/>
      <sheetName val="실적관리"/>
      <sheetName val="#REF"/>
      <sheetName val="ST"/>
      <sheetName val="급여표"/>
      <sheetName val="통장출금액"/>
      <sheetName val="9.1"/>
      <sheetName val="전문직"/>
      <sheetName val="인턴사원"/>
      <sheetName val="3-4현"/>
      <sheetName val="3-3현"/>
      <sheetName val="연결범위관리"/>
      <sheetName val="기초자료"/>
      <sheetName val="Ctrl"/>
      <sheetName val="손익계산서(SJ)"/>
      <sheetName val="매입수불자재"/>
      <sheetName val="MASIMS"/>
      <sheetName val="pus"/>
      <sheetName val="기초"/>
      <sheetName val="10.31"/>
      <sheetName val="제품(수출)매출"/>
      <sheetName val="상품매출"/>
      <sheetName val="재고 "/>
      <sheetName val="한빛은행_종합2001"/>
      <sheetName val="6호기"/>
      <sheetName val="63지점"/>
      <sheetName val="외환"/>
      <sheetName val="물가지수!"/>
      <sheetName val="IFRS 잔존가치"/>
      <sheetName val="Condition"/>
      <sheetName val="토사(PE)"/>
      <sheetName val="Value"/>
      <sheetName val="Assumptions"/>
      <sheetName val="FCF"/>
      <sheetName val="is"/>
      <sheetName val="Ratios"/>
      <sheetName val="NOPLAT"/>
      <sheetName val="민감도분석"/>
      <sheetName val="xxxxxx"/>
      <sheetName val="금융자산부채_2"/>
      <sheetName val="잉여금_2"/>
      <sheetName val="업무분장_"/>
      <sheetName val="긴축실적_(2분기)1"/>
      <sheetName val="control_sheet1"/>
      <sheetName val="모_델_코_드1"/>
      <sheetName val="2013_2월_연결대상"/>
      <sheetName val="기본_FACTOR1"/>
      <sheetName val="VENDOR_LIST1"/>
      <sheetName val="99_11월_제조품List1"/>
      <sheetName val="99년10월_제조품매출누계1"/>
      <sheetName val="BS(30일_HC_only)1"/>
      <sheetName val="9_1"/>
      <sheetName val="갑지(추정)"/>
      <sheetName val="상품보조수불"/>
      <sheetName val="제조원가계산서 (2)"/>
      <sheetName val="제품입고(생산)"/>
      <sheetName val="IN"/>
      <sheetName val="산5-7"/>
      <sheetName val="기본사항"/>
      <sheetName val=""/>
      <sheetName val="Consolid. Scope"/>
      <sheetName val="25.보증금(임차보증금외)"/>
      <sheetName val="반기예.적금미수수익"/>
      <sheetName val="장적산출"/>
      <sheetName val="보험금"/>
      <sheetName val="누PL"/>
      <sheetName val="누TB"/>
      <sheetName val="은행"/>
      <sheetName val="항목별"/>
      <sheetName val="xx"/>
      <sheetName val="견적서"/>
      <sheetName val="제작실적"/>
      <sheetName val="1Q"/>
      <sheetName val="2Q "/>
      <sheetName val="3Q "/>
      <sheetName val="FY 2018"/>
      <sheetName val="Est FY"/>
      <sheetName val="FY Final"/>
      <sheetName val="Cash Flow Projection-Actual"/>
      <sheetName val="단체협약서"/>
      <sheetName val="p2-1"/>
      <sheetName val="제조97-1"/>
      <sheetName val="출고 요청서"/>
      <sheetName val="총괄표"/>
      <sheetName val="대출금"/>
      <sheetName val="은행(반납후) "/>
      <sheetName val="기은전산"/>
      <sheetName val="퇴직금"/>
      <sheetName val="받을어음할인및 융통어음"/>
      <sheetName val="중기계획"/>
      <sheetName val="득점현황"/>
      <sheetName val="총 원가계산"/>
      <sheetName val="제조원가명세서"/>
      <sheetName val="Holidays"/>
      <sheetName val="9703"/>
      <sheetName val="H"/>
      <sheetName val="인사자료총집계"/>
      <sheetName val="계정명"/>
      <sheetName val="외화"/>
      <sheetName val="업무계획1"/>
      <sheetName val="입력항목"/>
      <sheetName val="In_CAIC_DIVA_299"/>
      <sheetName val="WPL"/>
      <sheetName val="실사부외자재위치(MODEL)"/>
      <sheetName val="급여지급"/>
      <sheetName val="FAB별"/>
      <sheetName val="Rate Analysis"/>
      <sheetName val="건설중인"/>
      <sheetName val="감가상각비(2002)"/>
      <sheetName val="금융자산부채_3"/>
      <sheetName val="잉여금_3"/>
      <sheetName val="99_11월_제조품List2"/>
      <sheetName val="99년10월_제조품매출누계2"/>
      <sheetName val="BS(30일_HC_only)2"/>
      <sheetName val="control_sheet2"/>
      <sheetName val="모_델_코_드2"/>
      <sheetName val="긴축실적_(2분기)2"/>
      <sheetName val="기본_FACTOR2"/>
      <sheetName val="VENDOR_LIST2"/>
      <sheetName val="업무분장_1"/>
      <sheetName val="2013_2월_연결대상1"/>
      <sheetName val="9_11"/>
      <sheetName val="10_31"/>
      <sheetName val="재고_"/>
      <sheetName val="외상매출금현황-수정분_A2"/>
      <sheetName val="20021231"/>
      <sheetName val="월별수입"/>
      <sheetName val="조명시설"/>
      <sheetName val="LU"/>
      <sheetName val="Mapping(New)"/>
      <sheetName val="IFRS_잔존가치"/>
      <sheetName val="제조원가계산서_(2)"/>
      <sheetName val="목표고객속보"/>
      <sheetName val="A4공장"/>
      <sheetName val="Sens&amp;Anal"/>
      <sheetName val="실시현황집계표(연간)"/>
      <sheetName val="full (2)"/>
      <sheetName val="2.대외공문"/>
      <sheetName val="RD제품개발투자비(매가)"/>
      <sheetName val="0800CUR"/>
      <sheetName val="미수금"/>
      <sheetName val="미지급 비용"/>
      <sheetName val="수출금융"/>
      <sheetName val="타계정으로명세(PL상)"/>
      <sheetName val="유형고정자산 명세"/>
      <sheetName val="타계정에서 명세서(PL상)"/>
      <sheetName val="이익잉여금 명세서"/>
      <sheetName val="이월이익잉여금"/>
      <sheetName val="고정자산처분내역서"/>
      <sheetName val="선수금"/>
      <sheetName val="수입보증금"/>
      <sheetName val="미착기계"/>
      <sheetName val="재고보고"/>
      <sheetName val="JA"/>
      <sheetName val="TEMP"/>
      <sheetName val="월별비교제조원가명세서"/>
      <sheetName val="99제품운영(안) (2)"/>
      <sheetName val="간지4(18)"/>
      <sheetName val="재무제표표지(19)"/>
      <sheetName val="간지5(20)"/>
      <sheetName val="재무상태표(21-24)"/>
      <sheetName val="손익계산서(25-28)"/>
      <sheetName val="기본금변동계산서(29)"/>
      <sheetName val="간지(30-32)"/>
      <sheetName val="재무상태표 표지(33)"/>
      <sheetName val="간지6(34)"/>
      <sheetName val="현예금명세서(35-36)"/>
      <sheetName val="의료미수금명세서(37-38)"/>
      <sheetName val="선급비용명세서(39)"/>
      <sheetName val="선급법인세(40-41)"/>
      <sheetName val="재고자산명세서(42-43)"/>
      <sheetName val="투자자산(44)"/>
      <sheetName val="유형자산명세서(45)"/>
      <sheetName val="유형자산명세서(국고보조금)(46)"/>
      <sheetName val="감가상각누계액명세서(47)"/>
      <sheetName val="외상매입금(48-56)"/>
      <sheetName val="미지급금(57-58)"/>
      <sheetName val="예수금(59)"/>
      <sheetName val="미지급비용(60-64)"/>
      <sheetName val="미지급이자비용(65-66)"/>
      <sheetName val="선수수익명세서(67)"/>
      <sheetName val="예수보증금(68)"/>
      <sheetName val="대손충당금 명세서(69)"/>
      <sheetName val="차입금명세서(70-71) "/>
      <sheetName val="본지점(부채)명세서(72)"/>
      <sheetName val="금융리스미지급금명세서(73)"/>
      <sheetName val="임대보증금명세서(74)"/>
      <sheetName val="미지급금(장기)명세서(75)"/>
      <sheetName val="퇴직급여충당금명세서(76)"/>
      <sheetName val="Sheet10(간지12)"/>
      <sheetName val="sheet(분원)간지"/>
      <sheetName val="손익표지(77)"/>
      <sheetName val="간지7(78)"/>
      <sheetName val="의료수익명세서(79)"/>
      <sheetName val="의료수익차감명세서(80)"/>
      <sheetName val="인건비명세서(81-82)"/>
      <sheetName val="재료비명세서(83)"/>
      <sheetName val="관리운영비명세서(84-88)"/>
      <sheetName val="의료외수익명세서(89)"/>
      <sheetName val="의료외비용명세서(90)"/>
      <sheetName val="간지123(분원)"/>
      <sheetName val="기타부속명세서표지(91)"/>
      <sheetName val="간지8(92)"/>
      <sheetName val="합계잔액시산표(93-96)"/>
      <sheetName val="직종별인건비명세서(97-98)"/>
      <sheetName val="진료과환자종류별수익(입원)(99-100)"/>
      <sheetName val="진료과환자종류별수익(외래)(101-102)"/>
      <sheetName val="환자수(입원)(103)"/>
      <sheetName val="환자수(외래)(104)"/>
      <sheetName val="정현원표1(105)"/>
      <sheetName val="정현원표2(106)"/>
      <sheetName val="기구표(분원)(107)"/>
      <sheetName val="부속명세서(분원)"/>
      <sheetName val="재고자산세부명세서(분원)"/>
      <sheetName val="유무형자산세부명세서(분원)"/>
      <sheetName val="합계잔액시산표"/>
      <sheetName val="이해관계자 Interviewee 대상"/>
      <sheetName val="(raw) 0. 사회문제"/>
      <sheetName val="(raw) 1. 구성원"/>
      <sheetName val="(raw) 2. 고객"/>
      <sheetName val="(참고) 이해관계자별 중점분야"/>
      <sheetName val="3. AHP 분석 결과 "/>
      <sheetName val="(참고) 결과분석_Raw"/>
      <sheetName val="(참고) AHP 설문 예시"/>
      <sheetName val="Sheet2"/>
      <sheetName val="PUR-12K"/>
      <sheetName val="TSCLFEB"/>
      <sheetName val="아파트 기성내역서"/>
      <sheetName val="MRS세부"/>
      <sheetName val="입력장표"/>
      <sheetName val="1997"/>
      <sheetName val="판매-종합"/>
      <sheetName val="7 (2)"/>
      <sheetName val="PPh 23,4(2),15, 26"/>
    </sheetNames>
    <sheetDataSet>
      <sheetData sheetId="0" refreshError="1"/>
      <sheetData sheetId="1" refreshError="1">
        <row r="94">
          <cell r="S94">
            <v>1761146758</v>
          </cell>
        </row>
        <row r="496">
          <cell r="AB496">
            <v>1</v>
          </cell>
        </row>
        <row r="497">
          <cell r="AB497">
            <v>2</v>
          </cell>
        </row>
        <row r="498">
          <cell r="AB498">
            <v>3</v>
          </cell>
        </row>
        <row r="499">
          <cell r="AB499">
            <v>4</v>
          </cell>
        </row>
        <row r="500">
          <cell r="AB500">
            <v>5</v>
          </cell>
        </row>
        <row r="501">
          <cell r="AB501">
            <v>6</v>
          </cell>
        </row>
        <row r="502">
          <cell r="AB502">
            <v>7</v>
          </cell>
        </row>
        <row r="503">
          <cell r="AB503">
            <v>8</v>
          </cell>
        </row>
        <row r="504">
          <cell r="AB504">
            <v>9</v>
          </cell>
        </row>
        <row r="505">
          <cell r="AB505">
            <v>10</v>
          </cell>
        </row>
        <row r="506">
          <cell r="AB506">
            <v>11</v>
          </cell>
        </row>
        <row r="507">
          <cell r="AB507">
            <v>12</v>
          </cell>
        </row>
        <row r="508">
          <cell r="AB508">
            <v>13</v>
          </cell>
        </row>
        <row r="509">
          <cell r="AB509">
            <v>14</v>
          </cell>
        </row>
        <row r="510">
          <cell r="AB510">
            <v>15</v>
          </cell>
        </row>
        <row r="511">
          <cell r="AB511">
            <v>16</v>
          </cell>
        </row>
        <row r="512">
          <cell r="AB512">
            <v>17</v>
          </cell>
        </row>
        <row r="513">
          <cell r="AB513">
            <v>18</v>
          </cell>
        </row>
        <row r="514">
          <cell r="AB514">
            <v>19</v>
          </cell>
        </row>
        <row r="515">
          <cell r="AB515">
            <v>20</v>
          </cell>
        </row>
        <row r="516">
          <cell r="AB516">
            <v>21</v>
          </cell>
        </row>
        <row r="517">
          <cell r="AB517">
            <v>22</v>
          </cell>
        </row>
        <row r="518">
          <cell r="AB518">
            <v>23</v>
          </cell>
        </row>
        <row r="519">
          <cell r="AB519">
            <v>24</v>
          </cell>
        </row>
        <row r="520">
          <cell r="AB520">
            <v>25</v>
          </cell>
        </row>
        <row r="521">
          <cell r="AB521">
            <v>26</v>
          </cell>
        </row>
        <row r="522">
          <cell r="AB522">
            <v>27</v>
          </cell>
        </row>
        <row r="523">
          <cell r="AB523">
            <v>28</v>
          </cell>
        </row>
        <row r="524">
          <cell r="AB524">
            <v>29</v>
          </cell>
        </row>
        <row r="525">
          <cell r="AB525">
            <v>30</v>
          </cell>
        </row>
        <row r="526">
          <cell r="AB526">
            <v>31</v>
          </cell>
        </row>
        <row r="527">
          <cell r="AB527">
            <v>32</v>
          </cell>
        </row>
        <row r="528">
          <cell r="AB528">
            <v>33</v>
          </cell>
        </row>
        <row r="529">
          <cell r="AB529">
            <v>34</v>
          </cell>
        </row>
        <row r="530">
          <cell r="AB530">
            <v>35</v>
          </cell>
        </row>
        <row r="531">
          <cell r="AB531">
            <v>36</v>
          </cell>
        </row>
        <row r="532">
          <cell r="AB532">
            <v>37</v>
          </cell>
        </row>
        <row r="533">
          <cell r="AB533">
            <v>38</v>
          </cell>
        </row>
        <row r="534">
          <cell r="AB534">
            <v>39</v>
          </cell>
        </row>
        <row r="535">
          <cell r="AB535">
            <v>40</v>
          </cell>
        </row>
        <row r="536">
          <cell r="AB536">
            <v>41</v>
          </cell>
        </row>
        <row r="537">
          <cell r="AB537">
            <v>42</v>
          </cell>
        </row>
        <row r="538">
          <cell r="AB538">
            <v>43</v>
          </cell>
        </row>
        <row r="539">
          <cell r="AB539">
            <v>44</v>
          </cell>
        </row>
        <row r="540">
          <cell r="AB540">
            <v>45</v>
          </cell>
        </row>
        <row r="541">
          <cell r="AB541">
            <v>46</v>
          </cell>
        </row>
        <row r="542">
          <cell r="AB542">
            <v>47</v>
          </cell>
        </row>
        <row r="543">
          <cell r="AB543">
            <v>48</v>
          </cell>
        </row>
        <row r="544">
          <cell r="AB544">
            <v>49</v>
          </cell>
        </row>
        <row r="545">
          <cell r="AB545">
            <v>50</v>
          </cell>
        </row>
        <row r="546">
          <cell r="AB546">
            <v>51</v>
          </cell>
        </row>
        <row r="547">
          <cell r="AB547">
            <v>52</v>
          </cell>
        </row>
        <row r="548">
          <cell r="AB548">
            <v>53</v>
          </cell>
        </row>
        <row r="549">
          <cell r="AB549">
            <v>54</v>
          </cell>
        </row>
        <row r="550">
          <cell r="AB550">
            <v>55</v>
          </cell>
        </row>
        <row r="551">
          <cell r="AB551">
            <v>56</v>
          </cell>
        </row>
        <row r="552">
          <cell r="AB552">
            <v>57</v>
          </cell>
        </row>
        <row r="553">
          <cell r="AB553">
            <v>58</v>
          </cell>
        </row>
        <row r="554">
          <cell r="AB554">
            <v>59</v>
          </cell>
        </row>
        <row r="555">
          <cell r="AB555">
            <v>60</v>
          </cell>
        </row>
        <row r="556">
          <cell r="AB556">
            <v>61</v>
          </cell>
        </row>
        <row r="557">
          <cell r="AB557">
            <v>62</v>
          </cell>
        </row>
        <row r="558">
          <cell r="AB558">
            <v>63</v>
          </cell>
        </row>
        <row r="559">
          <cell r="AB559">
            <v>64</v>
          </cell>
        </row>
        <row r="560">
          <cell r="AB560">
            <v>65</v>
          </cell>
        </row>
        <row r="638">
          <cell r="AK638">
            <v>72900</v>
          </cell>
        </row>
      </sheetData>
      <sheetData sheetId="2" refreshError="1"/>
      <sheetData sheetId="3" refreshError="1"/>
      <sheetData sheetId="4" refreshError="1">
        <row r="94">
          <cell r="S94">
            <v>1761146758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>
        <row r="496">
          <cell r="AB496">
            <v>1</v>
          </cell>
        </row>
      </sheetData>
      <sheetData sheetId="156">
        <row r="496">
          <cell r="AB496">
            <v>1</v>
          </cell>
        </row>
      </sheetData>
      <sheetData sheetId="157">
        <row r="496">
          <cell r="AB496">
            <v>1</v>
          </cell>
        </row>
      </sheetData>
      <sheetData sheetId="158">
        <row r="496">
          <cell r="AB496">
            <v>1</v>
          </cell>
        </row>
      </sheetData>
      <sheetData sheetId="159">
        <row r="496">
          <cell r="AB496">
            <v>1</v>
          </cell>
        </row>
      </sheetData>
      <sheetData sheetId="160">
        <row r="496">
          <cell r="AB496">
            <v>1</v>
          </cell>
        </row>
      </sheetData>
      <sheetData sheetId="161">
        <row r="496">
          <cell r="AB496">
            <v>1</v>
          </cell>
        </row>
      </sheetData>
      <sheetData sheetId="162">
        <row r="496">
          <cell r="AB496">
            <v>1</v>
          </cell>
        </row>
      </sheetData>
      <sheetData sheetId="163">
        <row r="496">
          <cell r="AB496">
            <v>1</v>
          </cell>
        </row>
      </sheetData>
      <sheetData sheetId="164">
        <row r="496">
          <cell r="AB496">
            <v>1</v>
          </cell>
        </row>
      </sheetData>
      <sheetData sheetId="165"/>
      <sheetData sheetId="166">
        <row r="496">
          <cell r="AB496">
            <v>1</v>
          </cell>
        </row>
      </sheetData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/>
      <sheetData sheetId="247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  <sheetName val="compare2"/>
      <sheetName val="Krw"/>
      <sheetName val="BS"/>
      <sheetName val="PL"/>
      <sheetName val="cgiss-920160"/>
      <sheetName val="Tb09-2001"/>
    </sheetNames>
    <sheetDataSet>
      <sheetData sheetId="0"/>
      <sheetData sheetId="1"/>
      <sheetData sheetId="2">
        <row r="3">
          <cell r="A3" t="str">
            <v>A1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-1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</row>
        <row r="4">
          <cell r="A4" t="str">
            <v>A1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</row>
        <row r="5">
          <cell r="A5" t="str">
            <v>A1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</row>
        <row r="6">
          <cell r="A6" t="str">
            <v>A1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9271</v>
          </cell>
          <cell r="W6">
            <v>0</v>
          </cell>
          <cell r="X6">
            <v>2741443.5329999998</v>
          </cell>
        </row>
        <row r="7">
          <cell r="A7" t="str">
            <v>A1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32667482918</v>
          </cell>
          <cell r="W7">
            <v>0</v>
          </cell>
          <cell r="X7">
            <v>0</v>
          </cell>
        </row>
        <row r="8">
          <cell r="A8" t="str">
            <v>A1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261340</v>
          </cell>
          <cell r="W8">
            <v>0</v>
          </cell>
          <cell r="X8">
            <v>0</v>
          </cell>
        </row>
        <row r="9">
          <cell r="A9" t="str">
            <v>A1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800000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</row>
        <row r="10">
          <cell r="A10" t="str">
            <v>A1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</row>
        <row r="11">
          <cell r="A11" t="str">
            <v>A1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13695692032</v>
          </cell>
          <cell r="W11">
            <v>0</v>
          </cell>
          <cell r="X11">
            <v>4395225580.5080004</v>
          </cell>
        </row>
        <row r="12">
          <cell r="A12" t="str">
            <v>A2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</row>
        <row r="13">
          <cell r="A13" t="str">
            <v>A3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19800000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</row>
        <row r="14">
          <cell r="A14" t="str">
            <v>A3</v>
          </cell>
          <cell r="G14">
            <v>0</v>
          </cell>
          <cell r="H14">
            <v>985902194</v>
          </cell>
          <cell r="I14">
            <v>0</v>
          </cell>
          <cell r="J14">
            <v>33027500</v>
          </cell>
          <cell r="K14">
            <v>66219418844</v>
          </cell>
          <cell r="L14">
            <v>0</v>
          </cell>
          <cell r="M14">
            <v>0</v>
          </cell>
          <cell r="N14">
            <v>429974311</v>
          </cell>
          <cell r="O14">
            <v>0</v>
          </cell>
          <cell r="P14">
            <v>0</v>
          </cell>
          <cell r="Q14">
            <v>273460000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6892829419.9330006</v>
          </cell>
        </row>
        <row r="15">
          <cell r="A15" t="str">
            <v>A3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82098533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</row>
        <row r="16">
          <cell r="A16" t="str">
            <v>A3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</row>
        <row r="17">
          <cell r="A17" t="str">
            <v>A3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</row>
        <row r="18">
          <cell r="A18" t="str">
            <v>A3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343724260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</row>
        <row r="19">
          <cell r="A19" t="str">
            <v>A3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</row>
        <row r="20">
          <cell r="A20" t="str">
            <v>Z1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</row>
        <row r="21">
          <cell r="A21" t="str">
            <v>A3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</row>
        <row r="22">
          <cell r="A22" t="str">
            <v>A3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8725000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</row>
        <row r="23">
          <cell r="A23" t="str">
            <v>A3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546868003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</row>
        <row r="24">
          <cell r="A24" t="str">
            <v>A3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7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</row>
        <row r="25">
          <cell r="A25" t="str">
            <v>A3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39683374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</row>
        <row r="26">
          <cell r="A26" t="str">
            <v>A3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262491418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</row>
        <row r="27">
          <cell r="A27" t="str">
            <v>A3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</row>
        <row r="28">
          <cell r="A28" t="str">
            <v>A3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1456937293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</row>
        <row r="29">
          <cell r="A29" t="str">
            <v>A3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</row>
        <row r="30">
          <cell r="A30" t="str">
            <v>A3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340964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</row>
        <row r="31">
          <cell r="A31" t="str">
            <v>A3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5508934973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</row>
        <row r="32">
          <cell r="A32" t="str">
            <v>A3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</row>
        <row r="33">
          <cell r="A33" t="str">
            <v>A3</v>
          </cell>
          <cell r="G33">
            <v>0</v>
          </cell>
          <cell r="H33">
            <v>0</v>
          </cell>
          <cell r="I33">
            <v>0</v>
          </cell>
          <cell r="J33">
            <v>1839833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</row>
        <row r="34">
          <cell r="A34" t="str">
            <v>A4</v>
          </cell>
          <cell r="G34">
            <v>0</v>
          </cell>
          <cell r="H34">
            <v>27875466</v>
          </cell>
          <cell r="I34">
            <v>0</v>
          </cell>
          <cell r="J34">
            <v>0</v>
          </cell>
          <cell r="K34">
            <v>3158870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28905198</v>
          </cell>
          <cell r="W34">
            <v>0</v>
          </cell>
          <cell r="X34">
            <v>0</v>
          </cell>
        </row>
        <row r="35">
          <cell r="A35" t="str">
            <v>A4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21186324743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</row>
        <row r="36">
          <cell r="A36" t="str">
            <v>A4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27701858427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</row>
        <row r="37">
          <cell r="A37" t="str">
            <v>A6</v>
          </cell>
          <cell r="G37">
            <v>0</v>
          </cell>
          <cell r="H37">
            <v>0</v>
          </cell>
          <cell r="I37">
            <v>0</v>
          </cell>
          <cell r="J37">
            <v>308069547</v>
          </cell>
          <cell r="K37">
            <v>-483295360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18022</v>
          </cell>
          <cell r="Q37">
            <v>337920947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18635156413</v>
          </cell>
          <cell r="W37">
            <v>0</v>
          </cell>
          <cell r="X37">
            <v>0</v>
          </cell>
        </row>
        <row r="38">
          <cell r="A38" t="str">
            <v>A5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75383415</v>
          </cell>
          <cell r="W38">
            <v>0</v>
          </cell>
          <cell r="X38">
            <v>0</v>
          </cell>
        </row>
        <row r="39">
          <cell r="A39" t="str">
            <v>A4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45</v>
          </cell>
          <cell r="L39">
            <v>0</v>
          </cell>
          <cell r="M39">
            <v>0</v>
          </cell>
          <cell r="N39">
            <v>121846484</v>
          </cell>
          <cell r="O39">
            <v>0</v>
          </cell>
          <cell r="P39">
            <v>41057277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-27827351</v>
          </cell>
          <cell r="V39">
            <v>1546842962</v>
          </cell>
          <cell r="W39">
            <v>0</v>
          </cell>
          <cell r="X39">
            <v>0</v>
          </cell>
        </row>
        <row r="40">
          <cell r="A40" t="str">
            <v>A4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1318697574</v>
          </cell>
          <cell r="W40">
            <v>0</v>
          </cell>
          <cell r="X40">
            <v>0</v>
          </cell>
        </row>
        <row r="41">
          <cell r="A41" t="str">
            <v>A4</v>
          </cell>
          <cell r="G41">
            <v>0</v>
          </cell>
          <cell r="H41">
            <v>0</v>
          </cell>
          <cell r="I41">
            <v>0</v>
          </cell>
          <cell r="J41">
            <v>3059075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</row>
        <row r="42">
          <cell r="A42" t="str">
            <v>A4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</row>
        <row r="43">
          <cell r="A43" t="str">
            <v>A4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</row>
        <row r="44">
          <cell r="A44" t="str">
            <v>A4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178783781</v>
          </cell>
          <cell r="W44">
            <v>0</v>
          </cell>
          <cell r="X44">
            <v>0</v>
          </cell>
        </row>
        <row r="45">
          <cell r="A45" t="str">
            <v>A4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860166860</v>
          </cell>
          <cell r="W45">
            <v>3</v>
          </cell>
          <cell r="X45">
            <v>0</v>
          </cell>
        </row>
        <row r="46">
          <cell r="A46" t="str">
            <v>A4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</row>
        <row r="47">
          <cell r="A47" t="str">
            <v>A4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</row>
        <row r="48">
          <cell r="A48" t="str">
            <v>A4</v>
          </cell>
          <cell r="G48">
            <v>0</v>
          </cell>
          <cell r="H48">
            <v>1282965515</v>
          </cell>
          <cell r="I48">
            <v>67859640</v>
          </cell>
          <cell r="J48">
            <v>262748590</v>
          </cell>
          <cell r="K48">
            <v>14115188</v>
          </cell>
          <cell r="L48">
            <v>0</v>
          </cell>
          <cell r="M48">
            <v>184668209</v>
          </cell>
          <cell r="N48">
            <v>376708346</v>
          </cell>
          <cell r="O48">
            <v>71342019</v>
          </cell>
          <cell r="P48">
            <v>56473754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-2316881262</v>
          </cell>
          <cell r="W48">
            <v>0</v>
          </cell>
          <cell r="X48">
            <v>0</v>
          </cell>
        </row>
        <row r="49">
          <cell r="A49" t="str">
            <v>A3-1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-82098533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</row>
        <row r="50">
          <cell r="A50" t="str">
            <v>A3-1</v>
          </cell>
          <cell r="G50">
            <v>0</v>
          </cell>
          <cell r="H50">
            <v>0</v>
          </cell>
          <cell r="I50">
            <v>0</v>
          </cell>
          <cell r="J50">
            <v>-80000000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-130640677.652</v>
          </cell>
        </row>
        <row r="51">
          <cell r="A51" t="str">
            <v>A4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2348947490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</row>
        <row r="52">
          <cell r="A52" t="str">
            <v>A3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</row>
        <row r="53">
          <cell r="A53" t="str">
            <v>A3</v>
          </cell>
          <cell r="G53">
            <v>0</v>
          </cell>
          <cell r="H53">
            <v>0</v>
          </cell>
          <cell r="I53">
            <v>0</v>
          </cell>
          <cell r="J53">
            <v>1958166760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</row>
        <row r="54">
          <cell r="A54" t="str">
            <v>A10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19147589501</v>
          </cell>
          <cell r="W54">
            <v>0</v>
          </cell>
          <cell r="X54">
            <v>0</v>
          </cell>
        </row>
        <row r="55">
          <cell r="A55" t="str">
            <v>A7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</row>
        <row r="56">
          <cell r="A56" t="str">
            <v>A7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</row>
        <row r="57">
          <cell r="A57" t="str">
            <v>A6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</row>
        <row r="58">
          <cell r="A58" t="str">
            <v>A9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141863880</v>
          </cell>
          <cell r="W58">
            <v>0</v>
          </cell>
          <cell r="X58">
            <v>0</v>
          </cell>
        </row>
        <row r="59">
          <cell r="A59" t="str">
            <v>L8-1</v>
          </cell>
          <cell r="G59">
            <v>0</v>
          </cell>
          <cell r="H59">
            <v>50525100</v>
          </cell>
          <cell r="I59">
            <v>4503600</v>
          </cell>
          <cell r="J59">
            <v>66825900</v>
          </cell>
          <cell r="K59">
            <v>163839350</v>
          </cell>
          <cell r="L59">
            <v>0</v>
          </cell>
          <cell r="M59">
            <v>0</v>
          </cell>
          <cell r="N59">
            <v>9684000</v>
          </cell>
          <cell r="O59">
            <v>5076000</v>
          </cell>
          <cell r="P59">
            <v>11567000</v>
          </cell>
          <cell r="Q59">
            <v>5076000</v>
          </cell>
          <cell r="R59">
            <v>0</v>
          </cell>
          <cell r="S59">
            <v>0</v>
          </cell>
          <cell r="T59">
            <v>0</v>
          </cell>
          <cell r="U59">
            <v>74069800</v>
          </cell>
          <cell r="V59">
            <v>51692200</v>
          </cell>
          <cell r="W59">
            <v>0</v>
          </cell>
          <cell r="X59">
            <v>0</v>
          </cell>
        </row>
        <row r="60">
          <cell r="A60" t="str">
            <v>A8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60784321</v>
          </cell>
          <cell r="W60">
            <v>0</v>
          </cell>
          <cell r="X60">
            <v>0</v>
          </cell>
        </row>
        <row r="61">
          <cell r="A61" t="str">
            <v>A8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29749429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20750</v>
          </cell>
          <cell r="W61">
            <v>0</v>
          </cell>
          <cell r="X61">
            <v>0</v>
          </cell>
        </row>
        <row r="62">
          <cell r="A62" t="str">
            <v>A8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-21245105</v>
          </cell>
          <cell r="W62">
            <v>0</v>
          </cell>
          <cell r="X62">
            <v>0</v>
          </cell>
        </row>
        <row r="63">
          <cell r="A63" t="str">
            <v>F2</v>
          </cell>
          <cell r="G63">
            <v>0</v>
          </cell>
          <cell r="H63">
            <v>88736300</v>
          </cell>
          <cell r="I63">
            <v>0</v>
          </cell>
          <cell r="J63">
            <v>70000</v>
          </cell>
          <cell r="K63">
            <v>0</v>
          </cell>
          <cell r="L63">
            <v>0</v>
          </cell>
          <cell r="M63">
            <v>506000</v>
          </cell>
          <cell r="N63">
            <v>492000</v>
          </cell>
          <cell r="O63">
            <v>792000</v>
          </cell>
          <cell r="P63">
            <v>484000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8121630</v>
          </cell>
          <cell r="V63">
            <v>21646662826</v>
          </cell>
          <cell r="W63">
            <v>0</v>
          </cell>
          <cell r="X63">
            <v>0</v>
          </cell>
        </row>
        <row r="64">
          <cell r="A64" t="str">
            <v>L1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</row>
        <row r="65">
          <cell r="A65" t="str">
            <v>Z0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</row>
        <row r="66">
          <cell r="A66" t="str">
            <v>Z1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40537204</v>
          </cell>
          <cell r="W66">
            <v>0</v>
          </cell>
          <cell r="X66">
            <v>0</v>
          </cell>
        </row>
        <row r="67">
          <cell r="A67" t="str">
            <v>Z0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-221263135</v>
          </cell>
          <cell r="W67">
            <v>0</v>
          </cell>
          <cell r="X67">
            <v>0</v>
          </cell>
        </row>
        <row r="68">
          <cell r="A68" t="str">
            <v>A8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32875720</v>
          </cell>
          <cell r="W68">
            <v>0</v>
          </cell>
          <cell r="X68">
            <v>0</v>
          </cell>
        </row>
        <row r="69">
          <cell r="A69" t="str">
            <v>Z1</v>
          </cell>
          <cell r="G69">
            <v>0</v>
          </cell>
          <cell r="H69">
            <v>0</v>
          </cell>
          <cell r="I69">
            <v>0</v>
          </cell>
          <cell r="J69">
            <v>708032453</v>
          </cell>
          <cell r="K69">
            <v>595108474</v>
          </cell>
          <cell r="L69">
            <v>0</v>
          </cell>
          <cell r="M69">
            <v>-7500000</v>
          </cell>
          <cell r="N69">
            <v>-55900000</v>
          </cell>
          <cell r="O69">
            <v>0</v>
          </cell>
          <cell r="P69">
            <v>0</v>
          </cell>
          <cell r="Q69">
            <v>-224906893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-481112785</v>
          </cell>
          <cell r="W69">
            <v>0</v>
          </cell>
          <cell r="X69">
            <v>0</v>
          </cell>
        </row>
        <row r="70">
          <cell r="A70" t="str">
            <v>Z1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-1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</row>
        <row r="71">
          <cell r="A71" t="str">
            <v>Z1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</row>
        <row r="72">
          <cell r="A72" t="str">
            <v>Z1</v>
          </cell>
          <cell r="G72">
            <v>0</v>
          </cell>
          <cell r="H72">
            <v>0</v>
          </cell>
          <cell r="I72">
            <v>0</v>
          </cell>
          <cell r="J72">
            <v>29644539</v>
          </cell>
          <cell r="K72">
            <v>98694803</v>
          </cell>
          <cell r="L72">
            <v>0</v>
          </cell>
          <cell r="M72">
            <v>0</v>
          </cell>
          <cell r="N72">
            <v>-32675816</v>
          </cell>
          <cell r="O72">
            <v>1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-64651747</v>
          </cell>
          <cell r="W72">
            <v>0</v>
          </cell>
          <cell r="X72">
            <v>0</v>
          </cell>
        </row>
        <row r="73">
          <cell r="A73" t="str">
            <v>A8</v>
          </cell>
          <cell r="G73">
            <v>0</v>
          </cell>
          <cell r="H73">
            <v>20168500</v>
          </cell>
          <cell r="I73">
            <v>0</v>
          </cell>
          <cell r="J73">
            <v>40000000</v>
          </cell>
          <cell r="K73">
            <v>550812000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70400000</v>
          </cell>
          <cell r="V73">
            <v>22666088</v>
          </cell>
          <cell r="W73">
            <v>0</v>
          </cell>
          <cell r="X73">
            <v>0</v>
          </cell>
        </row>
        <row r="74">
          <cell r="A74" t="str">
            <v>A8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-10950990</v>
          </cell>
          <cell r="W74">
            <v>0</v>
          </cell>
          <cell r="X74">
            <v>0</v>
          </cell>
        </row>
        <row r="75">
          <cell r="A75" t="str">
            <v>Z1</v>
          </cell>
          <cell r="G75">
            <v>0</v>
          </cell>
          <cell r="H75">
            <v>0</v>
          </cell>
          <cell r="I75">
            <v>105410595</v>
          </cell>
          <cell r="J75">
            <v>0</v>
          </cell>
          <cell r="K75">
            <v>-462906261</v>
          </cell>
          <cell r="L75">
            <v>0</v>
          </cell>
          <cell r="M75">
            <v>0</v>
          </cell>
          <cell r="N75">
            <v>7</v>
          </cell>
          <cell r="O75">
            <v>0</v>
          </cell>
          <cell r="P75">
            <v>17500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-2</v>
          </cell>
          <cell r="V75">
            <v>-64755790</v>
          </cell>
          <cell r="W75">
            <v>0</v>
          </cell>
          <cell r="X75">
            <v>0</v>
          </cell>
        </row>
        <row r="76">
          <cell r="A76" t="str">
            <v>A11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</row>
        <row r="77">
          <cell r="A77" t="str">
            <v>A11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27918369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</row>
        <row r="78">
          <cell r="A78" t="str">
            <v>A11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</row>
        <row r="79">
          <cell r="A79" t="str">
            <v>A12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106038242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</row>
        <row r="80">
          <cell r="A80" t="str">
            <v>A12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5640483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</row>
        <row r="81">
          <cell r="A81" t="str">
            <v>A12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10619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</row>
        <row r="82">
          <cell r="A82" t="str">
            <v>A12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</row>
        <row r="83">
          <cell r="A83" t="str">
            <v>A12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</row>
        <row r="84">
          <cell r="A84" t="str">
            <v>A12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</row>
        <row r="85">
          <cell r="A85" t="str">
            <v>A12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27129873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</row>
        <row r="86">
          <cell r="A86" t="str">
            <v>A12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</row>
        <row r="87">
          <cell r="A87" t="str">
            <v>A12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2885448254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215113435.98099998</v>
          </cell>
        </row>
        <row r="88">
          <cell r="A88" t="str">
            <v>A12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3405044540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1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</row>
        <row r="89">
          <cell r="A89" t="str">
            <v>A12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12998925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</row>
        <row r="90">
          <cell r="A90" t="str">
            <v>A12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</row>
        <row r="91">
          <cell r="A91" t="str">
            <v>A12</v>
          </cell>
          <cell r="G91">
            <v>0</v>
          </cell>
          <cell r="H91">
            <v>0</v>
          </cell>
          <cell r="I91">
            <v>0</v>
          </cell>
          <cell r="J91">
            <v>-17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</row>
        <row r="92">
          <cell r="A92" t="str">
            <v>A12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</row>
        <row r="93">
          <cell r="A93" t="str">
            <v>A12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</row>
        <row r="94">
          <cell r="A94" t="str">
            <v>A12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-13833783940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</row>
        <row r="95">
          <cell r="A95" t="str">
            <v>A12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</row>
        <row r="96">
          <cell r="A96" t="str">
            <v>A12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</row>
        <row r="97">
          <cell r="A97" t="str">
            <v>A12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</row>
        <row r="98">
          <cell r="A98" t="str">
            <v>A12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8292369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</row>
        <row r="99">
          <cell r="A99" t="str">
            <v>F3</v>
          </cell>
          <cell r="G99">
            <v>0</v>
          </cell>
          <cell r="H99">
            <v>172076070</v>
          </cell>
          <cell r="I99">
            <v>0</v>
          </cell>
          <cell r="J99">
            <v>0</v>
          </cell>
          <cell r="K99">
            <v>1282288042</v>
          </cell>
          <cell r="L99">
            <v>0</v>
          </cell>
          <cell r="M99">
            <v>0</v>
          </cell>
          <cell r="N99">
            <v>0</v>
          </cell>
          <cell r="O99">
            <v>80858160</v>
          </cell>
          <cell r="P99">
            <v>0</v>
          </cell>
          <cell r="Q99">
            <v>99000000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7848860396</v>
          </cell>
          <cell r="W99">
            <v>0</v>
          </cell>
          <cell r="X99">
            <v>0</v>
          </cell>
        </row>
        <row r="100">
          <cell r="A100" t="str">
            <v>F3-1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-5</v>
          </cell>
          <cell r="W100">
            <v>0</v>
          </cell>
          <cell r="X100">
            <v>0</v>
          </cell>
        </row>
        <row r="101">
          <cell r="A101" t="str">
            <v>F3-1</v>
          </cell>
          <cell r="G101">
            <v>0</v>
          </cell>
          <cell r="H101">
            <v>-172076070</v>
          </cell>
          <cell r="I101">
            <v>0</v>
          </cell>
          <cell r="J101">
            <v>0</v>
          </cell>
          <cell r="K101">
            <v>-481197624</v>
          </cell>
          <cell r="L101">
            <v>0</v>
          </cell>
          <cell r="M101">
            <v>0</v>
          </cell>
          <cell r="N101">
            <v>0</v>
          </cell>
          <cell r="O101">
            <v>-80858160</v>
          </cell>
          <cell r="P101">
            <v>0</v>
          </cell>
          <cell r="Q101">
            <v>-99000000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-4810282616</v>
          </cell>
          <cell r="W101">
            <v>0</v>
          </cell>
          <cell r="X101">
            <v>0</v>
          </cell>
        </row>
        <row r="102">
          <cell r="A102" t="str">
            <v>F3-1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2</v>
          </cell>
          <cell r="W102">
            <v>0</v>
          </cell>
          <cell r="X102">
            <v>0</v>
          </cell>
        </row>
        <row r="103">
          <cell r="A103" t="str">
            <v>F9</v>
          </cell>
          <cell r="G103">
            <v>0</v>
          </cell>
          <cell r="H103">
            <v>0</v>
          </cell>
          <cell r="I103">
            <v>0</v>
          </cell>
          <cell r="J103">
            <v>90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8015225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</row>
        <row r="104">
          <cell r="A104" t="str">
            <v>F6</v>
          </cell>
          <cell r="G104">
            <v>0</v>
          </cell>
          <cell r="H104">
            <v>108982832</v>
          </cell>
          <cell r="I104">
            <v>0</v>
          </cell>
          <cell r="J104">
            <v>2869919</v>
          </cell>
          <cell r="K104">
            <v>174800179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10793946</v>
          </cell>
          <cell r="V104">
            <v>1159910160</v>
          </cell>
          <cell r="W104">
            <v>0</v>
          </cell>
          <cell r="X104">
            <v>0</v>
          </cell>
        </row>
        <row r="105">
          <cell r="A105" t="str">
            <v>F7</v>
          </cell>
          <cell r="G105">
            <v>0</v>
          </cell>
          <cell r="H105">
            <v>9939000</v>
          </cell>
          <cell r="I105">
            <v>0</v>
          </cell>
          <cell r="J105">
            <v>21734700</v>
          </cell>
          <cell r="K105">
            <v>277375887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34956400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51264460</v>
          </cell>
          <cell r="W105">
            <v>0</v>
          </cell>
          <cell r="X105">
            <v>0</v>
          </cell>
        </row>
        <row r="106">
          <cell r="A106" t="str">
            <v>F7</v>
          </cell>
          <cell r="G106">
            <v>0</v>
          </cell>
          <cell r="H106">
            <v>126623540</v>
          </cell>
          <cell r="I106">
            <v>0</v>
          </cell>
          <cell r="J106">
            <v>110841064</v>
          </cell>
          <cell r="K106">
            <v>790759736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33059950</v>
          </cell>
          <cell r="Q106">
            <v>8725436</v>
          </cell>
          <cell r="R106">
            <v>0</v>
          </cell>
          <cell r="S106">
            <v>0</v>
          </cell>
          <cell r="T106">
            <v>0</v>
          </cell>
          <cell r="U106">
            <v>169802374</v>
          </cell>
          <cell r="V106">
            <v>696348020</v>
          </cell>
          <cell r="W106">
            <v>0</v>
          </cell>
          <cell r="X106">
            <v>0</v>
          </cell>
        </row>
        <row r="107">
          <cell r="A107" t="str">
            <v>F6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14200000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</row>
        <row r="108">
          <cell r="A108" t="str">
            <v>F4</v>
          </cell>
          <cell r="G108">
            <v>0</v>
          </cell>
          <cell r="H108">
            <v>3710737653</v>
          </cell>
          <cell r="I108">
            <v>0</v>
          </cell>
          <cell r="J108">
            <v>330045364</v>
          </cell>
          <cell r="K108">
            <v>3718543778</v>
          </cell>
          <cell r="L108">
            <v>0</v>
          </cell>
          <cell r="M108">
            <v>0</v>
          </cell>
          <cell r="N108">
            <v>14788895</v>
          </cell>
          <cell r="O108">
            <v>0</v>
          </cell>
          <cell r="P108">
            <v>0</v>
          </cell>
          <cell r="Q108">
            <v>38078564</v>
          </cell>
          <cell r="R108">
            <v>0</v>
          </cell>
          <cell r="S108">
            <v>0</v>
          </cell>
          <cell r="T108">
            <v>0</v>
          </cell>
          <cell r="U108">
            <v>560597265</v>
          </cell>
          <cell r="V108">
            <v>228773555</v>
          </cell>
          <cell r="W108">
            <v>0</v>
          </cell>
          <cell r="X108">
            <v>0</v>
          </cell>
        </row>
        <row r="109">
          <cell r="A109" t="str">
            <v>F4</v>
          </cell>
          <cell r="G109">
            <v>0</v>
          </cell>
          <cell r="H109">
            <v>0</v>
          </cell>
          <cell r="I109">
            <v>0</v>
          </cell>
          <cell r="J109">
            <v>45372250</v>
          </cell>
          <cell r="K109">
            <v>882199512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4791841</v>
          </cell>
          <cell r="V109">
            <v>0</v>
          </cell>
          <cell r="W109">
            <v>0</v>
          </cell>
          <cell r="X109">
            <v>0</v>
          </cell>
        </row>
        <row r="110">
          <cell r="A110" t="str">
            <v>F5</v>
          </cell>
          <cell r="G110">
            <v>0</v>
          </cell>
          <cell r="H110">
            <v>129050922</v>
          </cell>
          <cell r="I110">
            <v>0</v>
          </cell>
          <cell r="J110">
            <v>95961368</v>
          </cell>
          <cell r="K110">
            <v>310257845</v>
          </cell>
          <cell r="L110">
            <v>0</v>
          </cell>
          <cell r="M110">
            <v>0</v>
          </cell>
          <cell r="N110">
            <v>0</v>
          </cell>
          <cell r="O110">
            <v>24199900</v>
          </cell>
          <cell r="P110">
            <v>16287860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57316260</v>
          </cell>
          <cell r="V110">
            <v>111648470</v>
          </cell>
          <cell r="W110">
            <v>0</v>
          </cell>
          <cell r="X110">
            <v>0</v>
          </cell>
        </row>
        <row r="111">
          <cell r="A111" t="str">
            <v>F9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25610789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</row>
        <row r="112">
          <cell r="A112" t="str">
            <v>F6-1</v>
          </cell>
          <cell r="G112">
            <v>0</v>
          </cell>
          <cell r="H112">
            <v>-78155778</v>
          </cell>
          <cell r="I112">
            <v>0</v>
          </cell>
          <cell r="J112">
            <v>-2503986</v>
          </cell>
          <cell r="K112">
            <v>-95050919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-9596171</v>
          </cell>
          <cell r="V112">
            <v>-1090690601</v>
          </cell>
          <cell r="W112">
            <v>0</v>
          </cell>
          <cell r="X112">
            <v>0</v>
          </cell>
        </row>
        <row r="113">
          <cell r="A113" t="str">
            <v>F7-1</v>
          </cell>
          <cell r="G113">
            <v>0</v>
          </cell>
          <cell r="H113">
            <v>-9939000</v>
          </cell>
          <cell r="I113">
            <v>0</v>
          </cell>
          <cell r="J113">
            <v>-6665804</v>
          </cell>
          <cell r="K113">
            <v>-247550868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-13617881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-24559404</v>
          </cell>
          <cell r="W113">
            <v>0</v>
          </cell>
          <cell r="X113">
            <v>0</v>
          </cell>
        </row>
        <row r="114">
          <cell r="A114" t="str">
            <v>F7-1</v>
          </cell>
          <cell r="G114">
            <v>0</v>
          </cell>
          <cell r="H114">
            <v>-126623540</v>
          </cell>
          <cell r="I114">
            <v>0</v>
          </cell>
          <cell r="J114">
            <v>-106403022</v>
          </cell>
          <cell r="K114">
            <v>-644053422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-33059950</v>
          </cell>
          <cell r="Q114">
            <v>-5346820</v>
          </cell>
          <cell r="R114">
            <v>0</v>
          </cell>
          <cell r="S114">
            <v>0</v>
          </cell>
          <cell r="T114">
            <v>0</v>
          </cell>
          <cell r="U114">
            <v>-124169634</v>
          </cell>
          <cell r="V114">
            <v>-511224247</v>
          </cell>
          <cell r="W114">
            <v>0</v>
          </cell>
          <cell r="X114">
            <v>0</v>
          </cell>
        </row>
        <row r="115">
          <cell r="A115" t="str">
            <v>F6-1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-2116384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</row>
        <row r="116">
          <cell r="A116" t="str">
            <v>F4-1</v>
          </cell>
          <cell r="G116">
            <v>0</v>
          </cell>
          <cell r="H116">
            <v>-2914612766</v>
          </cell>
          <cell r="I116">
            <v>0</v>
          </cell>
          <cell r="J116">
            <v>-243479741</v>
          </cell>
          <cell r="K116">
            <v>-2011585160</v>
          </cell>
          <cell r="L116">
            <v>0</v>
          </cell>
          <cell r="M116">
            <v>0</v>
          </cell>
          <cell r="N116">
            <v>-12357847</v>
          </cell>
          <cell r="O116">
            <v>0</v>
          </cell>
          <cell r="P116">
            <v>0</v>
          </cell>
          <cell r="Q116">
            <v>-14000387</v>
          </cell>
          <cell r="R116">
            <v>0</v>
          </cell>
          <cell r="S116">
            <v>0</v>
          </cell>
          <cell r="T116">
            <v>0</v>
          </cell>
          <cell r="U116">
            <v>-444632361</v>
          </cell>
          <cell r="V116">
            <v>-59610700</v>
          </cell>
          <cell r="W116">
            <v>0</v>
          </cell>
          <cell r="X116">
            <v>0</v>
          </cell>
        </row>
        <row r="117">
          <cell r="A117" t="str">
            <v>F4-1</v>
          </cell>
          <cell r="G117">
            <v>0</v>
          </cell>
          <cell r="H117">
            <v>0</v>
          </cell>
          <cell r="I117">
            <v>0</v>
          </cell>
          <cell r="J117">
            <v>-15544735</v>
          </cell>
          <cell r="K117">
            <v>-240093954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-4791841</v>
          </cell>
          <cell r="V117">
            <v>0</v>
          </cell>
          <cell r="W117">
            <v>0</v>
          </cell>
          <cell r="X117">
            <v>0</v>
          </cell>
        </row>
        <row r="118">
          <cell r="A118" t="str">
            <v>F5-1</v>
          </cell>
          <cell r="G118">
            <v>0</v>
          </cell>
          <cell r="H118">
            <v>-81750625</v>
          </cell>
          <cell r="I118">
            <v>0</v>
          </cell>
          <cell r="J118">
            <v>-71521112</v>
          </cell>
          <cell r="K118">
            <v>-208414654</v>
          </cell>
          <cell r="L118">
            <v>0</v>
          </cell>
          <cell r="M118">
            <v>0</v>
          </cell>
          <cell r="N118">
            <v>0</v>
          </cell>
          <cell r="O118">
            <v>-12602512</v>
          </cell>
          <cell r="P118">
            <v>-13030288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-31023270</v>
          </cell>
          <cell r="V118">
            <v>-64887081</v>
          </cell>
          <cell r="W118">
            <v>0</v>
          </cell>
          <cell r="X118">
            <v>0</v>
          </cell>
        </row>
        <row r="119">
          <cell r="A119" t="str">
            <v>L10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</row>
        <row r="120">
          <cell r="A120" t="str">
            <v>L6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</row>
        <row r="121">
          <cell r="A121" t="str">
            <v>L2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</row>
        <row r="122">
          <cell r="A122" t="str">
            <v>L2</v>
          </cell>
          <cell r="G122">
            <v>0</v>
          </cell>
          <cell r="H122">
            <v>-17839903</v>
          </cell>
          <cell r="I122">
            <v>-2386630</v>
          </cell>
          <cell r="J122">
            <v>-42241760</v>
          </cell>
          <cell r="K122">
            <v>-43224098608</v>
          </cell>
          <cell r="L122">
            <v>0</v>
          </cell>
          <cell r="M122">
            <v>-4951310</v>
          </cell>
          <cell r="N122">
            <v>-19698810</v>
          </cell>
          <cell r="O122">
            <v>-303060</v>
          </cell>
          <cell r="P122">
            <v>-393000</v>
          </cell>
          <cell r="Q122">
            <v>-39004928</v>
          </cell>
          <cell r="R122">
            <v>0</v>
          </cell>
          <cell r="S122">
            <v>0</v>
          </cell>
          <cell r="T122">
            <v>-77086000</v>
          </cell>
          <cell r="U122">
            <v>-3711848</v>
          </cell>
          <cell r="V122">
            <v>-584433679</v>
          </cell>
          <cell r="W122">
            <v>0</v>
          </cell>
          <cell r="X122">
            <v>0</v>
          </cell>
        </row>
        <row r="123">
          <cell r="A123" t="str">
            <v>L2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</row>
        <row r="124">
          <cell r="A124" t="str">
            <v>L2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-38507462</v>
          </cell>
          <cell r="W124">
            <v>0</v>
          </cell>
          <cell r="X124">
            <v>0</v>
          </cell>
        </row>
        <row r="125">
          <cell r="A125" t="str">
            <v>L2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</row>
        <row r="126">
          <cell r="A126" t="str">
            <v>L2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</row>
        <row r="127">
          <cell r="A127" t="str">
            <v>L2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-137245846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</row>
        <row r="128">
          <cell r="A128" t="str">
            <v>L2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</row>
        <row r="129">
          <cell r="A129" t="str">
            <v>L2</v>
          </cell>
          <cell r="G129">
            <v>0</v>
          </cell>
          <cell r="H129">
            <v>0</v>
          </cell>
          <cell r="I129">
            <v>0</v>
          </cell>
          <cell r="J129">
            <v>-90534799</v>
          </cell>
          <cell r="K129">
            <v>-7766871108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-1463200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-1316872</v>
          </cell>
          <cell r="W129">
            <v>0</v>
          </cell>
          <cell r="X129">
            <v>0</v>
          </cell>
        </row>
        <row r="130">
          <cell r="A130" t="str">
            <v>L2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27721700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-274953101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-214718356</v>
          </cell>
          <cell r="W130">
            <v>0</v>
          </cell>
          <cell r="X130">
            <v>0</v>
          </cell>
        </row>
        <row r="131">
          <cell r="A131" t="str">
            <v>L1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</row>
        <row r="132">
          <cell r="A132" t="str">
            <v>L1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-8725000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</row>
        <row r="133">
          <cell r="A133" t="str">
            <v>L1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</row>
        <row r="134">
          <cell r="A134" t="str">
            <v>L1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</row>
        <row r="135">
          <cell r="A135" t="str">
            <v>L1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</row>
        <row r="136">
          <cell r="A136" t="str">
            <v>L1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-69358293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</row>
        <row r="137">
          <cell r="A137" t="str">
            <v>L1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</row>
        <row r="138">
          <cell r="A138" t="str">
            <v>L1</v>
          </cell>
          <cell r="G138">
            <v>0</v>
          </cell>
          <cell r="H138">
            <v>0</v>
          </cell>
          <cell r="I138">
            <v>0</v>
          </cell>
          <cell r="J138">
            <v>-62054667</v>
          </cell>
          <cell r="K138">
            <v>-263174927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</row>
        <row r="139">
          <cell r="A139" t="str">
            <v>L1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</row>
        <row r="140">
          <cell r="A140" t="str">
            <v>L1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</row>
        <row r="141">
          <cell r="A141" t="str">
            <v>L1</v>
          </cell>
          <cell r="G141">
            <v>0</v>
          </cell>
          <cell r="H141">
            <v>0</v>
          </cell>
          <cell r="I141">
            <v>0</v>
          </cell>
          <cell r="J141">
            <v>-1904671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-211484855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</row>
        <row r="142">
          <cell r="A142" t="str">
            <v>L1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</row>
        <row r="143">
          <cell r="A143" t="str">
            <v>L1</v>
          </cell>
          <cell r="G143">
            <v>0</v>
          </cell>
          <cell r="H143">
            <v>0</v>
          </cell>
          <cell r="I143">
            <v>0</v>
          </cell>
          <cell r="J143">
            <v>-392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</row>
        <row r="144">
          <cell r="A144" t="str">
            <v>L1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</row>
        <row r="145">
          <cell r="A145" t="str">
            <v>L1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-11168376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</row>
        <row r="146">
          <cell r="A146" t="str">
            <v>L1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-64694398173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</row>
        <row r="147">
          <cell r="A147" t="str">
            <v>L1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</row>
        <row r="148">
          <cell r="A148" t="str">
            <v>L1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</row>
        <row r="149">
          <cell r="A149" t="str">
            <v>L1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</row>
        <row r="150">
          <cell r="A150" t="str">
            <v>L1</v>
          </cell>
          <cell r="G150">
            <v>0</v>
          </cell>
          <cell r="H150">
            <v>0</v>
          </cell>
          <cell r="I150">
            <v>0</v>
          </cell>
          <cell r="J150">
            <v>-1105827607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</row>
        <row r="151">
          <cell r="A151" t="str">
            <v>L1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-392010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</row>
        <row r="152">
          <cell r="A152" t="str">
            <v>L1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</row>
        <row r="153">
          <cell r="A153" t="str">
            <v>L1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-1388312725</v>
          </cell>
          <cell r="V153">
            <v>-41305641</v>
          </cell>
          <cell r="W153">
            <v>0</v>
          </cell>
          <cell r="X153">
            <v>0</v>
          </cell>
        </row>
        <row r="154">
          <cell r="A154" t="str">
            <v>L1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-391939168</v>
          </cell>
          <cell r="W154">
            <v>0</v>
          </cell>
          <cell r="X154">
            <v>0</v>
          </cell>
        </row>
        <row r="155">
          <cell r="A155" t="str">
            <v>L1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</row>
        <row r="156">
          <cell r="A156" t="str">
            <v>L1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</row>
        <row r="157">
          <cell r="A157" t="str">
            <v>L1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</row>
        <row r="158">
          <cell r="A158" t="str">
            <v>L1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-8147970448.4200001</v>
          </cell>
        </row>
        <row r="159">
          <cell r="A159" t="str">
            <v>L1</v>
          </cell>
          <cell r="G159">
            <v>0</v>
          </cell>
          <cell r="H159">
            <v>-6025347</v>
          </cell>
          <cell r="I159">
            <v>0</v>
          </cell>
          <cell r="J159">
            <v>-26341072</v>
          </cell>
          <cell r="K159">
            <v>-61456957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-556758</v>
          </cell>
          <cell r="V159">
            <v>94380135</v>
          </cell>
          <cell r="W159">
            <v>0</v>
          </cell>
          <cell r="X159">
            <v>0</v>
          </cell>
        </row>
        <row r="160">
          <cell r="A160" t="str">
            <v>L1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</row>
        <row r="161">
          <cell r="A161" t="str">
            <v>L1</v>
          </cell>
          <cell r="G161">
            <v>0</v>
          </cell>
          <cell r="H161">
            <v>0</v>
          </cell>
          <cell r="I161">
            <v>0</v>
          </cell>
          <cell r="J161">
            <v>-988551860</v>
          </cell>
          <cell r="K161">
            <v>1471603507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-3046568434</v>
          </cell>
          <cell r="R161">
            <v>0</v>
          </cell>
          <cell r="S161">
            <v>0</v>
          </cell>
          <cell r="T161">
            <v>0</v>
          </cell>
          <cell r="U161">
            <v>-751139658</v>
          </cell>
          <cell r="V161">
            <v>0</v>
          </cell>
          <cell r="W161">
            <v>0</v>
          </cell>
          <cell r="X161">
            <v>-1120669354.7079999</v>
          </cell>
        </row>
        <row r="162">
          <cell r="A162" t="str">
            <v>L1</v>
          </cell>
          <cell r="G162">
            <v>0</v>
          </cell>
          <cell r="H162">
            <v>-335935744</v>
          </cell>
          <cell r="I162">
            <v>-14863365</v>
          </cell>
          <cell r="J162">
            <v>0</v>
          </cell>
          <cell r="K162">
            <v>8935432</v>
          </cell>
          <cell r="L162">
            <v>-49091075</v>
          </cell>
          <cell r="M162">
            <v>-16078835</v>
          </cell>
          <cell r="N162">
            <v>-37372240</v>
          </cell>
          <cell r="O162">
            <v>-7577090</v>
          </cell>
          <cell r="P162">
            <v>-34763671</v>
          </cell>
          <cell r="Q162">
            <v>0</v>
          </cell>
          <cell r="R162">
            <v>0</v>
          </cell>
          <cell r="S162">
            <v>0</v>
          </cell>
          <cell r="T162">
            <v>-69305000</v>
          </cell>
          <cell r="U162">
            <v>0</v>
          </cell>
          <cell r="V162">
            <v>-1283616917</v>
          </cell>
          <cell r="W162">
            <v>-32315294</v>
          </cell>
          <cell r="X162">
            <v>0</v>
          </cell>
        </row>
        <row r="163">
          <cell r="A163" t="str">
            <v>L1</v>
          </cell>
          <cell r="G163">
            <v>0</v>
          </cell>
          <cell r="H163">
            <v>-100037717</v>
          </cell>
          <cell r="I163">
            <v>0</v>
          </cell>
          <cell r="J163">
            <v>-349845070</v>
          </cell>
          <cell r="K163">
            <v>-14084799689</v>
          </cell>
          <cell r="L163">
            <v>0</v>
          </cell>
          <cell r="M163">
            <v>0</v>
          </cell>
          <cell r="N163">
            <v>-13368350</v>
          </cell>
          <cell r="O163">
            <v>0</v>
          </cell>
          <cell r="P163">
            <v>0</v>
          </cell>
          <cell r="Q163">
            <v>-199352218</v>
          </cell>
          <cell r="R163">
            <v>0</v>
          </cell>
          <cell r="S163">
            <v>0</v>
          </cell>
          <cell r="T163">
            <v>-2360000</v>
          </cell>
          <cell r="U163">
            <v>0</v>
          </cell>
          <cell r="V163">
            <v>562896712</v>
          </cell>
          <cell r="W163">
            <v>-9305938</v>
          </cell>
          <cell r="X163">
            <v>0</v>
          </cell>
        </row>
        <row r="164">
          <cell r="A164" t="str">
            <v>L3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-112212174</v>
          </cell>
          <cell r="W164">
            <v>0</v>
          </cell>
          <cell r="X164">
            <v>0</v>
          </cell>
        </row>
        <row r="165">
          <cell r="A165" t="str">
            <v>L3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-136233696</v>
          </cell>
          <cell r="W165">
            <v>0</v>
          </cell>
          <cell r="X165">
            <v>0</v>
          </cell>
        </row>
        <row r="166">
          <cell r="A166" t="str">
            <v>L3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-13622050</v>
          </cell>
          <cell r="W166">
            <v>0</v>
          </cell>
          <cell r="X166">
            <v>0</v>
          </cell>
        </row>
        <row r="167">
          <cell r="A167" t="str">
            <v>L7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</row>
        <row r="168">
          <cell r="A168" t="str">
            <v>L7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-1946462868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-18693000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</row>
        <row r="169">
          <cell r="A169" t="str">
            <v>L7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</row>
        <row r="170">
          <cell r="A170" t="str">
            <v>L2</v>
          </cell>
          <cell r="G170">
            <v>0</v>
          </cell>
          <cell r="H170">
            <v>-22596000</v>
          </cell>
          <cell r="I170">
            <v>-2889000</v>
          </cell>
          <cell r="J170">
            <v>-26406000</v>
          </cell>
          <cell r="K170">
            <v>-64749000</v>
          </cell>
          <cell r="L170">
            <v>0</v>
          </cell>
          <cell r="M170">
            <v>0</v>
          </cell>
          <cell r="N170">
            <v>-8077000</v>
          </cell>
          <cell r="O170">
            <v>-1717000</v>
          </cell>
          <cell r="P170">
            <v>-3521000</v>
          </cell>
          <cell r="Q170">
            <v>-8019000</v>
          </cell>
          <cell r="R170">
            <v>0</v>
          </cell>
          <cell r="S170">
            <v>0</v>
          </cell>
          <cell r="T170">
            <v>0</v>
          </cell>
          <cell r="U170">
            <v>-35612000</v>
          </cell>
          <cell r="V170">
            <v>-37155000</v>
          </cell>
          <cell r="W170">
            <v>0</v>
          </cell>
          <cell r="X170">
            <v>0</v>
          </cell>
        </row>
        <row r="171">
          <cell r="A171" t="str">
            <v>L2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-377207944</v>
          </cell>
          <cell r="W171">
            <v>0</v>
          </cell>
          <cell r="X171">
            <v>0</v>
          </cell>
        </row>
        <row r="172">
          <cell r="A172" t="str">
            <v>L2</v>
          </cell>
          <cell r="G172">
            <v>0</v>
          </cell>
          <cell r="H172">
            <v>-52150461</v>
          </cell>
          <cell r="I172">
            <v>-6402156</v>
          </cell>
          <cell r="J172">
            <v>-58989029</v>
          </cell>
          <cell r="K172">
            <v>-145926039</v>
          </cell>
          <cell r="L172">
            <v>0</v>
          </cell>
          <cell r="M172">
            <v>0</v>
          </cell>
          <cell r="N172">
            <v>-13697768</v>
          </cell>
          <cell r="O172">
            <v>-5572576</v>
          </cell>
          <cell r="P172">
            <v>-4347015</v>
          </cell>
          <cell r="Q172">
            <v>-6204751</v>
          </cell>
          <cell r="R172">
            <v>0</v>
          </cell>
          <cell r="S172">
            <v>0</v>
          </cell>
          <cell r="T172">
            <v>0</v>
          </cell>
          <cell r="U172">
            <v>-17885653</v>
          </cell>
          <cell r="V172">
            <v>-49725406</v>
          </cell>
          <cell r="W172">
            <v>0</v>
          </cell>
          <cell r="X172">
            <v>0</v>
          </cell>
        </row>
        <row r="173">
          <cell r="A173" t="str">
            <v>L8</v>
          </cell>
          <cell r="G173">
            <v>0</v>
          </cell>
          <cell r="H173">
            <v>-695426763</v>
          </cell>
          <cell r="I173">
            <v>-98096144</v>
          </cell>
          <cell r="J173">
            <v>-1382323722</v>
          </cell>
          <cell r="K173">
            <v>0</v>
          </cell>
          <cell r="L173">
            <v>0</v>
          </cell>
          <cell r="M173">
            <v>0</v>
          </cell>
          <cell r="N173">
            <v>-214078354</v>
          </cell>
          <cell r="O173">
            <v>-139156335</v>
          </cell>
          <cell r="P173">
            <v>-229670129</v>
          </cell>
          <cell r="Q173">
            <v>-159117525</v>
          </cell>
          <cell r="R173">
            <v>0</v>
          </cell>
          <cell r="S173">
            <v>0</v>
          </cell>
          <cell r="T173">
            <v>0</v>
          </cell>
          <cell r="U173">
            <v>-1309905374</v>
          </cell>
          <cell r="V173">
            <v>-1293692654</v>
          </cell>
          <cell r="W173">
            <v>0</v>
          </cell>
          <cell r="X173">
            <v>0</v>
          </cell>
        </row>
        <row r="174">
          <cell r="A174" t="str">
            <v>L2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-45000000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</row>
        <row r="175">
          <cell r="A175" t="str">
            <v>L2</v>
          </cell>
          <cell r="G175">
            <v>0</v>
          </cell>
          <cell r="H175">
            <v>0</v>
          </cell>
          <cell r="I175">
            <v>0</v>
          </cell>
          <cell r="J175">
            <v>14798850</v>
          </cell>
          <cell r="K175">
            <v>0</v>
          </cell>
          <cell r="L175">
            <v>0</v>
          </cell>
          <cell r="M175">
            <v>0</v>
          </cell>
          <cell r="N175">
            <v>-32629533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</row>
        <row r="176">
          <cell r="A176" t="str">
            <v>L2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</row>
        <row r="177">
          <cell r="A177" t="str">
            <v>L2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-16938290</v>
          </cell>
          <cell r="W177">
            <v>0</v>
          </cell>
          <cell r="X177">
            <v>0</v>
          </cell>
        </row>
        <row r="178">
          <cell r="A178" t="str">
            <v>L2</v>
          </cell>
          <cell r="G178">
            <v>0</v>
          </cell>
          <cell r="H178">
            <v>-42881422</v>
          </cell>
          <cell r="I178">
            <v>-4865531</v>
          </cell>
          <cell r="J178">
            <v>-51733229</v>
          </cell>
          <cell r="K178">
            <v>-118845258</v>
          </cell>
          <cell r="L178">
            <v>0</v>
          </cell>
          <cell r="M178">
            <v>0</v>
          </cell>
          <cell r="N178">
            <v>-15364845</v>
          </cell>
          <cell r="O178">
            <v>-2852792</v>
          </cell>
          <cell r="P178">
            <v>-6420091</v>
          </cell>
          <cell r="Q178">
            <v>-16304674</v>
          </cell>
          <cell r="R178">
            <v>0</v>
          </cell>
          <cell r="S178">
            <v>0</v>
          </cell>
          <cell r="T178">
            <v>0</v>
          </cell>
          <cell r="U178">
            <v>-63627600</v>
          </cell>
          <cell r="V178">
            <v>-67084145</v>
          </cell>
          <cell r="W178">
            <v>0</v>
          </cell>
          <cell r="X178">
            <v>0</v>
          </cell>
        </row>
        <row r="179">
          <cell r="A179" t="str">
            <v>L2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-1141600</v>
          </cell>
          <cell r="W179">
            <v>0</v>
          </cell>
          <cell r="X179">
            <v>0</v>
          </cell>
        </row>
        <row r="180">
          <cell r="A180" t="str">
            <v>L2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</row>
        <row r="181">
          <cell r="A181" t="str">
            <v>A4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-79768476</v>
          </cell>
          <cell r="W181">
            <v>0</v>
          </cell>
          <cell r="X181">
            <v>0</v>
          </cell>
        </row>
        <row r="182">
          <cell r="A182" t="str">
            <v>L2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-33624935</v>
          </cell>
          <cell r="W182">
            <v>0</v>
          </cell>
          <cell r="X182">
            <v>0</v>
          </cell>
        </row>
        <row r="183">
          <cell r="A183" t="str">
            <v>L7-1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-2105193424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</row>
        <row r="184">
          <cell r="A184" t="str">
            <v>L2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-6097763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</row>
        <row r="185">
          <cell r="A185" t="str">
            <v>L2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-53279617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-13294600000</v>
          </cell>
          <cell r="W185">
            <v>0</v>
          </cell>
          <cell r="X185">
            <v>0</v>
          </cell>
        </row>
        <row r="186">
          <cell r="A186" t="str">
            <v>L2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</row>
        <row r="187">
          <cell r="A187" t="str">
            <v>L2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-964560000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</row>
        <row r="188">
          <cell r="A188" t="str">
            <v>L7-1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-816437278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</row>
        <row r="189">
          <cell r="A189" t="str">
            <v>L7-1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-217596450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</row>
        <row r="190">
          <cell r="A190" t="str">
            <v>L7-1</v>
          </cell>
          <cell r="G190">
            <v>0</v>
          </cell>
          <cell r="H190">
            <v>-160902331</v>
          </cell>
          <cell r="I190">
            <v>0</v>
          </cell>
          <cell r="J190">
            <v>0</v>
          </cell>
          <cell r="K190">
            <v>-47020000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</row>
        <row r="191">
          <cell r="A191" t="str">
            <v>L7-1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-123786000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</row>
        <row r="192">
          <cell r="A192" t="str">
            <v>L7-1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-216757095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</row>
        <row r="193">
          <cell r="A193" t="str">
            <v>L3</v>
          </cell>
          <cell r="G193">
            <v>0</v>
          </cell>
          <cell r="H193">
            <v>0</v>
          </cell>
          <cell r="I193">
            <v>0</v>
          </cell>
          <cell r="J193">
            <v>-271776869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</row>
        <row r="194">
          <cell r="A194" t="str">
            <v>L7-1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-7651103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</row>
        <row r="195">
          <cell r="A195" t="str">
            <v>L2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-44780592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-5217156</v>
          </cell>
          <cell r="W195">
            <v>0</v>
          </cell>
          <cell r="X195">
            <v>0</v>
          </cell>
        </row>
        <row r="196">
          <cell r="A196" t="str">
            <v>L2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-217575042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</row>
        <row r="197">
          <cell r="A197" t="str">
            <v>L3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</row>
        <row r="198">
          <cell r="A198" t="str">
            <v>L3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-3933872</v>
          </cell>
          <cell r="W198">
            <v>0</v>
          </cell>
          <cell r="X198">
            <v>0</v>
          </cell>
        </row>
        <row r="199">
          <cell r="A199" t="str">
            <v>L3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-44662950</v>
          </cell>
          <cell r="W199">
            <v>0</v>
          </cell>
          <cell r="X199">
            <v>0</v>
          </cell>
        </row>
        <row r="200">
          <cell r="A200" t="str">
            <v>L7-1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321603707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</row>
        <row r="201">
          <cell r="A201" t="str">
            <v>L7-1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-79403150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</row>
        <row r="202">
          <cell r="A202" t="str">
            <v>L7-1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-439974556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</row>
        <row r="203">
          <cell r="A203" t="str">
            <v>L7-1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-161378170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80470000</v>
          </cell>
          <cell r="W203">
            <v>0</v>
          </cell>
          <cell r="X203">
            <v>0</v>
          </cell>
        </row>
        <row r="204">
          <cell r="A204" t="str">
            <v>L7-1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1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</row>
        <row r="205">
          <cell r="A205" t="str">
            <v>L7-1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-374545783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</row>
        <row r="206">
          <cell r="A206" t="str">
            <v>L7-1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-121267415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-450122921</v>
          </cell>
          <cell r="W206">
            <v>0</v>
          </cell>
          <cell r="X206">
            <v>0</v>
          </cell>
        </row>
        <row r="207">
          <cell r="A207" t="str">
            <v>L7-1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-55139665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</row>
        <row r="208">
          <cell r="A208" t="str">
            <v>L7-1</v>
          </cell>
          <cell r="G208">
            <v>0</v>
          </cell>
          <cell r="H208">
            <v>0</v>
          </cell>
          <cell r="I208">
            <v>0</v>
          </cell>
          <cell r="J208">
            <v>-14844005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</row>
        <row r="209">
          <cell r="A209" t="str">
            <v>L7-1</v>
          </cell>
          <cell r="G209">
            <v>0</v>
          </cell>
          <cell r="H209">
            <v>0</v>
          </cell>
          <cell r="I209">
            <v>0</v>
          </cell>
          <cell r="J209">
            <v>-113675327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</row>
        <row r="210">
          <cell r="A210" t="str">
            <v>L2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-400299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</row>
        <row r="211">
          <cell r="A211" t="str">
            <v>L11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</row>
        <row r="212">
          <cell r="A212" t="str">
            <v>L11</v>
          </cell>
          <cell r="G212">
            <v>0</v>
          </cell>
          <cell r="H212">
            <v>-10899469</v>
          </cell>
          <cell r="I212">
            <v>0</v>
          </cell>
          <cell r="J212">
            <v>11232654</v>
          </cell>
          <cell r="K212">
            <v>-394864700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30006961</v>
          </cell>
          <cell r="V212">
            <v>675580154</v>
          </cell>
          <cell r="W212">
            <v>0</v>
          </cell>
          <cell r="X212">
            <v>0</v>
          </cell>
        </row>
        <row r="213">
          <cell r="A213" t="str">
            <v>L1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</row>
        <row r="214">
          <cell r="A214" t="str">
            <v>L6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-113682840621</v>
          </cell>
          <cell r="W214">
            <v>0</v>
          </cell>
          <cell r="X214">
            <v>0</v>
          </cell>
        </row>
        <row r="215">
          <cell r="A215" t="str">
            <v>A4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-201537214</v>
          </cell>
          <cell r="W215">
            <v>0</v>
          </cell>
          <cell r="X215">
            <v>0</v>
          </cell>
        </row>
        <row r="216">
          <cell r="A216" t="str">
            <v>A4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</row>
        <row r="217">
          <cell r="A217" t="str">
            <v>L6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</row>
        <row r="218">
          <cell r="A218" t="str">
            <v>L6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1338579404</v>
          </cell>
          <cell r="W218">
            <v>0</v>
          </cell>
          <cell r="X218">
            <v>0</v>
          </cell>
        </row>
        <row r="219">
          <cell r="A219" t="str">
            <v>Z0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</row>
        <row r="220">
          <cell r="A220" t="str">
            <v>Z0</v>
          </cell>
          <cell r="G220">
            <v>0</v>
          </cell>
          <cell r="H220">
            <v>3661197508</v>
          </cell>
          <cell r="I220">
            <v>39668299</v>
          </cell>
          <cell r="J220">
            <v>1928653624</v>
          </cell>
          <cell r="K220">
            <v>-250782337593</v>
          </cell>
          <cell r="L220">
            <v>94838672</v>
          </cell>
          <cell r="M220">
            <v>-102313827</v>
          </cell>
          <cell r="N220">
            <v>-242720157</v>
          </cell>
          <cell r="O220">
            <v>160519676</v>
          </cell>
          <cell r="P220">
            <v>66404733</v>
          </cell>
          <cell r="Q220">
            <v>4094404561</v>
          </cell>
          <cell r="R220">
            <v>0</v>
          </cell>
          <cell r="S220">
            <v>0</v>
          </cell>
          <cell r="T220">
            <v>-130721833</v>
          </cell>
          <cell r="U220">
            <v>8814599848</v>
          </cell>
          <cell r="V220">
            <v>232351036112</v>
          </cell>
          <cell r="W220">
            <v>46770377</v>
          </cell>
          <cell r="X220">
            <v>0</v>
          </cell>
        </row>
        <row r="221">
          <cell r="A221" t="str">
            <v>Z0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</row>
        <row r="222">
          <cell r="A222" t="str">
            <v>Z0</v>
          </cell>
          <cell r="G222">
            <v>0</v>
          </cell>
          <cell r="H222">
            <v>-14181411709</v>
          </cell>
          <cell r="I222">
            <v>-37541441</v>
          </cell>
          <cell r="J222">
            <v>1728685355</v>
          </cell>
          <cell r="K222">
            <v>214061045557</v>
          </cell>
          <cell r="L222">
            <v>-44195557024</v>
          </cell>
          <cell r="M222">
            <v>36548224</v>
          </cell>
          <cell r="N222">
            <v>-29748428</v>
          </cell>
          <cell r="O222">
            <v>-16100131</v>
          </cell>
          <cell r="P222">
            <v>194019368</v>
          </cell>
          <cell r="Q222">
            <v>5800893278</v>
          </cell>
          <cell r="R222">
            <v>0</v>
          </cell>
          <cell r="S222">
            <v>0</v>
          </cell>
          <cell r="T222">
            <v>385419312</v>
          </cell>
          <cell r="U222">
            <v>58700342168</v>
          </cell>
          <cell r="V222">
            <v>-222649646082</v>
          </cell>
          <cell r="W222">
            <v>203014565</v>
          </cell>
          <cell r="X222">
            <v>0</v>
          </cell>
        </row>
        <row r="223">
          <cell r="A223" t="str">
            <v>L1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-2260654</v>
          </cell>
          <cell r="M223">
            <v>100</v>
          </cell>
          <cell r="N223">
            <v>0</v>
          </cell>
          <cell r="O223">
            <v>-165</v>
          </cell>
          <cell r="P223">
            <v>-15679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3344380</v>
          </cell>
          <cell r="W223">
            <v>-334481</v>
          </cell>
          <cell r="X223">
            <v>0</v>
          </cell>
        </row>
        <row r="224">
          <cell r="A224" t="str">
            <v>Z0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</row>
        <row r="225">
          <cell r="A225" t="str">
            <v>L8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-2766949311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</row>
        <row r="226">
          <cell r="A226" t="str">
            <v>E1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-382500000</v>
          </cell>
          <cell r="V226">
            <v>-24381000000</v>
          </cell>
          <cell r="W226">
            <v>0</v>
          </cell>
          <cell r="X226">
            <v>0</v>
          </cell>
        </row>
        <row r="227">
          <cell r="A227" t="str">
            <v>E2</v>
          </cell>
          <cell r="G227">
            <v>0</v>
          </cell>
          <cell r="H227">
            <v>8111131638</v>
          </cell>
          <cell r="I227">
            <v>-21739105</v>
          </cell>
          <cell r="J227">
            <v>-2527670723</v>
          </cell>
          <cell r="K227">
            <v>8922407255</v>
          </cell>
          <cell r="L227">
            <v>44153659631</v>
          </cell>
          <cell r="M227">
            <v>-81789562</v>
          </cell>
          <cell r="N227">
            <v>-62578905</v>
          </cell>
          <cell r="O227">
            <v>-62841689</v>
          </cell>
          <cell r="P227">
            <v>-80834019</v>
          </cell>
          <cell r="Q227">
            <v>-6522340421</v>
          </cell>
          <cell r="R227">
            <v>0</v>
          </cell>
          <cell r="S227">
            <v>0</v>
          </cell>
          <cell r="T227">
            <v>-148648000</v>
          </cell>
          <cell r="U227">
            <v>-64945838789</v>
          </cell>
          <cell r="V227">
            <v>27711122888</v>
          </cell>
          <cell r="W227">
            <v>-207369921</v>
          </cell>
          <cell r="X227">
            <v>4179131961</v>
          </cell>
        </row>
        <row r="228">
          <cell r="A228" t="str">
            <v>E2</v>
          </cell>
          <cell r="G228">
            <v>0</v>
          </cell>
          <cell r="H228">
            <v>0</v>
          </cell>
          <cell r="I228">
            <v>0</v>
          </cell>
          <cell r="J228">
            <v>3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</row>
        <row r="229">
          <cell r="A229" t="str">
            <v>S1</v>
          </cell>
          <cell r="G229">
            <v>0</v>
          </cell>
          <cell r="H229">
            <v>-2080734845</v>
          </cell>
          <cell r="I229">
            <v>0</v>
          </cell>
          <cell r="J229">
            <v>-7566347095</v>
          </cell>
          <cell r="K229">
            <v>-419344964934</v>
          </cell>
          <cell r="L229">
            <v>0</v>
          </cell>
          <cell r="M229">
            <v>0</v>
          </cell>
          <cell r="N229">
            <v>-404894238</v>
          </cell>
          <cell r="O229">
            <v>0</v>
          </cell>
          <cell r="P229">
            <v>0</v>
          </cell>
          <cell r="Q229">
            <v>-9475514090</v>
          </cell>
          <cell r="R229">
            <v>0</v>
          </cell>
          <cell r="S229">
            <v>0</v>
          </cell>
          <cell r="T229">
            <v>-29739089</v>
          </cell>
          <cell r="U229">
            <v>0</v>
          </cell>
          <cell r="V229">
            <v>0</v>
          </cell>
          <cell r="W229">
            <v>0</v>
          </cell>
          <cell r="X229">
            <v>-128999405583.95401</v>
          </cell>
        </row>
        <row r="230">
          <cell r="A230" t="str">
            <v>S1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2689756155.5051999</v>
          </cell>
        </row>
        <row r="231">
          <cell r="A231" t="str">
            <v>C5</v>
          </cell>
          <cell r="G231">
            <v>0</v>
          </cell>
          <cell r="H231">
            <v>0</v>
          </cell>
          <cell r="I231">
            <v>0</v>
          </cell>
          <cell r="J231">
            <v>236610970</v>
          </cell>
          <cell r="K231">
            <v>12324021723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</row>
        <row r="232">
          <cell r="A232" t="str">
            <v>C5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-3439740361</v>
          </cell>
          <cell r="V232">
            <v>0</v>
          </cell>
          <cell r="W232">
            <v>0</v>
          </cell>
          <cell r="X232">
            <v>3439740361</v>
          </cell>
        </row>
        <row r="233">
          <cell r="A233" t="str">
            <v>C1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147932429</v>
          </cell>
          <cell r="O233">
            <v>0</v>
          </cell>
          <cell r="P233">
            <v>0</v>
          </cell>
          <cell r="Q233">
            <v>8699080010</v>
          </cell>
          <cell r="R233">
            <v>0</v>
          </cell>
          <cell r="S233">
            <v>0</v>
          </cell>
          <cell r="T233">
            <v>11341577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</row>
        <row r="234">
          <cell r="A234" t="str">
            <v>C1</v>
          </cell>
          <cell r="G234">
            <v>0</v>
          </cell>
          <cell r="H234">
            <v>993430562</v>
          </cell>
          <cell r="I234">
            <v>0</v>
          </cell>
          <cell r="J234">
            <v>4992299747</v>
          </cell>
          <cell r="K234">
            <v>373544811011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119696972195.40239</v>
          </cell>
        </row>
        <row r="235">
          <cell r="A235" t="str">
            <v>C1</v>
          </cell>
          <cell r="G235">
            <v>0</v>
          </cell>
          <cell r="H235">
            <v>0</v>
          </cell>
          <cell r="I235">
            <v>0</v>
          </cell>
          <cell r="J235">
            <v>39637376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</row>
        <row r="236">
          <cell r="A236" t="str">
            <v>C1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-3594332973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</row>
        <row r="237">
          <cell r="A237" t="str">
            <v>C1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12749502863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-904243923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</row>
        <row r="238">
          <cell r="A238" t="str">
            <v>C1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697762229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</row>
        <row r="239">
          <cell r="A239" t="str">
            <v>C1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-2006834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</row>
        <row r="240">
          <cell r="A240" t="str">
            <v>C1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-1198760126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20698740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</row>
        <row r="241">
          <cell r="A241" t="str">
            <v>C1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</row>
        <row r="242">
          <cell r="A242" t="str">
            <v>C1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</row>
        <row r="243">
          <cell r="A243" t="str">
            <v>C1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121336992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</row>
        <row r="244">
          <cell r="A244" t="str">
            <v>C2</v>
          </cell>
          <cell r="G244">
            <v>0</v>
          </cell>
          <cell r="H244">
            <v>0</v>
          </cell>
          <cell r="I244">
            <v>0</v>
          </cell>
          <cell r="J244">
            <v>160239199</v>
          </cell>
          <cell r="K244">
            <v>184911382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46644280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>
            <v>30150131</v>
          </cell>
          <cell r="W244">
            <v>0</v>
          </cell>
          <cell r="X244">
            <v>192045711.09959996</v>
          </cell>
        </row>
        <row r="245">
          <cell r="A245" t="str">
            <v>C1</v>
          </cell>
          <cell r="G245">
            <v>0</v>
          </cell>
          <cell r="H245">
            <v>0</v>
          </cell>
          <cell r="I245">
            <v>0</v>
          </cell>
          <cell r="J245">
            <v>-2903954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117466843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</row>
        <row r="246">
          <cell r="A246" t="str">
            <v>C3</v>
          </cell>
          <cell r="G246">
            <v>0</v>
          </cell>
          <cell r="H246">
            <v>0</v>
          </cell>
          <cell r="I246">
            <v>0</v>
          </cell>
          <cell r="J246">
            <v>181024328</v>
          </cell>
          <cell r="K246">
            <v>434919127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38050732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779080</v>
          </cell>
          <cell r="W246">
            <v>0</v>
          </cell>
          <cell r="X246">
            <v>0</v>
          </cell>
        </row>
        <row r="247">
          <cell r="A247" t="str">
            <v>C1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</row>
        <row r="248">
          <cell r="A248" t="str">
            <v>C1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18842233235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</row>
        <row r="249">
          <cell r="A249" t="str">
            <v>C1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400388520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</row>
        <row r="250">
          <cell r="A250" t="str">
            <v>C1</v>
          </cell>
          <cell r="G250">
            <v>0</v>
          </cell>
          <cell r="H250">
            <v>0</v>
          </cell>
          <cell r="I250">
            <v>0</v>
          </cell>
          <cell r="J250">
            <v>89034609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U250">
            <v>0</v>
          </cell>
          <cell r="V250">
            <v>0</v>
          </cell>
          <cell r="W250">
            <v>0</v>
          </cell>
          <cell r="X250">
            <v>0</v>
          </cell>
        </row>
        <row r="251">
          <cell r="A251" t="str">
            <v>C1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</row>
        <row r="252">
          <cell r="A252" t="str">
            <v>C5</v>
          </cell>
          <cell r="G252">
            <v>0</v>
          </cell>
          <cell r="H252">
            <v>0</v>
          </cell>
          <cell r="I252">
            <v>0</v>
          </cell>
          <cell r="J252">
            <v>229467191</v>
          </cell>
          <cell r="K252">
            <v>5639951017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</row>
        <row r="253">
          <cell r="A253" t="str">
            <v>C1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</row>
        <row r="254">
          <cell r="A254" t="str">
            <v>C1</v>
          </cell>
          <cell r="G254">
            <v>0</v>
          </cell>
          <cell r="H254">
            <v>0</v>
          </cell>
          <cell r="I254">
            <v>0</v>
          </cell>
          <cell r="J254">
            <v>197315963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</row>
        <row r="255">
          <cell r="A255" t="str">
            <v>C5</v>
          </cell>
          <cell r="G255">
            <v>0</v>
          </cell>
          <cell r="H255">
            <v>1613971247</v>
          </cell>
          <cell r="I255">
            <v>-466</v>
          </cell>
          <cell r="J255">
            <v>1264344890</v>
          </cell>
          <cell r="K255">
            <v>18310492027</v>
          </cell>
          <cell r="L255">
            <v>0</v>
          </cell>
          <cell r="M255">
            <v>7661820</v>
          </cell>
          <cell r="N255">
            <v>1326343732</v>
          </cell>
          <cell r="O255">
            <v>119</v>
          </cell>
          <cell r="P255">
            <v>-46</v>
          </cell>
          <cell r="Q255">
            <v>799117811</v>
          </cell>
          <cell r="R255">
            <v>0</v>
          </cell>
          <cell r="S255">
            <v>0</v>
          </cell>
          <cell r="T255">
            <v>62532806</v>
          </cell>
          <cell r="U255">
            <v>4489300003</v>
          </cell>
          <cell r="V255">
            <v>225233608</v>
          </cell>
          <cell r="W255">
            <v>17914</v>
          </cell>
          <cell r="X255">
            <v>24308537.185199998</v>
          </cell>
        </row>
        <row r="256">
          <cell r="A256" t="str">
            <v>Q8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</row>
        <row r="257">
          <cell r="A257" t="str">
            <v>P4</v>
          </cell>
          <cell r="G257">
            <v>0</v>
          </cell>
          <cell r="H257">
            <v>-165688345</v>
          </cell>
          <cell r="I257">
            <v>-25821418</v>
          </cell>
          <cell r="J257">
            <v>53559254</v>
          </cell>
          <cell r="K257">
            <v>20642995515</v>
          </cell>
          <cell r="L257">
            <v>0</v>
          </cell>
          <cell r="M257">
            <v>-20283916</v>
          </cell>
          <cell r="N257">
            <v>-1263119638</v>
          </cell>
          <cell r="O257">
            <v>-22061708</v>
          </cell>
          <cell r="P257">
            <v>-29871099</v>
          </cell>
          <cell r="Q257">
            <v>3720134</v>
          </cell>
          <cell r="R257">
            <v>0</v>
          </cell>
          <cell r="S257">
            <v>0</v>
          </cell>
          <cell r="T257">
            <v>-3</v>
          </cell>
          <cell r="U257">
            <v>203839796</v>
          </cell>
          <cell r="V257">
            <v>77595536</v>
          </cell>
          <cell r="W257">
            <v>0</v>
          </cell>
          <cell r="X257">
            <v>11942101.149599999</v>
          </cell>
        </row>
        <row r="258">
          <cell r="A258" t="str">
            <v>Q8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3008553707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</row>
        <row r="259">
          <cell r="A259" t="str">
            <v>Q1</v>
          </cell>
          <cell r="G259">
            <v>0</v>
          </cell>
          <cell r="H259">
            <v>21180</v>
          </cell>
          <cell r="I259">
            <v>206712</v>
          </cell>
          <cell r="J259">
            <v>256916</v>
          </cell>
          <cell r="K259">
            <v>5788179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6392382</v>
          </cell>
          <cell r="W259">
            <v>0</v>
          </cell>
          <cell r="X259">
            <v>250214868.92399997</v>
          </cell>
        </row>
        <row r="260">
          <cell r="A260" t="str">
            <v>P4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</row>
        <row r="261">
          <cell r="A261" t="str">
            <v>P4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0</v>
          </cell>
          <cell r="U261">
            <v>0</v>
          </cell>
          <cell r="V261">
            <v>0</v>
          </cell>
          <cell r="W261">
            <v>0</v>
          </cell>
          <cell r="X261">
            <v>-64517999.999999993</v>
          </cell>
        </row>
        <row r="262">
          <cell r="A262" t="str">
            <v>P4</v>
          </cell>
          <cell r="G262">
            <v>0</v>
          </cell>
          <cell r="H262">
            <v>-26967532</v>
          </cell>
          <cell r="I262">
            <v>0</v>
          </cell>
          <cell r="J262">
            <v>-6085429</v>
          </cell>
          <cell r="K262">
            <v>122713325</v>
          </cell>
          <cell r="L262">
            <v>0</v>
          </cell>
          <cell r="M262">
            <v>-326</v>
          </cell>
          <cell r="N262">
            <v>3499443</v>
          </cell>
          <cell r="O262">
            <v>0</v>
          </cell>
          <cell r="P262">
            <v>-4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1986409</v>
          </cell>
          <cell r="V262">
            <v>3881224</v>
          </cell>
          <cell r="W262">
            <v>0</v>
          </cell>
          <cell r="X262">
            <v>0</v>
          </cell>
        </row>
        <row r="263">
          <cell r="A263" t="str">
            <v>P4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  <cell r="U263">
            <v>-1450955</v>
          </cell>
          <cell r="V263">
            <v>0</v>
          </cell>
          <cell r="W263">
            <v>0</v>
          </cell>
          <cell r="X263">
            <v>0</v>
          </cell>
        </row>
        <row r="264">
          <cell r="A264" t="str">
            <v>C5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</row>
        <row r="265">
          <cell r="A265" t="str">
            <v>Q8</v>
          </cell>
          <cell r="G265">
            <v>0</v>
          </cell>
          <cell r="H265">
            <v>29335421</v>
          </cell>
          <cell r="I265">
            <v>694393</v>
          </cell>
          <cell r="J265">
            <v>0</v>
          </cell>
          <cell r="K265">
            <v>33910380</v>
          </cell>
          <cell r="L265">
            <v>0</v>
          </cell>
          <cell r="M265">
            <v>0</v>
          </cell>
          <cell r="N265">
            <v>2164930</v>
          </cell>
          <cell r="O265">
            <v>3107795</v>
          </cell>
          <cell r="P265">
            <v>1457729</v>
          </cell>
          <cell r="Q265">
            <v>4920354</v>
          </cell>
          <cell r="R265">
            <v>0</v>
          </cell>
          <cell r="S265">
            <v>0</v>
          </cell>
          <cell r="T265">
            <v>0</v>
          </cell>
          <cell r="U265">
            <v>187830500</v>
          </cell>
          <cell r="V265">
            <v>0</v>
          </cell>
          <cell r="W265">
            <v>0</v>
          </cell>
          <cell r="X265">
            <v>0</v>
          </cell>
        </row>
        <row r="266">
          <cell r="A266" t="str">
            <v>C5</v>
          </cell>
          <cell r="G266">
            <v>0</v>
          </cell>
          <cell r="H266">
            <v>0</v>
          </cell>
          <cell r="I266">
            <v>0</v>
          </cell>
          <cell r="J266">
            <v>18652566</v>
          </cell>
          <cell r="K266">
            <v>0</v>
          </cell>
          <cell r="L266">
            <v>0</v>
          </cell>
          <cell r="M266">
            <v>1129989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64792000</v>
          </cell>
          <cell r="W266">
            <v>0</v>
          </cell>
          <cell r="X266">
            <v>0</v>
          </cell>
        </row>
        <row r="267">
          <cell r="A267" t="str">
            <v>C5</v>
          </cell>
          <cell r="G267">
            <v>0</v>
          </cell>
          <cell r="H267">
            <v>19</v>
          </cell>
          <cell r="I267">
            <v>0</v>
          </cell>
          <cell r="J267">
            <v>32570077</v>
          </cell>
          <cell r="K267">
            <v>150972896</v>
          </cell>
          <cell r="L267">
            <v>0</v>
          </cell>
          <cell r="M267">
            <v>-4</v>
          </cell>
          <cell r="N267">
            <v>32581813</v>
          </cell>
          <cell r="O267">
            <v>1149742</v>
          </cell>
          <cell r="P267">
            <v>-2</v>
          </cell>
          <cell r="Q267">
            <v>18330938</v>
          </cell>
          <cell r="R267">
            <v>0</v>
          </cell>
          <cell r="S267">
            <v>0</v>
          </cell>
          <cell r="T267">
            <v>0</v>
          </cell>
          <cell r="U267">
            <v>69590362</v>
          </cell>
          <cell r="V267">
            <v>0</v>
          </cell>
          <cell r="W267">
            <v>0</v>
          </cell>
          <cell r="X267">
            <v>0</v>
          </cell>
        </row>
        <row r="268">
          <cell r="A268" t="str">
            <v>Q2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4389126042</v>
          </cell>
          <cell r="W268">
            <v>0</v>
          </cell>
          <cell r="X268">
            <v>0</v>
          </cell>
        </row>
        <row r="269">
          <cell r="A269" t="str">
            <v>Q2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785667970</v>
          </cell>
          <cell r="W269">
            <v>0</v>
          </cell>
          <cell r="X269">
            <v>0</v>
          </cell>
        </row>
        <row r="270">
          <cell r="A270" t="str">
            <v>P1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-108281630</v>
          </cell>
          <cell r="W270">
            <v>0</v>
          </cell>
          <cell r="X270">
            <v>-150511358.25119999</v>
          </cell>
        </row>
        <row r="271">
          <cell r="A271" t="str">
            <v>P2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3267952.8323999997</v>
          </cell>
        </row>
        <row r="272">
          <cell r="A272" t="str">
            <v>P2</v>
          </cell>
          <cell r="G272">
            <v>0</v>
          </cell>
          <cell r="H272">
            <v>4989961</v>
          </cell>
          <cell r="I272">
            <v>-2861128</v>
          </cell>
          <cell r="J272">
            <v>25767488</v>
          </cell>
          <cell r="K272">
            <v>-676180193</v>
          </cell>
          <cell r="L272">
            <v>0</v>
          </cell>
          <cell r="M272">
            <v>-1291070</v>
          </cell>
          <cell r="N272">
            <v>10136097</v>
          </cell>
          <cell r="O272">
            <v>155776</v>
          </cell>
          <cell r="P272">
            <v>5551930</v>
          </cell>
          <cell r="Q272">
            <v>-2498723</v>
          </cell>
          <cell r="R272">
            <v>0</v>
          </cell>
          <cell r="S272">
            <v>0</v>
          </cell>
          <cell r="T272">
            <v>0</v>
          </cell>
          <cell r="U272">
            <v>-49656756</v>
          </cell>
          <cell r="V272">
            <v>25243069</v>
          </cell>
          <cell r="W272">
            <v>0</v>
          </cell>
          <cell r="X272">
            <v>836785.5564</v>
          </cell>
        </row>
        <row r="273">
          <cell r="A273" t="str">
            <v>Q4</v>
          </cell>
          <cell r="G273">
            <v>0</v>
          </cell>
          <cell r="H273">
            <v>40231194</v>
          </cell>
          <cell r="I273">
            <v>-6064433</v>
          </cell>
          <cell r="J273">
            <v>1532337</v>
          </cell>
          <cell r="K273">
            <v>2197721200</v>
          </cell>
          <cell r="L273">
            <v>-1589550</v>
          </cell>
          <cell r="M273">
            <v>2201597</v>
          </cell>
          <cell r="N273">
            <v>-69417706</v>
          </cell>
          <cell r="O273">
            <v>136690</v>
          </cell>
          <cell r="P273">
            <v>6802191</v>
          </cell>
          <cell r="Q273">
            <v>-1610221</v>
          </cell>
          <cell r="R273">
            <v>0</v>
          </cell>
          <cell r="S273">
            <v>0</v>
          </cell>
          <cell r="T273">
            <v>0</v>
          </cell>
          <cell r="U273">
            <v>-3625834</v>
          </cell>
          <cell r="V273">
            <v>4605367328</v>
          </cell>
          <cell r="W273">
            <v>-477225</v>
          </cell>
          <cell r="X273">
            <v>0</v>
          </cell>
        </row>
        <row r="274">
          <cell r="A274" t="str">
            <v>Q10</v>
          </cell>
          <cell r="G274">
            <v>0</v>
          </cell>
          <cell r="H274">
            <v>29946523</v>
          </cell>
          <cell r="I274">
            <v>0</v>
          </cell>
          <cell r="J274">
            <v>-83122292</v>
          </cell>
          <cell r="K274">
            <v>1918255458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-330741250</v>
          </cell>
          <cell r="V274">
            <v>-5833072940</v>
          </cell>
          <cell r="W274">
            <v>0</v>
          </cell>
          <cell r="X274">
            <v>0</v>
          </cell>
        </row>
        <row r="275">
          <cell r="A275" t="str">
            <v>Q9</v>
          </cell>
          <cell r="G275">
            <v>0</v>
          </cell>
          <cell r="H275">
            <v>-6913067</v>
          </cell>
          <cell r="I275">
            <v>0</v>
          </cell>
          <cell r="J275">
            <v>49690346</v>
          </cell>
          <cell r="K275">
            <v>-395779928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375975805</v>
          </cell>
          <cell r="V275">
            <v>1999782485</v>
          </cell>
          <cell r="W275">
            <v>0</v>
          </cell>
          <cell r="X275">
            <v>0</v>
          </cell>
        </row>
        <row r="276">
          <cell r="A276" t="str">
            <v>T1</v>
          </cell>
          <cell r="G276">
            <v>0</v>
          </cell>
          <cell r="H276">
            <v>91730089</v>
          </cell>
          <cell r="I276">
            <v>5187578</v>
          </cell>
          <cell r="J276">
            <v>25615294</v>
          </cell>
          <cell r="K276">
            <v>0</v>
          </cell>
          <cell r="L276">
            <v>0</v>
          </cell>
          <cell r="M276">
            <v>1492911</v>
          </cell>
          <cell r="N276">
            <v>51547148</v>
          </cell>
          <cell r="O276">
            <v>4305340</v>
          </cell>
          <cell r="P276">
            <v>2724679</v>
          </cell>
          <cell r="Q276">
            <v>159084143</v>
          </cell>
          <cell r="R276">
            <v>0</v>
          </cell>
          <cell r="S276">
            <v>0</v>
          </cell>
          <cell r="T276">
            <v>-2540770</v>
          </cell>
          <cell r="U276">
            <v>-463018777</v>
          </cell>
          <cell r="V276">
            <v>-109024638</v>
          </cell>
          <cell r="W276">
            <v>0</v>
          </cell>
          <cell r="X276">
            <v>886364090.90999997</v>
          </cell>
        </row>
        <row r="277">
          <cell r="A277" t="str">
            <v>E4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-4266775177.5345984</v>
          </cell>
        </row>
        <row r="278">
          <cell r="O278">
            <v>0</v>
          </cell>
        </row>
        <row r="279"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S279">
            <v>0</v>
          </cell>
          <cell r="T279">
            <v>0</v>
          </cell>
          <cell r="U279">
            <v>0</v>
          </cell>
          <cell r="V279">
            <v>0</v>
          </cell>
          <cell r="W279">
            <v>0</v>
          </cell>
          <cell r="X279">
            <v>-1.33514404296875E-5</v>
          </cell>
        </row>
        <row r="280">
          <cell r="A280" t="str">
            <v>E3</v>
          </cell>
          <cell r="G280">
            <v>0</v>
          </cell>
          <cell r="H280">
            <v>523352407</v>
          </cell>
          <cell r="I280">
            <v>-28658762</v>
          </cell>
          <cell r="J280">
            <v>-60840219</v>
          </cell>
          <cell r="K280">
            <v>45999885640</v>
          </cell>
          <cell r="L280">
            <v>-1589550</v>
          </cell>
          <cell r="M280">
            <v>-9088999</v>
          </cell>
          <cell r="N280">
            <v>-163225990</v>
          </cell>
          <cell r="O280">
            <v>-13206246</v>
          </cell>
          <cell r="P280">
            <v>-13334622</v>
          </cell>
          <cell r="Q280">
            <v>-357422814</v>
          </cell>
          <cell r="R280">
            <v>0</v>
          </cell>
          <cell r="S280">
            <v>0</v>
          </cell>
          <cell r="T280">
            <v>41594521</v>
          </cell>
          <cell r="U280">
            <v>1040288942</v>
          </cell>
          <cell r="V280">
            <v>6163631647</v>
          </cell>
          <cell r="W280">
            <v>-459311</v>
          </cell>
          <cell r="X280">
            <v>-2018986182.6404181</v>
          </cell>
        </row>
        <row r="281">
          <cell r="G281">
            <v>-0.30800001089360413</v>
          </cell>
          <cell r="H281">
            <v>-0.30799999998770483</v>
          </cell>
          <cell r="I281" t="e">
            <v>#DIV/0!</v>
          </cell>
          <cell r="J281">
            <v>0</v>
          </cell>
          <cell r="K281">
            <v>-0.25657902765506846</v>
          </cell>
          <cell r="L281">
            <v>-6.2467973269592317E-2</v>
          </cell>
          <cell r="M281">
            <v>-0.30881255993378831</v>
          </cell>
          <cell r="N281">
            <v>0</v>
          </cell>
          <cell r="O281">
            <v>0</v>
          </cell>
          <cell r="P281">
            <v>-0.308000057398371</v>
          </cell>
          <cell r="Q281">
            <v>-0.27127268636325735</v>
          </cell>
          <cell r="R281">
            <v>0.72872731363674303</v>
          </cell>
          <cell r="S281" t="e">
            <v>#DIV/0!</v>
          </cell>
          <cell r="T281" t="e">
            <v>#DIV/0!</v>
          </cell>
          <cell r="U281" t="e">
            <v>#DIV/0!</v>
          </cell>
          <cell r="V281">
            <v>0</v>
          </cell>
          <cell r="X281">
            <v>-0.27375231849864151</v>
          </cell>
        </row>
        <row r="282">
          <cell r="G282">
            <v>0</v>
          </cell>
          <cell r="H282">
            <v>8634484045</v>
          </cell>
          <cell r="I282">
            <v>-50397867</v>
          </cell>
          <cell r="J282">
            <v>-2588510942</v>
          </cell>
          <cell r="K282">
            <v>54922292895</v>
          </cell>
          <cell r="L282">
            <v>44152070081</v>
          </cell>
          <cell r="M282">
            <v>-90878561</v>
          </cell>
          <cell r="N282">
            <v>-225804895</v>
          </cell>
          <cell r="O282">
            <v>-76047935</v>
          </cell>
          <cell r="P282">
            <v>-94168641</v>
          </cell>
          <cell r="Q282">
            <v>-6879763235</v>
          </cell>
          <cell r="R282">
            <v>0</v>
          </cell>
          <cell r="S282">
            <v>0</v>
          </cell>
          <cell r="T282">
            <v>-107053479</v>
          </cell>
          <cell r="U282">
            <v>-63905549847</v>
          </cell>
          <cell r="V282">
            <v>33874754535</v>
          </cell>
          <cell r="W282">
            <v>-207829232</v>
          </cell>
          <cell r="X282">
            <v>2160145778.3595819</v>
          </cell>
        </row>
        <row r="284">
          <cell r="A284" t="str">
            <v>L5</v>
          </cell>
          <cell r="L284">
            <v>-2600000000</v>
          </cell>
        </row>
        <row r="285">
          <cell r="A285" t="str">
            <v>E2</v>
          </cell>
          <cell r="L285">
            <v>2600000000</v>
          </cell>
        </row>
        <row r="287">
          <cell r="A287" t="str">
            <v>Q3</v>
          </cell>
        </row>
        <row r="288">
          <cell r="A288" t="str">
            <v>C5</v>
          </cell>
        </row>
        <row r="290">
          <cell r="A290" t="str">
            <v>krw</v>
          </cell>
        </row>
        <row r="291">
          <cell r="A291" t="str">
            <v>1. 잡손실 계정정리</v>
          </cell>
        </row>
        <row r="292">
          <cell r="A292" t="str">
            <v>Q8</v>
          </cell>
        </row>
        <row r="293">
          <cell r="A293" t="str">
            <v>Q8</v>
          </cell>
        </row>
        <row r="295"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</row>
        <row r="296">
          <cell r="A296" t="str">
            <v>2. 잡수익 계정정리</v>
          </cell>
          <cell r="G296">
            <v>110</v>
          </cell>
          <cell r="H296">
            <v>120</v>
          </cell>
          <cell r="I296">
            <v>126</v>
          </cell>
          <cell r="J296">
            <v>140</v>
          </cell>
          <cell r="K296">
            <v>150</v>
          </cell>
          <cell r="L296">
            <v>155</v>
          </cell>
          <cell r="M296">
            <v>160</v>
          </cell>
          <cell r="N296">
            <v>180</v>
          </cell>
          <cell r="P296">
            <v>315</v>
          </cell>
          <cell r="Q296">
            <v>320</v>
          </cell>
          <cell r="R296">
            <v>325</v>
          </cell>
          <cell r="S296">
            <v>330</v>
          </cell>
          <cell r="U296">
            <v>410</v>
          </cell>
          <cell r="V296">
            <v>510</v>
          </cell>
          <cell r="W296">
            <v>512</v>
          </cell>
          <cell r="X296" t="str">
            <v>HKG</v>
          </cell>
        </row>
        <row r="297">
          <cell r="A297" t="str">
            <v>P4</v>
          </cell>
          <cell r="H297">
            <v>165688345</v>
          </cell>
          <cell r="J297">
            <v>-53559254</v>
          </cell>
        </row>
        <row r="298">
          <cell r="A298" t="str">
            <v>P4</v>
          </cell>
        </row>
        <row r="299">
          <cell r="A299" t="str">
            <v>S1</v>
          </cell>
          <cell r="H299">
            <v>-165688345</v>
          </cell>
          <cell r="J299">
            <v>-117332586</v>
          </cell>
        </row>
        <row r="300">
          <cell r="A300" t="str">
            <v>P3</v>
          </cell>
        </row>
        <row r="301">
          <cell r="A301" t="str">
            <v>Q8</v>
          </cell>
          <cell r="J301">
            <v>3521904</v>
          </cell>
        </row>
        <row r="302">
          <cell r="A302" t="str">
            <v>Q8</v>
          </cell>
          <cell r="J302">
            <v>6056000</v>
          </cell>
        </row>
        <row r="303">
          <cell r="A303" t="str">
            <v>Q8</v>
          </cell>
          <cell r="J303">
            <v>170147280</v>
          </cell>
        </row>
        <row r="304">
          <cell r="A304" t="str">
            <v>P4</v>
          </cell>
          <cell r="J304">
            <v>-39832</v>
          </cell>
        </row>
        <row r="305">
          <cell r="A305" t="str">
            <v>P4</v>
          </cell>
          <cell r="J305">
            <v>-2524421</v>
          </cell>
        </row>
        <row r="306">
          <cell r="A306" t="str">
            <v>P4</v>
          </cell>
          <cell r="J306">
            <v>-4669091</v>
          </cell>
        </row>
        <row r="307">
          <cell r="A307" t="str">
            <v>P4</v>
          </cell>
          <cell r="J307">
            <v>-1600000</v>
          </cell>
        </row>
        <row r="308">
          <cell r="A308" t="str">
            <v>P4</v>
          </cell>
        </row>
        <row r="309">
          <cell r="A309" t="str">
            <v>P4</v>
          </cell>
        </row>
        <row r="310">
          <cell r="A310" t="str">
            <v>P4</v>
          </cell>
        </row>
        <row r="311">
          <cell r="A311" t="str">
            <v>Q8</v>
          </cell>
        </row>
        <row r="312">
          <cell r="A312" t="str">
            <v>Q8</v>
          </cell>
        </row>
        <row r="313">
          <cell r="A313" t="str">
            <v>P4</v>
          </cell>
        </row>
        <row r="314">
          <cell r="A314" t="str">
            <v>Q8</v>
          </cell>
        </row>
        <row r="315">
          <cell r="A315" t="str">
            <v>P4</v>
          </cell>
        </row>
        <row r="316">
          <cell r="A316" t="str">
            <v>Q8</v>
          </cell>
        </row>
        <row r="317">
          <cell r="A317" t="str">
            <v>C5</v>
          </cell>
        </row>
        <row r="318">
          <cell r="A318" t="str">
            <v>Q8</v>
          </cell>
        </row>
        <row r="319">
          <cell r="A319" t="str">
            <v>P4</v>
          </cell>
        </row>
        <row r="320">
          <cell r="A320" t="str">
            <v>P4</v>
          </cell>
        </row>
        <row r="321">
          <cell r="A321" t="str">
            <v>Q8</v>
          </cell>
        </row>
        <row r="322">
          <cell r="A322" t="str">
            <v>P4</v>
          </cell>
        </row>
        <row r="323">
          <cell r="A323" t="str">
            <v>Q8</v>
          </cell>
        </row>
        <row r="324">
          <cell r="A324" t="str">
            <v>Q8</v>
          </cell>
        </row>
        <row r="325">
          <cell r="A325" t="str">
            <v>P4</v>
          </cell>
        </row>
        <row r="326">
          <cell r="A326" t="str">
            <v>Q8</v>
          </cell>
        </row>
        <row r="327">
          <cell r="A327" t="str">
            <v>P2</v>
          </cell>
        </row>
        <row r="333"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U333">
            <v>0</v>
          </cell>
          <cell r="V333">
            <v>0</v>
          </cell>
          <cell r="W333">
            <v>0</v>
          </cell>
          <cell r="X333">
            <v>0</v>
          </cell>
        </row>
        <row r="334">
          <cell r="A334" t="str">
            <v>3. 가계정 계정정리</v>
          </cell>
          <cell r="G334">
            <v>110</v>
          </cell>
          <cell r="H334">
            <v>120</v>
          </cell>
          <cell r="I334">
            <v>126</v>
          </cell>
          <cell r="J334">
            <v>140</v>
          </cell>
          <cell r="K334">
            <v>150</v>
          </cell>
          <cell r="L334">
            <v>155</v>
          </cell>
          <cell r="M334">
            <v>160</v>
          </cell>
          <cell r="N334">
            <v>180</v>
          </cell>
          <cell r="P334">
            <v>315</v>
          </cell>
          <cell r="Q334">
            <v>320</v>
          </cell>
          <cell r="R334">
            <v>325</v>
          </cell>
          <cell r="S334">
            <v>330</v>
          </cell>
          <cell r="U334">
            <v>410</v>
          </cell>
          <cell r="V334">
            <v>510</v>
          </cell>
          <cell r="W334">
            <v>512</v>
          </cell>
          <cell r="X334" t="str">
            <v>HKG</v>
          </cell>
        </row>
        <row r="335">
          <cell r="A335" t="str">
            <v>Z1</v>
          </cell>
          <cell r="J335">
            <v>-737676992</v>
          </cell>
        </row>
        <row r="336">
          <cell r="A336" t="str">
            <v>A4</v>
          </cell>
          <cell r="J336">
            <v>175667730</v>
          </cell>
        </row>
        <row r="337">
          <cell r="A337" t="str">
            <v>A4</v>
          </cell>
          <cell r="J337">
            <v>2376055</v>
          </cell>
        </row>
        <row r="338">
          <cell r="A338" t="str">
            <v>A4</v>
          </cell>
          <cell r="J338">
            <v>49417860</v>
          </cell>
        </row>
        <row r="339">
          <cell r="A339" t="str">
            <v>L4</v>
          </cell>
          <cell r="J339">
            <v>-111712</v>
          </cell>
        </row>
        <row r="340">
          <cell r="A340" t="str">
            <v>L4</v>
          </cell>
          <cell r="J340">
            <v>646500</v>
          </cell>
        </row>
        <row r="341">
          <cell r="A341" t="str">
            <v>L4</v>
          </cell>
          <cell r="J341">
            <v>-4312110</v>
          </cell>
        </row>
        <row r="342">
          <cell r="A342" t="str">
            <v>A4</v>
          </cell>
          <cell r="J342">
            <v>33956649</v>
          </cell>
        </row>
        <row r="343">
          <cell r="A343" t="str">
            <v>L2</v>
          </cell>
        </row>
        <row r="344">
          <cell r="A344" t="str">
            <v>L2</v>
          </cell>
        </row>
        <row r="345">
          <cell r="A345" t="str">
            <v>L2</v>
          </cell>
        </row>
        <row r="346">
          <cell r="A346" t="str">
            <v>L2</v>
          </cell>
        </row>
        <row r="347">
          <cell r="A347" t="str">
            <v>L2</v>
          </cell>
        </row>
        <row r="348">
          <cell r="A348" t="str">
            <v>A4</v>
          </cell>
        </row>
        <row r="349">
          <cell r="A349" t="str">
            <v>A8</v>
          </cell>
        </row>
        <row r="350">
          <cell r="A350" t="str">
            <v>A4</v>
          </cell>
        </row>
        <row r="351">
          <cell r="A351" t="str">
            <v>A4</v>
          </cell>
        </row>
        <row r="352">
          <cell r="A352" t="str">
            <v>A4</v>
          </cell>
        </row>
        <row r="353">
          <cell r="A353" t="str">
            <v>A4</v>
          </cell>
        </row>
        <row r="354">
          <cell r="A354" t="str">
            <v>L2</v>
          </cell>
        </row>
        <row r="355">
          <cell r="A355" t="str">
            <v>A4</v>
          </cell>
        </row>
        <row r="356">
          <cell r="A356" t="str">
            <v>L3</v>
          </cell>
        </row>
        <row r="357">
          <cell r="A357" t="str">
            <v>L3</v>
          </cell>
        </row>
        <row r="358">
          <cell r="A358" t="str">
            <v>L4</v>
          </cell>
        </row>
        <row r="359">
          <cell r="A359" t="str">
            <v>A4</v>
          </cell>
          <cell r="J359">
            <v>480036020</v>
          </cell>
        </row>
        <row r="360">
          <cell r="A360" t="str">
            <v>L1</v>
          </cell>
        </row>
        <row r="361">
          <cell r="A361" t="str">
            <v>A4</v>
          </cell>
        </row>
        <row r="362">
          <cell r="A362" t="str">
            <v>L2</v>
          </cell>
        </row>
        <row r="364"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P364">
            <v>0</v>
          </cell>
          <cell r="Q364">
            <v>0</v>
          </cell>
          <cell r="R364">
            <v>0</v>
          </cell>
          <cell r="S364">
            <v>0</v>
          </cell>
          <cell r="U364">
            <v>0</v>
          </cell>
          <cell r="V364">
            <v>0</v>
          </cell>
          <cell r="W364">
            <v>0</v>
          </cell>
          <cell r="X364">
            <v>0</v>
          </cell>
        </row>
        <row r="365">
          <cell r="A365" t="str">
            <v>7. 기타수정사항</v>
          </cell>
          <cell r="G365">
            <v>110</v>
          </cell>
          <cell r="H365">
            <v>120</v>
          </cell>
          <cell r="I365">
            <v>126</v>
          </cell>
          <cell r="J365">
            <v>140</v>
          </cell>
          <cell r="K365">
            <v>150</v>
          </cell>
          <cell r="L365">
            <v>155</v>
          </cell>
          <cell r="M365">
            <v>160</v>
          </cell>
          <cell r="N365">
            <v>180</v>
          </cell>
          <cell r="P365">
            <v>315</v>
          </cell>
          <cell r="Q365">
            <v>320</v>
          </cell>
          <cell r="R365">
            <v>325</v>
          </cell>
          <cell r="S365">
            <v>330</v>
          </cell>
          <cell r="U365">
            <v>410</v>
          </cell>
          <cell r="V365">
            <v>510</v>
          </cell>
          <cell r="W365">
            <v>512</v>
          </cell>
          <cell r="X365" t="str">
            <v>HKG</v>
          </cell>
        </row>
        <row r="366">
          <cell r="A366" t="str">
            <v>528 A/C Analysis</v>
          </cell>
        </row>
        <row r="367">
          <cell r="A367" t="str">
            <v>내부거래 조정</v>
          </cell>
        </row>
        <row r="368">
          <cell r="A368" t="str">
            <v>Z0</v>
          </cell>
          <cell r="V368">
            <v>263073995</v>
          </cell>
        </row>
        <row r="369">
          <cell r="A369" t="str">
            <v>E2</v>
          </cell>
          <cell r="V369">
            <v>-263073995</v>
          </cell>
        </row>
      </sheetData>
      <sheetData sheetId="3"/>
      <sheetData sheetId="4"/>
      <sheetData sheetId="5"/>
      <sheetData sheetId="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 견적서"/>
      <sheetName val="Cumene"/>
      <sheetName val="P&amp;A"/>
      <sheetName val="BPA"/>
      <sheetName val="CPB"/>
      <sheetName val="변동비"/>
      <sheetName val="감가상각비"/>
      <sheetName val="VXXXXXXX"/>
      <sheetName val="장기투자 계획및 예산"/>
      <sheetName val="장기투자 계획 항목별 내용"/>
      <sheetName val="Module1"/>
      <sheetName val="Beforesyy"/>
      <sheetName val="XXXXXX"/>
      <sheetName val="VXXXXX"/>
      <sheetName val="4급 지로"/>
      <sheetName val="4급사원"/>
      <sheetName val="kift-bs"/>
      <sheetName val="kift-pl"/>
      <sheetName val="B2B-pl"/>
      <sheetName val="군포-pl"/>
      <sheetName val="양산-pl"/>
      <sheetName val="hift-pl"/>
      <sheetName val="KIFT세목-백만"/>
      <sheetName val="군포세목-백만"/>
      <sheetName val="양산세목-백만"/>
      <sheetName val="장성세목-백만"/>
      <sheetName val="KIFT세목-매출+일반"/>
      <sheetName val="KIFT세목"/>
      <sheetName val="b2b세목"/>
      <sheetName val="군포세목"/>
      <sheetName val="양산세목"/>
      <sheetName val="장성세목"/>
      <sheetName val="B2B2004비용"/>
      <sheetName val="B2B2005비용"/>
      <sheetName val="차입금상환계획"/>
      <sheetName val="이자비용"/>
      <sheetName val="지급보증료"/>
      <sheetName val="1팀매출2004"/>
      <sheetName val="1팀매출2005"/>
      <sheetName val="B2B매출2004"/>
      <sheetName val="B2B매출2005"/>
      <sheetName val="통신매출2004"/>
      <sheetName val="통신매출2005"/>
      <sheetName val="관리매출2004"/>
      <sheetName val="관리매출2005"/>
      <sheetName val="양산직영매출2004"/>
      <sheetName val="양산직영매출2005"/>
      <sheetName val="_견적서"/>
      <sheetName val="합의서"/>
      <sheetName val="월별목표"/>
      <sheetName val="중점추진업무"/>
      <sheetName val="총괄"/>
      <sheetName val="해군-1"/>
      <sheetName val="공군-1"/>
      <sheetName val="총괄(직)"/>
      <sheetName val="해군(직)계"/>
      <sheetName val="공군(직)계"/>
      <sheetName val="03년도 계획"/>
      <sheetName val="전년 대비"/>
      <sheetName val="공군본부"/>
      <sheetName val="1전비"/>
      <sheetName val="10전비"/>
      <sheetName val="10전비(손보)"/>
      <sheetName val="17전비"/>
      <sheetName val="19전비"/>
      <sheetName val="20전비"/>
      <sheetName val="20전비(손보)"/>
      <sheetName val="7항공통신전대"/>
      <sheetName val="작전사"/>
      <sheetName val="30단"/>
      <sheetName val="30단-1"/>
      <sheetName val="30단(손보)"/>
      <sheetName val="30단(손보) (2)"/>
      <sheetName val="방포사"/>
      <sheetName val="방포사-1"/>
      <sheetName val="방포사-2"/>
      <sheetName val="방포사(손보)"/>
      <sheetName val="방포사(손보) (2)"/>
      <sheetName val="3통신52대대"/>
      <sheetName val="3통신70대대"/>
      <sheetName val="73기상전대"/>
      <sheetName val="장교"/>
      <sheetName val="준사관"/>
      <sheetName val="부사관"/>
      <sheetName val="군무원"/>
      <sheetName val="간부현황"/>
      <sheetName val="출타간부"/>
      <sheetName val="XL4Poppy"/>
      <sheetName val="XL4Poppy (2)"/>
      <sheetName val="XL4Poppy (3)"/>
      <sheetName val="Bank charge"/>
      <sheetName val="감가상각"/>
      <sheetName val="RE9604"/>
      <sheetName val="내역"/>
      <sheetName val="UR2-Calculation"/>
      <sheetName val="0006_FLT_IR_NAME"/>
      <sheetName val="서울청"/>
      <sheetName val="이직현황"/>
      <sheetName val="이직자명단"/>
      <sheetName val="금액집계"/>
      <sheetName val="ins"/>
      <sheetName val="LEAD SHEET (K상각후회수율)"/>
      <sheetName val="일위대가"/>
      <sheetName val="Customer Databas"/>
      <sheetName val="공사개요"/>
      <sheetName val="소비자가"/>
      <sheetName val="本部A3"/>
      <sheetName val="本部A2"/>
      <sheetName val="이렇게쓰자!"/>
      <sheetName val="휴가증출력"/>
      <sheetName val="증명서발급대장"/>
      <sheetName val="집결지코드"/>
      <sheetName val="TMO도표"/>
      <sheetName val="급지"/>
      <sheetName val="--------"/>
      <sheetName val="Recovered_Sheet1"/>
      <sheetName val="Recovered_Sheet2"/>
      <sheetName val="1일자"/>
      <sheetName val="2일자"/>
      <sheetName val="3일자"/>
      <sheetName val="4일자"/>
      <sheetName val="5일자"/>
      <sheetName val="6일자"/>
      <sheetName val="7일자"/>
      <sheetName val="8일자"/>
      <sheetName val="9일자"/>
      <sheetName val="10일자"/>
      <sheetName val="11일자"/>
      <sheetName val="12일자"/>
      <sheetName val="13일자"/>
      <sheetName val="14일자"/>
      <sheetName val="15일자"/>
      <sheetName val="16일자"/>
      <sheetName val="17일자"/>
      <sheetName val="18일자"/>
      <sheetName val="19일자"/>
      <sheetName val="20일자"/>
      <sheetName val="21일자"/>
      <sheetName val="22일자"/>
      <sheetName val="23일자"/>
      <sheetName val="24일자"/>
      <sheetName val="25일자"/>
      <sheetName val="DATA(BAC)"/>
      <sheetName val="CAL"/>
      <sheetName val="1월"/>
      <sheetName val="2월"/>
      <sheetName val="3월"/>
      <sheetName val="4월"/>
      <sheetName val="5월"/>
      <sheetName val="6월"/>
      <sheetName val="7월"/>
      <sheetName val="8월"/>
      <sheetName val="9월"/>
      <sheetName val="월별종합"/>
      <sheetName val="Chart1"/>
      <sheetName val="BS-E"/>
      <sheetName val="BS요약"/>
      <sheetName val="기계내역"/>
      <sheetName val="총괄매출계획"/>
      <sheetName val="I.설계조건"/>
      <sheetName val="2002년요약"/>
      <sheetName val="관계주식"/>
      <sheetName val="기준자료"/>
      <sheetName val="첨부1"/>
      <sheetName val="118.세금과공과"/>
      <sheetName val="교각계산"/>
      <sheetName val="ABUT수량-A1"/>
      <sheetName val="Sheet2"/>
      <sheetName val="부속동"/>
      <sheetName val="기초공"/>
      <sheetName val="기둥(원형)"/>
      <sheetName val="Sheet5"/>
      <sheetName val="TEL"/>
      <sheetName val="Sheet1"/>
      <sheetName val="Total"/>
      <sheetName val="재공수합"/>
      <sheetName val="유통망계획"/>
      <sheetName val="매출"/>
      <sheetName val="97년추정손익계산서"/>
      <sheetName val="Main"/>
      <sheetName val="FRT_O"/>
      <sheetName val="FAB_I"/>
      <sheetName val="월별손익"/>
      <sheetName val="공통가설"/>
      <sheetName val="PUMP"/>
      <sheetName val="Y-WORK"/>
      <sheetName val="_x0000_È"/>
      <sheetName val="일위대가목차"/>
      <sheetName val="설계조건"/>
      <sheetName val=""/>
      <sheetName val="DEC_DHDSR0"/>
      <sheetName val="foxz"/>
      <sheetName val="8-31"/>
      <sheetName val="8-31(2)"/>
      <sheetName val="8-31(3)"/>
      <sheetName val="8-31(4)"/>
      <sheetName val="8-31(5)"/>
      <sheetName val="9-1"/>
      <sheetName val="9-23"/>
      <sheetName val="9-23(2)"/>
      <sheetName val="9-29(월말)"/>
      <sheetName val="9-29(공병)"/>
      <sheetName val="9-30"/>
      <sheetName val="Sheet3"/>
      <sheetName val="pldt"/>
      <sheetName val="07-29기 공개모집병 "/>
      <sheetName val="부대원명부(간부)"/>
      <sheetName val="부대원명부(병)"/>
      <sheetName val="부대현황"/>
      <sheetName val="휴가급지"/>
      <sheetName val="군사특기"/>
      <sheetName val="계급별현황"/>
      <sheetName val="계급별현황 (2)"/>
      <sheetName val="처부별현황"/>
      <sheetName val="병휴가가넹"/>
      <sheetName val="간부휴가가넹"/>
      <sheetName val="전역자"/>
      <sheetName val="아프냐"/>
      <sheetName val="10월"/>
      <sheetName val="11월"/>
      <sheetName val="12월"/>
      <sheetName val="신병100일위로휴가기간"/>
      <sheetName val="위로,청원휴가현황"/>
      <sheetName val="위로,청원휴가기간"/>
      <sheetName val="정기휴가현황"/>
      <sheetName val="연명부"/>
      <sheetName val="Input"/>
      <sheetName val="Comps"/>
      <sheetName val="CAUDIT"/>
      <sheetName val="Table"/>
      <sheetName val="목차"/>
      <sheetName val="Customize Your Purchase Order"/>
      <sheetName val="Purchase Order"/>
      <sheetName val="DATA"/>
      <sheetName val="XREF"/>
      <sheetName val="AA200"/>
      <sheetName val="현금및예치금-기말"/>
      <sheetName val="재집"/>
      <sheetName val="직재"/>
      <sheetName val="HISTORICAL"/>
      <sheetName val="FORECASTING"/>
      <sheetName val="정산표"/>
      <sheetName val="채권한전"/>
      <sheetName val="원본"/>
      <sheetName val="여건,목표"/>
      <sheetName val="중기-여건"/>
      <sheetName val="Assumptions"/>
      <sheetName val="매입별세금계산서집계표"/>
      <sheetName val="신용카드"/>
      <sheetName val="SALES(FPL)"/>
      <sheetName val="CVT산정"/>
      <sheetName val="재무가정"/>
      <sheetName val="11월업적급(FIS)"/>
      <sheetName val="626TD(COLOR)"/>
      <sheetName val="96월경계 (2)"/>
      <sheetName val="T6-6(2)"/>
      <sheetName val="MC총괄표"/>
      <sheetName val="조정전"/>
      <sheetName val="NPS"/>
      <sheetName val="하수급견적대비"/>
      <sheetName val="경비"/>
      <sheetName val="B737"/>
      <sheetName val="ALL"/>
      <sheetName val="?È"/>
      <sheetName val="우편번호"/>
      <sheetName val="차수"/>
      <sheetName val="01월TTL"/>
      <sheetName val="한계원가"/>
      <sheetName val="변동인원"/>
      <sheetName val="97센_협"/>
      <sheetName val="WACC"/>
      <sheetName val="Notes "/>
      <sheetName val="Proposal"/>
      <sheetName val="노임이"/>
      <sheetName val="갑지(추정)"/>
      <sheetName val="전체"/>
      <sheetName val="공사비집계"/>
      <sheetName val="2-1.제품군별계획대비실적(B.A)"/>
      <sheetName val="cfanal"/>
      <sheetName val="profit"/>
      <sheetName val="97입고현황(사내)"/>
      <sheetName val="97출고현황(매출분)"/>
      <sheetName val="97출고현황(SEC)"/>
      <sheetName val="교각̼산"/>
      <sheetName val="_견적서1"/>
      <sheetName val="장기투자_계획및_예산"/>
      <sheetName val="장기투자_계획_항목별_내용"/>
      <sheetName val="4급_지로"/>
      <sheetName val="03년도_계획"/>
      <sheetName val="전년_대비"/>
      <sheetName val="30단(손보)_(2)"/>
      <sheetName val="방포사(손보)_(2)"/>
      <sheetName val="XL4Poppy_(2)"/>
      <sheetName val="XL4Poppy_(3)"/>
      <sheetName val="LEAD_SHEET_(K상각후회수율)"/>
      <sheetName val="Customer_Databas"/>
      <sheetName val="07-29기_공개모집병_"/>
      <sheetName val="계급별현황_(2)"/>
      <sheetName val="총원"/>
      <sheetName val="회사정보"/>
      <sheetName val="전체현황"/>
      <sheetName val="기초코드"/>
      <sheetName val="1ST"/>
      <sheetName val="내역서"/>
      <sheetName val="아울렛 농산벤더"/>
      <sheetName val="실행내역"/>
      <sheetName val="직노"/>
      <sheetName val="대비"/>
      <sheetName val="1-1"/>
      <sheetName val="QMCT"/>
      <sheetName val="6호기"/>
      <sheetName val="Macro(전선)"/>
      <sheetName val="협조전"/>
      <sheetName val="월별데이타"/>
      <sheetName val="분기별데이타"/>
      <sheetName val="Daily RPT"/>
      <sheetName val="1_當期시산표"/>
      <sheetName val="환율"/>
      <sheetName val="신전산소항목시산표(5월)"/>
      <sheetName val="LU"/>
      <sheetName val="계정code"/>
      <sheetName val="NKC"/>
      <sheetName val="정의"/>
      <sheetName val="위원회결의"/>
      <sheetName val="심사반합의체"/>
      <sheetName val="부의서"/>
      <sheetName val="이사회부의서"/>
      <sheetName val="계열재무"/>
      <sheetName val="여신담보현황"/>
      <sheetName val="여신 (2)"/>
      <sheetName val="담보"/>
      <sheetName val="손익영향"/>
      <sheetName val="재무현황요약"/>
      <sheetName val="실사요약"/>
      <sheetName val="실사요약수정"/>
      <sheetName val="회사현황(1)"/>
      <sheetName val="회사현황"/>
      <sheetName val="회사현황 (2)"/>
      <sheetName val="2001상반기"/>
      <sheetName val="재무현황"/>
      <sheetName val="승인신청서"/>
      <sheetName val="심사의견1"/>
      <sheetName val="admin"/>
      <sheetName val="단면가정"/>
      <sheetName val="Template"/>
      <sheetName val="Stop"/>
      <sheetName val="기타계열"/>
      <sheetName val="대출금-8"/>
      <sheetName val="수입"/>
      <sheetName val="MAR"/>
      <sheetName val="FEB"/>
      <sheetName val="평가데이터"/>
      <sheetName val="BID"/>
      <sheetName val="#REF"/>
      <sheetName val="_È"/>
      <sheetName val="BS"/>
      <sheetName val="Variables"/>
      <sheetName val="확인서"/>
      <sheetName val="환"/>
      <sheetName val="借積IQ"/>
      <sheetName val="4.경비 5.영업외수지"/>
      <sheetName val="기본자료(재직자)"/>
      <sheetName val="라이신_NML"/>
      <sheetName val="REF"/>
      <sheetName val="Currency Rates"/>
      <sheetName val="Country Totals"/>
      <sheetName val="NH &amp; NHP Spes."/>
      <sheetName val="수량산출"/>
      <sheetName val="Header"/>
      <sheetName val="sapactivexlhiddensheet"/>
      <sheetName val=" °ßÀû¼­"/>
      <sheetName val="MN2G"/>
      <sheetName val="97KJIST"/>
      <sheetName val="1995년 섹터별 매출"/>
      <sheetName val="KY.LEE"/>
      <sheetName val="자산BS"/>
      <sheetName val="MARCsheet"/>
      <sheetName val="DISTTB"/>
      <sheetName val="INOBTB"/>
      <sheetName val="부대대비"/>
      <sheetName val="냉연집계"/>
      <sheetName val="제조원가"/>
      <sheetName val="통장출금액"/>
      <sheetName val="목표세부명세"/>
      <sheetName val="PLarp"/>
      <sheetName val="설계내역서"/>
      <sheetName val="B767"/>
      <sheetName val="Assignment"/>
      <sheetName val="월별생산"/>
      <sheetName val="0-Basics"/>
      <sheetName val="Inputs"/>
      <sheetName val="__FDSCACHE__"/>
      <sheetName val="WACC Poland"/>
      <sheetName val="WACC Korea"/>
      <sheetName val="Financial impact"/>
      <sheetName val="Sheet8"/>
      <sheetName val="Actual data"/>
      <sheetName val="견적서"/>
      <sheetName val="8월 부서별 관리판매비실적"/>
      <sheetName val="배부율"/>
      <sheetName val="전사요약"/>
      <sheetName val="전사_PL"/>
      <sheetName val="전사_배부전"/>
      <sheetName val="전사_배부후"/>
      <sheetName val="부서별"/>
      <sheetName val="공통비배부계획"/>
      <sheetName val="배부전"/>
      <sheetName val="부서별(배부후)_계획"/>
      <sheetName val="판매비계획_배부전"/>
      <sheetName val="누계(배부전)"/>
      <sheetName val="빙장비사양"/>
      <sheetName val="장비사양"/>
      <sheetName val="A(1)"/>
      <sheetName val="TS"/>
      <sheetName val="Analysis"/>
      <sheetName val="잡손실내역"/>
      <sheetName val="손익예상"/>
      <sheetName val="가수금대체"/>
      <sheetName val="현장관리비"/>
      <sheetName val="Staff Cost"/>
      <sheetName val="제품예산"/>
      <sheetName val="제품별매출"/>
      <sheetName val="제품매출계획연간(04)"/>
      <sheetName val="CODE0"/>
      <sheetName val="손익분석"/>
      <sheetName val="00000000"/>
      <sheetName val="2-2.매출분석"/>
      <sheetName val="계산근거"/>
      <sheetName val="Data&amp;Result"/>
      <sheetName val="2004년전체승무원"/>
      <sheetName val="Ship Advice"/>
      <sheetName val="일반관리비"/>
      <sheetName val="전기"/>
      <sheetName val="일반관리1"/>
      <sheetName val="감독1130"/>
      <sheetName val="Graph"/>
      <sheetName val="재고자산명세"/>
      <sheetName val="제조원가(확인)"/>
      <sheetName val="검색"/>
      <sheetName val="완성차 미수금"/>
      <sheetName val="고정자산원본"/>
      <sheetName val="목표관리모델(누적)"/>
      <sheetName val="BUS제원1"/>
      <sheetName val="데이타"/>
      <sheetName val="Ⅱ1-0타"/>
      <sheetName val="97년비품"/>
      <sheetName val="FX Rates"/>
      <sheetName val="건물"/>
      <sheetName val="Budget 2005 - 2007"/>
      <sheetName val="BS(2006.09.30)전년대비 (2)"/>
      <sheetName val="시산표"/>
      <sheetName val="전사집계"/>
      <sheetName val="HSA"/>
      <sheetName val="Technology"/>
      <sheetName val="기준정보"/>
      <sheetName val="산출"/>
      <sheetName val="통제목록"/>
      <sheetName val="CFLOW"/>
      <sheetName val="표준BS갑"/>
      <sheetName val="mibk"/>
      <sheetName val="_x005f_x0000_È"/>
      <sheetName val="휴가비,급량비"/>
      <sheetName val="sugu95"/>
      <sheetName val="KMPTO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䑔MO도표"/>
      <sheetName val="수량산출서"/>
      <sheetName val="개요"/>
      <sheetName val="말뚝물량"/>
      <sheetName val="정부노임단가"/>
      <sheetName val="BSD (2)"/>
      <sheetName val="2_1. 전산피드백_청과"/>
      <sheetName val="Mc"/>
      <sheetName val="1차 내역서"/>
      <sheetName val="노원열병합  건축공사기성내역서"/>
      <sheetName val="이자율"/>
      <sheetName val="Sheet1 (2)"/>
      <sheetName val="손익계산서"/>
      <sheetName val="대차대조표"/>
      <sheetName val="Variable"/>
      <sheetName val="forecasted_BS"/>
      <sheetName val="forecasted_IS"/>
      <sheetName val="[DEC_DH_x0018_[DEC_DHDSR0.xls"/>
      <sheetName val="통신매신매004"/>
      <sheetName val="기구표"/>
      <sheetName val="갑지"/>
      <sheetName val="RM pallet(2)"/>
      <sheetName val="RM stafel(1)"/>
      <sheetName val="지급어음"/>
      <sheetName val="2004"/>
      <sheetName val="Bloomberg Paste"/>
      <sheetName val="Code"/>
      <sheetName val="직무리스트"/>
      <sheetName val="working"/>
      <sheetName val="평가표"/>
      <sheetName val="교육결과"/>
      <sheetName val="PC"/>
      <sheetName val="기준재고"/>
      <sheetName val="영업점별목표산출"/>
      <sheetName val="보증금"/>
      <sheetName val="Xylose-Aug"/>
      <sheetName val="History input"/>
      <sheetName val="Financial statements"/>
      <sheetName val="일위대가목록"/>
      <sheetName val="분류항목"/>
      <sheetName val="실행철강하도"/>
      <sheetName val="CJE"/>
      <sheetName val="공문 "/>
      <sheetName val="환율change"/>
      <sheetName val="HR Final"/>
      <sheetName val="HR"/>
      <sheetName val="_DEC_DH_x0018__DEC_DHDSR0.xls"/>
      <sheetName val="9-1차이내역"/>
      <sheetName val="106402"/>
      <sheetName val="주요이슈"/>
      <sheetName val="Inv. LS"/>
      <sheetName val="Aug 2004"/>
      <sheetName val="eq_data"/>
      <sheetName val="ITB COST"/>
      <sheetName val="_견적서2"/>
      <sheetName val="03년도_계획1"/>
      <sheetName val="전년_대비1"/>
      <sheetName val="30단(손보)_(2)1"/>
      <sheetName val="방포사(손보)_(2)1"/>
      <sheetName val="XL4Poppy_(2)1"/>
      <sheetName val="XL4Poppy_(3)1"/>
      <sheetName val="장기투자_계획및_예산1"/>
      <sheetName val="장기투자_계획_항목별_내용1"/>
      <sheetName val="4급_지로1"/>
      <sheetName val="LEAD_SHEET_(K상각후회수율)1"/>
      <sheetName val="Customer_Databas1"/>
      <sheetName val="118_세금과공과"/>
      <sheetName val="4_경비_5_영업외수지"/>
      <sheetName val="I_설계조건"/>
      <sheetName val="Financial_impact"/>
      <sheetName val="WACC_Poland"/>
      <sheetName val="WACC_Korea"/>
      <sheetName val="Actual_data"/>
      <sheetName val="8월_부서별_관리판매비실적"/>
      <sheetName val="2-2_매출분석"/>
      <sheetName val="Bloomberg_Paste"/>
      <sheetName val="RM_pallet(2)"/>
      <sheetName val="RM_stafel(1)"/>
      <sheetName val="History_input"/>
      <sheetName val="Financial_statements"/>
      <sheetName val="Staff_Cost"/>
      <sheetName val="_DEC_DH_DEC_DHDSR0_xls"/>
      <sheetName val="Bank_charge"/>
      <sheetName val="Notes_"/>
      <sheetName val="07-29기_공개모집병_1"/>
      <sheetName val="계급별현황_(2)1"/>
      <sheetName val="Customize_Your_Purchase_Order"/>
      <sheetName val="Purchase_Order"/>
      <sheetName val="공문_"/>
      <sheetName val="절감계산"/>
      <sheetName val="제안서입력"/>
      <sheetName val="월별예산"/>
      <sheetName val="월별입출고"/>
      <sheetName val="총원명부"/>
      <sheetName val="ROUTES"/>
      <sheetName val="그룹기안"/>
      <sheetName val="PIS인건비"/>
      <sheetName val="연평잔"/>
      <sheetName val="CASHFW98"/>
      <sheetName val="Parameter"/>
      <sheetName val="코드"/>
      <sheetName val="Parameter_P"/>
      <sheetName val="갑지1"/>
      <sheetName val="Config"/>
      <sheetName val="퇴직기초"/>
      <sheetName val="업무분장(현행)"/>
      <sheetName val="95WBS"/>
      <sheetName val="FAB별"/>
      <sheetName val="FACTOR"/>
      <sheetName val="차량구입"/>
      <sheetName val="변재갑"/>
      <sheetName val="총괄표"/>
      <sheetName val="부대공Ⅱ"/>
      <sheetName val="년판01"/>
      <sheetName val="경산"/>
      <sheetName val="_x005f_x005f_x005f_x0000_È"/>
      <sheetName val="★ 核心卖场 1000개"/>
      <sheetName val="FC_Int´l Collection"/>
      <sheetName val="SAP_DR4"/>
      <sheetName val="COA"/>
      <sheetName val="VariableFactors"/>
      <sheetName val="IX 20 Yr"/>
      <sheetName val="Debt"/>
      <sheetName val="조립"/>
      <sheetName val="외화예치금명세"/>
      <sheetName val="support"/>
      <sheetName val="96상입"/>
      <sheetName val="적용환율"/>
      <sheetName val="_x0000__x0000__x0000__x0000__x0000__x0000__x0000__x0000_ (2)"/>
      <sheetName val="_x0000__x0000__x0000__x0000__x0000__x0000__x0000__x0000_ (3)"/>
      <sheetName val="_x0000__x0000__x0000__x0000__x0000__x0000__x0000__x0000__(2)"/>
      <sheetName val="_x0000__x0000__x0000__x0000__x0000__x0000__x0000__x0000__(3)"/>
      <sheetName val="주소(한문)"/>
      <sheetName val="123"/>
      <sheetName val="기준"/>
      <sheetName val="2000제조1"/>
      <sheetName val="제품군"/>
      <sheetName val="소유주(원)"/>
      <sheetName val="RE7월누계"/>
      <sheetName val="20130201_v1.PCLT 奖励金.xlsx"/>
      <sheetName val="danga"/>
      <sheetName val="ilch"/>
      <sheetName val="May."/>
      <sheetName val="June."/>
      <sheetName val="배치1"/>
      <sheetName val="유통조직현황"/>
      <sheetName val="입력창"/>
      <sheetName val="용량계산"/>
      <sheetName val="냉각탑자료"/>
      <sheetName val="Reference"/>
      <sheetName val="Basic_Information"/>
      <sheetName val="Condition"/>
      <sheetName val="건설가"/>
      <sheetName val="평가제외"/>
      <sheetName val="특외대"/>
      <sheetName val="단가조사서"/>
      <sheetName val="CC Down load 0716"/>
      <sheetName val="과거교육훈련비"/>
      <sheetName val="비용배분"/>
      <sheetName val="목록1"/>
      <sheetName val="목록3"/>
      <sheetName val="목록2"/>
      <sheetName val="전기일위대가"/>
      <sheetName val="견적서세부내용"/>
      <sheetName val="견적내용입력"/>
      <sheetName val="sheets"/>
      <sheetName val="상수도토공집계표"/>
      <sheetName val="GAEYO"/>
      <sheetName val="5공정가동율"/>
      <sheetName val="231218재직현황"/>
      <sheetName val="주요제품생산"/>
      <sheetName val="배부전원가표"/>
      <sheetName val="받check"/>
      <sheetName val="95부서실"/>
      <sheetName val="BW (원본 080401)"/>
      <sheetName val="당월_63"/>
      <sheetName val="_견적서3"/>
      <sheetName val="03년도_계획2"/>
      <sheetName val="전년_대비2"/>
      <sheetName val="30단(손보)_(2)2"/>
      <sheetName val="방포사(손보)_(2)2"/>
      <sheetName val="XL4Poppy_(2)2"/>
      <sheetName val="XL4Poppy_(3)2"/>
      <sheetName val="장기투자_계획및_예산2"/>
      <sheetName val="장기투자_계획_항목별_내용2"/>
      <sheetName val="4급_지로2"/>
      <sheetName val="LEAD_SHEET_(K상각후회수율)2"/>
      <sheetName val="Customer_Databas2"/>
      <sheetName val="118_세금과공과1"/>
      <sheetName val="4_경비_5_영업외수지1"/>
      <sheetName val="I_설계조건1"/>
      <sheetName val="Financial_impact1"/>
      <sheetName val="WACC_Poland1"/>
      <sheetName val="WACC_Korea1"/>
      <sheetName val="Actual_data1"/>
      <sheetName val="8월_부서별_관리판매비실적1"/>
      <sheetName val="2-2_매출분석1"/>
      <sheetName val="Bloomberg_Paste1"/>
      <sheetName val="RM_pallet(2)1"/>
      <sheetName val="RM_stafel(1)1"/>
      <sheetName val="History_input1"/>
      <sheetName val="Financial_statements1"/>
      <sheetName val="Staff_Cost1"/>
      <sheetName val="[DEC_DH[DEC_DHDSR0_xls"/>
      <sheetName val="Bank_charge1"/>
      <sheetName val="Notes_1"/>
      <sheetName val="07-29기_공개모집병_2"/>
      <sheetName val="계급별현황_(2)2"/>
      <sheetName val="Customize_Your_Purchase_Order1"/>
      <sheetName val="Purchase_Order1"/>
      <sheetName val="공문_1"/>
      <sheetName val="HR_Final"/>
      <sheetName val="Aug_2004"/>
      <sheetName val="ITB_COST"/>
      <sheetName val="3550"/>
      <sheetName val="9.16~10.6"/>
      <sheetName val="명부"/>
      <sheetName val="2002년"/>
      <sheetName val="30단(손׃⿏_x0000__x0000_ᣀ_x0000__x0000_"/>
      <sheetName val="입찰안"/>
      <sheetName val="4급_지로声"/>
      <sheetName val="현금흐름표"/>
      <sheetName val="합손"/>
      <sheetName val="Normal Case"/>
      <sheetName val="기타현황"/>
      <sheetName val="대차총괄"/>
      <sheetName val="하남요청"/>
      <sheetName val="01반기조정감"/>
      <sheetName val="01반기조정증"/>
      <sheetName val="_DEC_DH_x005f_x0018__DEC_DHDSR0.xls"/>
      <sheetName val="[DEC_DH_x005f_x0018_[DEC_DHDSR0.xls"/>
      <sheetName val="FRQ"/>
      <sheetName val="영업외손"/>
      <sheetName val="일반관리"/>
      <sheetName val="특별손익"/>
      <sheetName val="CF6"/>
      <sheetName val="작업추진 계획(일정)"/>
      <sheetName val="SV SPEC."/>
      <sheetName val="__FDSCA塅䕃⹌塅E"/>
      <sheetName val="F-Assump"/>
      <sheetName val="_x005f_x0000__x005f_x0000__x005f_x0000__x005f_x0000__x0"/>
      <sheetName val="지,업체(fre)"/>
      <sheetName val="보험요율표"/>
      <sheetName val="환율 및 참고"/>
      <sheetName val="Sheet6 (3)"/>
      <sheetName val="RECIMAKE"/>
      <sheetName val="END직무"/>
      <sheetName val="현장"/>
      <sheetName val="POL6차-PIPING"/>
      <sheetName val="3-3. 제조원가 분석"/>
      <sheetName val="Detail"/>
      <sheetName val="dtxl"/>
      <sheetName val="Jan-Sep"/>
      <sheetName val="_x0000__x0000__x0000__x0000__x0"/>
      <sheetName val="EX-기금"/>
      <sheetName val="관세-기금 효과"/>
      <sheetName val="Purchase_O_x0005__x0000__x0000_"/>
      <sheetName val="Lista"/>
      <sheetName val="Index"/>
      <sheetName val="EX-_x0005__x0000_"/>
      <sheetName val="유화"/>
      <sheetName val="도"/>
      <sheetName val="POL설치공정"/>
      <sheetName val="ARP"/>
      <sheetName val="2002PL"/>
      <sheetName val="실매출과총이익"/>
      <sheetName val="매크로"/>
      <sheetName val="_DEC_DH_x005f_x005f_x005f_x0018__DEC_DHDSR0"/>
      <sheetName val="_x005f_x005f_x005f_x005f_x005f_x005f_x005f_x0000_È"/>
      <sheetName val="scan"/>
      <sheetName val="Profile"/>
      <sheetName val="매각대상자산 청산가치"/>
      <sheetName val="판매.DAT"/>
      <sheetName val="햇반총원가표실적_org"/>
      <sheetName val="전체아이디어현황"/>
      <sheetName val="외주비"/>
      <sheetName val="30단(손׃⽛_x0000__x0000_到_x0000__x0000_"/>
      <sheetName val="30단(손蒈)蓌)헾⼸_x0005_"/>
      <sheetName val="0.指标说明"/>
      <sheetName val="KKKKKKKK"/>
      <sheetName val="KKKKKKKK (2)"/>
      <sheetName val="KKKKKKKK (3)"/>
      <sheetName val="지수"/>
      <sheetName val="PILOT품"/>
      <sheetName val="M96현황-동아"/>
      <sheetName val="연장집계 (2)"/>
      <sheetName val="1위임보수"/>
      <sheetName val="노임단가"/>
      <sheetName val="tax1"/>
      <sheetName val="BOQ건축"/>
      <sheetName val="0.1keyAssumption"/>
      <sheetName val="0.0ControlSheet"/>
      <sheetName val="해외생산"/>
      <sheetName val="일별Data"/>
      <sheetName val="LIST"/>
      <sheetName val="CR CODE"/>
      <sheetName val="부서CODE"/>
      <sheetName val="THEME CODE"/>
      <sheetName val="경영관리사업계획"/>
      <sheetName val="다목적갑"/>
      <sheetName val="dry "/>
      <sheetName val="Control Sheet"/>
      <sheetName val="fab_o"/>
      <sheetName val="투자예상실적"/>
      <sheetName val="재1"/>
      <sheetName val="pivot monthly"/>
      <sheetName val="단가표"/>
      <sheetName val="구list"/>
      <sheetName val="하매입(02)"/>
      <sheetName val="Input1"/>
      <sheetName val="Listvalues"/>
      <sheetName val="Oreo"/>
      <sheetName val="CD&amp;SwapRates"/>
      <sheetName val="증가명세서"/>
      <sheetName val="B01"/>
      <sheetName val="10K4"/>
      <sheetName val="J"/>
      <sheetName val="spread"/>
      <sheetName val="FX_Rates"/>
      <sheetName val="KY_LEE"/>
      <sheetName val="여신_(2)"/>
      <sheetName val="회사현황_(2)"/>
      <sheetName val="96월경계_(2)"/>
      <sheetName val="_°ßÀû¼­"/>
      <sheetName val="1995년_섹터별_매출"/>
      <sheetName val="Ship_Advice"/>
      <sheetName val="Currency_Rates"/>
      <sheetName val="Country_Totals"/>
      <sheetName val="NH_&amp;_NHP_Spes_"/>
      <sheetName val="Control_Sheet"/>
      <sheetName val="2-1_제품군별계획대비실적(B_A)"/>
      <sheetName val="Inv__LS"/>
      <sheetName val="완성차_미수금"/>
      <sheetName val="아울렛_농산벤더"/>
      <sheetName val="Daily_RPT"/>
      <sheetName val="Budget_2005_-_2007"/>
      <sheetName val="BS(2006_09_30)전년대비_(2)"/>
      <sheetName val="3110-2"/>
      <sheetName val="Fixed Asset 2203 (2)"/>
      <sheetName val="_견적서4"/>
      <sheetName val="장기투자_계획및_예산3"/>
      <sheetName val="장기투자_계획_항목별_내용3"/>
      <sheetName val="4급_지로3"/>
      <sheetName val="03년도_계획3"/>
      <sheetName val="전년_대비3"/>
      <sheetName val="30단(손보)_(2)3"/>
      <sheetName val="방포사(손보)_(2)3"/>
      <sheetName val="XL4Poppy_(2)3"/>
      <sheetName val="XL4Poppy_(3)3"/>
      <sheetName val="Customer_Databas3"/>
      <sheetName val="I_설계조건2"/>
      <sheetName val="LEAD_SHEET_(K상각후회수율)3"/>
      <sheetName val="Customize_Your_Purchase_Order2"/>
      <sheetName val="Purchase_Order2"/>
      <sheetName val="118_세금과공과2"/>
      <sheetName val="07-29기_공개모집병_3"/>
      <sheetName val="계급별현황_(2)3"/>
      <sheetName val="Notes_2"/>
      <sheetName val="Bank_charge2"/>
      <sheetName val="KY_LEE1"/>
      <sheetName val="여신_(2)1"/>
      <sheetName val="회사현황_(2)1"/>
      <sheetName val="96월경계_(2)1"/>
      <sheetName val="4_경비_5_영업외수지2"/>
      <sheetName val="WACC_Poland2"/>
      <sheetName val="WACC_Korea2"/>
      <sheetName val="Financial_impact2"/>
      <sheetName val="Actual_data2"/>
      <sheetName val="8월_부서별_관리판매비실적2"/>
      <sheetName val="Staff_Cost2"/>
      <sheetName val="2-2_매출분석2"/>
      <sheetName val="_°ßÀû¼­1"/>
      <sheetName val="1995년_섹터별_매출1"/>
      <sheetName val="Ship_Advice1"/>
      <sheetName val="2-1_제품군별계획대비실적(B_A)1"/>
      <sheetName val="FX_Rates1"/>
      <sheetName val="RM_pallet(2)2"/>
      <sheetName val="RM_stafel(1)2"/>
      <sheetName val="Bloomberg_Paste2"/>
      <sheetName val="History_input2"/>
      <sheetName val="Financial_statements2"/>
      <sheetName val="공문_2"/>
      <sheetName val="HR_Final1"/>
      <sheetName val="Inv__LS1"/>
      <sheetName val="Aug_20041"/>
      <sheetName val="ITB_COST1"/>
      <sheetName val="완성차_미수금1"/>
      <sheetName val="아울렛_농산벤더1"/>
      <sheetName val="Daily_RPT1"/>
      <sheetName val="Currency_Rates1"/>
      <sheetName val="Country_Totals1"/>
      <sheetName val="NH_&amp;_NHP_Spes_1"/>
      <sheetName val="Budget_2005_-_20071"/>
      <sheetName val="BS(2006_09_30)전년대비_(2)1"/>
      <sheetName val="Normal_Case"/>
      <sheetName val="Control_Sheet1"/>
      <sheetName val="가설,2차WS idea-list"/>
      <sheetName val="???(???)_??"/>
      <sheetName val="을지"/>
      <sheetName val="인사자료총집계"/>
      <sheetName val="통계연보"/>
      <sheetName val="Receive Data"/>
      <sheetName val="인쇄방법"/>
      <sheetName val="2_1__전산피드백_청과"/>
      <sheetName val="_(2)1"/>
      <sheetName val="_(3)1"/>
      <sheetName val="IX_20_Yr"/>
      <sheetName val="BSD_(2)"/>
      <sheetName val="1차_내역서"/>
      <sheetName val="노원열병합__건축공사기성내역서"/>
      <sheetName val="Sheet1_(2)"/>
      <sheetName val="20130201_v1_PCLT_奖励金_xlsx"/>
      <sheetName val="May_"/>
      <sheetName val="June_"/>
      <sheetName val="★_核心卖场_1000개"/>
      <sheetName val="FC_Int´l_Collection"/>
      <sheetName val="제조원가명세서"/>
      <sheetName val="TCA"/>
      <sheetName val="Electric_LNG"/>
      <sheetName val="제 336차 상개위 회의록 (송부용).xlsx"/>
      <sheetName val="지점합계 (08)"/>
      <sheetName val="Tbom-tot"/>
      <sheetName val="NR Suppliers"/>
      <sheetName val="Investment"/>
      <sheetName val="Production"/>
      <sheetName val="Material"/>
      <sheetName val="Product"/>
      <sheetName val="NR Inland Transport"/>
      <sheetName val="Incentives"/>
      <sheetName val="NR Overseas Transport"/>
      <sheetName val="NR Price"/>
      <sheetName val="Product Mix"/>
      <sheetName val="Exchange Rate"/>
      <sheetName val="Depreciation&amp;Interest"/>
      <sheetName val="Masterdata"/>
      <sheetName val="Cost_Center"/>
      <sheetName val="판관영비"/>
      <sheetName val="CODE별"/>
      <sheetName val="퇴직영수증"/>
      <sheetName val="근로영수증"/>
      <sheetName val="회사내역"/>
      <sheetName val="96제조"/>
      <sheetName val="JP_GP_UP통합"/>
      <sheetName val="MP2006 data"/>
      <sheetName val="W-현원가"/>
      <sheetName val="CC_Down_load_0716"/>
      <sheetName val="NR_Suppliers"/>
      <sheetName val="NR_Inland_Transport"/>
      <sheetName val="NR_Overseas_Transport"/>
      <sheetName val="NR_Price"/>
      <sheetName val="Product_Mix"/>
      <sheetName val="Exchange_Rate"/>
      <sheetName val="제_336차_상개위_회의록_(송부용)_xlsx"/>
      <sheetName val="지점합계_(08)"/>
      <sheetName val="BW_(원본_080401)"/>
      <sheetName val="9_16~10_6"/>
      <sheetName val="[DEC_DH_x005f_x0018_[DEC_DHDSR0_xls"/>
      <sheetName val="_DEC_DH_x005f_x0018__DEC_DHDSR0_xls"/>
      <sheetName val="작업추진_계획(일정)"/>
      <sheetName val="SV_SPEC_"/>
      <sheetName val="MP2006_data"/>
      <sheetName val="Sheet14"/>
      <sheetName val="Sheet13"/>
      <sheetName val="총_"/>
      <sheetName val="3월 (9)"/>
      <sheetName val="발주요약"/>
      <sheetName val="도급예산표지(총체)"/>
      <sheetName val="도급예산표지(1차)"/>
      <sheetName val="도급예산서(제1차)"/>
      <sheetName val="도급예산내역서(총체분)"/>
      <sheetName val="수량조서(1차)"/>
      <sheetName val="수량조서(총체)"/>
      <sheetName val="을"/>
      <sheetName val="etc공제"/>
      <sheetName val="이발비data"/>
      <sheetName val="식대"/>
      <sheetName val="칠소회비"/>
      <sheetName val="내역서 "/>
      <sheetName val="터파기및재료"/>
      <sheetName val="1단계"/>
      <sheetName val="全局图"/>
      <sheetName val="生产原数据"/>
      <sheetName val="基础_折旧"/>
      <sheetName val="유통간부"/>
      <sheetName val="Tabulation"/>
      <sheetName val="고합"/>
      <sheetName val="반품율"/>
      <sheetName val="_DEC_DH_x005f_x005f_x005f_x005f_x005f_x005f_x0018"/>
      <sheetName val="_x005f_x005f_x005f_x005f_x005f_x005f_x005f_x005f_x005f_x005f_"/>
      <sheetName val="표지"/>
      <sheetName val="PRT_BS"/>
      <sheetName val="PRT_PL"/>
      <sheetName val="cms"/>
      <sheetName val="_DEC_DH_x005f_x0018__DEC_DHDSR0"/>
      <sheetName val="___(___)___"/>
      <sheetName val="_DEC_DH_x005f_x005f_x0018"/>
      <sheetName val="_x005f_x005f_x005f_x005f_"/>
      <sheetName val="공사비 내역 (가)"/>
      <sheetName val="Action Plan"/>
      <sheetName val="통합"/>
      <sheetName val="설비등급집계"/>
      <sheetName val="단가목록"/>
      <sheetName val="회사기초자료"/>
      <sheetName val="자재단가"/>
      <sheetName val="단가일람"/>
      <sheetName val="조경일람"/>
      <sheetName val="기본정보입력"/>
      <sheetName val="포장재"/>
      <sheetName val="ROV_Analysis"/>
      <sheetName val="EP"/>
      <sheetName val="HE"/>
      <sheetName val="SC"/>
      <sheetName val="12월보조2"/>
      <sheetName val="OP12037"/>
      <sheetName val="Consolidated Financials"/>
      <sheetName val="Hua Yang Quarterly"/>
      <sheetName val="SteamTG"/>
      <sheetName val="basic_info"/>
      <sheetName val="Final Allocation"/>
      <sheetName val="BOH 제품"/>
      <sheetName val="BEND LOSS"/>
      <sheetName val="CAL."/>
      <sheetName val="심의위원명단"/>
      <sheetName val="특기사항"/>
      <sheetName val="p.mgmt"/>
      <sheetName val="Chart of Accounts"/>
      <sheetName val="BSD _2_"/>
      <sheetName val="9GNG운반"/>
      <sheetName val="신표지1"/>
      <sheetName val="건축원가계산서"/>
      <sheetName val="Foreign Exchange Rates"/>
      <sheetName val="INCOME STATEMENT INPUT"/>
      <sheetName val="Data Input Sheet"/>
      <sheetName val="자사주펀드(대신)"/>
      <sheetName val="과목별 집계표"/>
      <sheetName val="CHANDL"/>
      <sheetName val="A1"/>
      <sheetName val="개당손익0303"/>
      <sheetName val="결손금"/>
      <sheetName val="25_(4_1).일반사채 내역_원화"/>
      <sheetName val="5월2주차"/>
      <sheetName val="성화"/>
      <sheetName val="수불명세서"/>
      <sheetName val="F4-F7"/>
      <sheetName val="EHP 내역서"/>
      <sheetName val="Breakdown"/>
      <sheetName val="건축"/>
      <sheetName val="2.대외공문"/>
      <sheetName val="간접"/>
      <sheetName val="EACT10"/>
      <sheetName val="1F"/>
      <sheetName val="1.우편집중내역서"/>
      <sheetName val="_x0004__x0000__x0007__x0000__x0007__x0000_"/>
      <sheetName val="̀ᘀᘀက؀ԀఀఀԀ܀਀̀ऀȀ؀㈀吀Ԁ嘀䄀刀⸀匀Ԁ嘀䄀刀⸀倀"/>
      <sheetName val="̀ᘀᘀက؀ԀఀఀԀ܀਀̀ऀȀ؀焀쀍燂_x000d_燃䀍燃耍燃쀍燃_x000d_燄䀍"/>
      <sheetName val="̀ᘀᘀက؀ԀఀఀԀ܀਀̀ऀȀ؀琀쀍璂_x000d_璃䀍璃耍璃쀍璃_x000d_璄䀍"/>
      <sheetName val="B747"/>
      <sheetName val="Calendar"/>
      <sheetName val="8월_부서별_관_x0005__x0000__x0000__x0000__x0000_"/>
      <sheetName val="8월_부서별_관颙⽰_x0005__x0000__x0000_"/>
      <sheetName val="_x0000__x0004__x0000__x0004__x0000_퀜۪_x0010__x0000__x0000_Ȥ_x0000__x0000__x0002__x0000__x0000__x0000_교_x0000_"/>
      <sheetName val="시설물"/>
      <sheetName val="RESULT"/>
      <sheetName val="건축직"/>
      <sheetName val="본장"/>
      <sheetName val="type-F"/>
      <sheetName val="신구계정대사표"/>
      <sheetName val="Excess Calc"/>
      <sheetName val="정산표_BS"/>
      <sheetName val="배합비(99-05-25)"/>
      <sheetName val="비주거용"/>
      <sheetName val="내ｈ"/>
      <sheetName val="ᛃ_x0000__x0000_"/>
      <sheetName val="품셈 "/>
      <sheetName val="PAINT"/>
      <sheetName val="방화도료"/>
      <sheetName val="유첨 2. Chiller 운영방법 변경 (Test)"/>
      <sheetName val="_견적서5"/>
      <sheetName val="장기투자_계획및_예산4"/>
      <sheetName val="장기투자_계획_항목별_내용4"/>
      <sheetName val="4급_지로4"/>
      <sheetName val="03년도_계획4"/>
      <sheetName val="전년_대비4"/>
      <sheetName val="30단(손보)_(2)4"/>
      <sheetName val="방포사(손보)_(2)4"/>
      <sheetName val="XL4Poppy_(2)4"/>
      <sheetName val="XL4Poppy_(3)4"/>
      <sheetName val="Customer_Databas4"/>
      <sheetName val="I_설계조건3"/>
      <sheetName val="LEAD_SHEET_(K상각후회수율)4"/>
      <sheetName val="118_세금과공과3"/>
      <sheetName val="Notes_3"/>
      <sheetName val="Bank_charge3"/>
      <sheetName val="07-29기_공개모집병_4"/>
      <sheetName val="계급별현황_(2)4"/>
      <sheetName val="Customize_Your_Purchase_Order3"/>
      <sheetName val="Purchase_Order3"/>
      <sheetName val="4_경비_5_영업외수지3"/>
      <sheetName val="20130201_v1_PCLT_奖励金_xlsx1"/>
      <sheetName val="May_1"/>
      <sheetName val="June_1"/>
      <sheetName val="Financial_impact3"/>
      <sheetName val="CC_Down_load_07161"/>
      <sheetName val="HR_Final2"/>
      <sheetName val="WACC_Poland3"/>
      <sheetName val="WACC_Korea3"/>
      <sheetName val="Actual_data3"/>
      <sheetName val="8월_부서별_관리판매비실적3"/>
      <sheetName val="2_1__전산피드백_청과1"/>
      <sheetName val="Staff_Cost3"/>
      <sheetName val="2-2_매출분석3"/>
      <sheetName val="RM_pallet(2)3"/>
      <sheetName val="RM_stafel(1)3"/>
      <sheetName val="Bloomberg_Paste3"/>
      <sheetName val="History_input3"/>
      <sheetName val="Financial_statements3"/>
      <sheetName val="공문_3"/>
      <sheetName val="Aug_20042"/>
      <sheetName val="ITB_COST2"/>
      <sheetName val="제_336차_상개위_회의록_(송부용)_xlsx1"/>
      <sheetName val="지점합계_(08)1"/>
      <sheetName val="NR_Suppliers1"/>
      <sheetName val="NR_Inland_Transport1"/>
      <sheetName val="NR_Overseas_Transport1"/>
      <sheetName val="NR_Price1"/>
      <sheetName val="Product_Mix1"/>
      <sheetName val="Exchange_Rate1"/>
      <sheetName val="_DEC_DH_x005f_x0018__DEC_DHDSR0_xls1"/>
      <sheetName val="[DEC_DH_x005f_x0018_[DEC_DHDSR0_xls1"/>
      <sheetName val="BSD_(2)1"/>
      <sheetName val="9_16~10_61"/>
      <sheetName val="BW_(원본_080401)1"/>
      <sheetName val="작업추진_계획(일정)1"/>
      <sheetName val="SV_SPEC_1"/>
      <sheetName val="MP2006_data1"/>
      <sheetName val="환율_및_참고"/>
      <sheetName val="Sheet6_(3)"/>
      <sheetName val="3-3__제조원가_분석"/>
      <sheetName val="관세-기금_효과"/>
      <sheetName val="Purchase_O"/>
      <sheetName val="3월_(9)"/>
      <sheetName val="내역서_"/>
      <sheetName val="Worksheet"/>
      <sheetName val="Validation"/>
      <sheetName val="GL대표분류"/>
      <sheetName val="수혜지역 MASTER"/>
      <sheetName val="GL계정"/>
      <sheetName val="A-100전제"/>
      <sheetName val="don't delete"/>
      <sheetName val="부하계산서"/>
      <sheetName val="8월_부서별_관抎な_x0000__x0000_莸_x0000_"/>
      <sheetName val="하자리스트"/>
      <sheetName val="wall"/>
      <sheetName val="CIC"/>
      <sheetName val="미지비용"/>
      <sheetName val="대손설정"/>
      <sheetName val="보정사항"/>
      <sheetName val="tsuga"/>
      <sheetName val="붙임2-1  지급조서명세서(2001년분)"/>
      <sheetName val="출금실적"/>
      <sheetName val="Intro"/>
      <sheetName val="N10(미지급) "/>
      <sheetName val="Funding"/>
      <sheetName val="_9년자재매각"/>
      <sheetName val="학교기부"/>
      <sheetName val="crude.SLAB RE-bar"/>
      <sheetName val="CRUDE RE-bar"/>
      <sheetName val="이름정의"/>
      <sheetName val="Mobil"/>
      <sheetName val="직거래업체통합"/>
      <sheetName val="Foreclosure"/>
      <sheetName val="Simul"/>
      <sheetName val="Input Adjustments"/>
      <sheetName val="Print_Order"/>
      <sheetName val="NR_Assumption_1"/>
      <sheetName val="작업통제용"/>
      <sheetName val="FSS TB summary Report"/>
      <sheetName val="Æo°¡±aAØ"/>
      <sheetName val="운항율"/>
      <sheetName val="1.설계조건"/>
      <sheetName val="옹벽"/>
      <sheetName val="공통"/>
      <sheetName val="9609Aß"/>
      <sheetName val="목동세대 산출근거"/>
      <sheetName val="출입자명단"/>
      <sheetName val="소요자재"/>
      <sheetName val="노무산출서"/>
      <sheetName val="표지 (2)"/>
      <sheetName val="실행(ALT1)"/>
      <sheetName val="90.03실행 "/>
      <sheetName val="상품입고집계"/>
      <sheetName val="11월일정계획"/>
      <sheetName val="Data 입력창 5Pnl"/>
      <sheetName val="Financia_x0000__x0000__x0005__x0000_朠鿅ș_x0000_"/>
      <sheetName val="단"/>
      <sheetName val="매각대상자산_청산가치"/>
      <sheetName val="판매_DAT"/>
      <sheetName val="가설,2차WS_idea-list"/>
      <sheetName val="공사비_내역_(가)"/>
      <sheetName val="Action_Plan"/>
      <sheetName val="계급별현황_(枵⿤_x0000_"/>
      <sheetName val="계급별현황_(枵ざ_x0000_"/>
      <sheetName val="계급별현황_(ËŰ"/>
      <sheetName val="_DEC_DH_x005f_x005f_x005f"/>
      <sheetName val="30단(손׃⿏"/>
      <sheetName val="현금및현금성자산"/>
      <sheetName val="재무상태표"/>
      <sheetName val="FPA"/>
      <sheetName val="순수개발"/>
      <sheetName val="Frcst"/>
      <sheetName val="Margins"/>
      <sheetName val="backdata"/>
      <sheetName val="7682LA SKD(12.4)"/>
      <sheetName val="신고서.전"/>
      <sheetName val="30단(손蒈)蓌)헾⼸"/>
      <sheetName val="0_指标说明"/>
      <sheetName val="KKKKKKKK_(2)"/>
      <sheetName val="KKKKKKKK_(3)"/>
      <sheetName val="0_1keyAssumption"/>
      <sheetName val="0_0ControlSheet"/>
      <sheetName val="BOH_제품"/>
      <sheetName val="DB"/>
      <sheetName val="심의대상"/>
      <sheetName val="경비2내역"/>
      <sheetName val="4급_지로헾"/>
      <sheetName val="인건비허들"/>
      <sheetName val="ITINERARY"/>
      <sheetName val="30단(손׃⿏??ᣀ??"/>
      <sheetName val="4급_지로卨"/>
      <sheetName val="4급_지로㏈"/>
      <sheetName val="품의양"/>
      <sheetName val="Purchase_O_x0005_"/>
      <sheetName val="_x0004_"/>
      <sheetName val="발신정보"/>
      <sheetName val="Input_Infor"/>
      <sheetName val="Input_Country"/>
      <sheetName val="2001GeneralInfo"/>
      <sheetName val="2001Marshal"/>
      <sheetName val="8월_부서별_관"/>
      <sheetName val="1.PP Info"/>
      <sheetName val="B2B_x0000__x0000_2004"/>
      <sheetName val="9-29(õ병)"/>
      <sheetName val="위로,청원4가현황"/>
      <sheetName val="위로,청원4가기간"/>
      <sheetName val="_DEC_DH_x0018__DEC_DHDSR0"/>
      <sheetName val="_x005f_x005f_"/>
      <sheetName val="_DEC_DH_x0018__DEC_DHDSR0_xls"/>
      <sheetName val="_DEC_DH_x0018"/>
      <sheetName val="_DEC_DH_x0018__DEC_DHDSR0_xls1"/>
      <sheetName val="_"/>
      <sheetName val="DI_comment"/>
      <sheetName val="인원계획"/>
      <sheetName val="손익분기점 데이터"/>
      <sheetName val="0910"/>
      <sheetName val="수리결과"/>
      <sheetName val="GC산출"/>
      <sheetName val="투자양식"/>
      <sheetName val="건설성적"/>
      <sheetName val="판매일반"/>
      <sheetName val="부재예실1월"/>
      <sheetName val="1을"/>
      <sheetName val="Fx Summary Sheet"/>
      <sheetName val="CBM-proj"/>
      <sheetName val="lbo-sum"/>
    </sheetNames>
    <sheetDataSet>
      <sheetData sheetId="0">
        <row r="33">
          <cell r="B33" t="str">
            <v>구분</v>
          </cell>
        </row>
      </sheetData>
      <sheetData sheetId="1">
        <row r="33">
          <cell r="B33" t="str">
            <v>구분</v>
          </cell>
        </row>
      </sheetData>
      <sheetData sheetId="2">
        <row r="33">
          <cell r="B33" t="str">
            <v>구분</v>
          </cell>
        </row>
      </sheetData>
      <sheetData sheetId="3">
        <row r="33">
          <cell r="B33" t="str">
            <v>구분</v>
          </cell>
        </row>
      </sheetData>
      <sheetData sheetId="4">
        <row r="33">
          <cell r="B33" t="str">
            <v>구분</v>
          </cell>
        </row>
      </sheetData>
      <sheetData sheetId="5">
        <row r="33">
          <cell r="B33" t="str">
            <v>구분</v>
          </cell>
        </row>
      </sheetData>
      <sheetData sheetId="6">
        <row r="33">
          <cell r="B33" t="str">
            <v>구분</v>
          </cell>
        </row>
      </sheetData>
      <sheetData sheetId="7">
        <row r="33">
          <cell r="B33" t="str">
            <v>구분</v>
          </cell>
        </row>
      </sheetData>
      <sheetData sheetId="8">
        <row r="33">
          <cell r="B33" t="str">
            <v>구분</v>
          </cell>
        </row>
      </sheetData>
      <sheetData sheetId="9">
        <row r="33">
          <cell r="B33" t="str">
            <v>구분</v>
          </cell>
        </row>
      </sheetData>
      <sheetData sheetId="10" refreshError="1"/>
      <sheetData sheetId="11">
        <row r="33">
          <cell r="B33" t="str">
            <v>구분</v>
          </cell>
        </row>
      </sheetData>
      <sheetData sheetId="12" refreshError="1"/>
      <sheetData sheetId="13">
        <row r="33">
          <cell r="B33" t="str">
            <v>구분</v>
          </cell>
        </row>
      </sheetData>
      <sheetData sheetId="14">
        <row r="33">
          <cell r="B33" t="str">
            <v>구분</v>
          </cell>
        </row>
      </sheetData>
      <sheetData sheetId="15">
        <row r="33">
          <cell r="B33" t="str">
            <v>구분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33">
          <cell r="B33" t="str">
            <v>구분</v>
          </cell>
        </row>
      </sheetData>
      <sheetData sheetId="48">
        <row r="33">
          <cell r="B33" t="str">
            <v>구분</v>
          </cell>
        </row>
      </sheetData>
      <sheetData sheetId="49">
        <row r="33">
          <cell r="B33" t="str">
            <v>구분</v>
          </cell>
        </row>
      </sheetData>
      <sheetData sheetId="50">
        <row r="33">
          <cell r="B33" t="str">
            <v>구분</v>
          </cell>
        </row>
      </sheetData>
      <sheetData sheetId="51">
        <row r="33">
          <cell r="B33" t="str">
            <v>구분</v>
          </cell>
        </row>
      </sheetData>
      <sheetData sheetId="52">
        <row r="33">
          <cell r="B33" t="str">
            <v>구분</v>
          </cell>
        </row>
      </sheetData>
      <sheetData sheetId="53">
        <row r="33">
          <cell r="B33" t="str">
            <v>구분</v>
          </cell>
        </row>
      </sheetData>
      <sheetData sheetId="54">
        <row r="33">
          <cell r="B33" t="str">
            <v>구분</v>
          </cell>
        </row>
      </sheetData>
      <sheetData sheetId="55">
        <row r="33">
          <cell r="B33" t="str">
            <v>구분</v>
          </cell>
        </row>
      </sheetData>
      <sheetData sheetId="56">
        <row r="33">
          <cell r="B33" t="str">
            <v>구분</v>
          </cell>
        </row>
      </sheetData>
      <sheetData sheetId="57">
        <row r="33">
          <cell r="B33" t="str">
            <v>구분</v>
          </cell>
        </row>
      </sheetData>
      <sheetData sheetId="58">
        <row r="33">
          <cell r="B33" t="str">
            <v>구분</v>
          </cell>
        </row>
      </sheetData>
      <sheetData sheetId="59">
        <row r="33">
          <cell r="B33" t="str">
            <v>구분</v>
          </cell>
        </row>
      </sheetData>
      <sheetData sheetId="60">
        <row r="33">
          <cell r="B33" t="str">
            <v>구분</v>
          </cell>
        </row>
      </sheetData>
      <sheetData sheetId="61">
        <row r="33">
          <cell r="B33" t="str">
            <v>구분</v>
          </cell>
        </row>
      </sheetData>
      <sheetData sheetId="62">
        <row r="33">
          <cell r="B33" t="str">
            <v>구분</v>
          </cell>
        </row>
      </sheetData>
      <sheetData sheetId="63">
        <row r="33">
          <cell r="B33" t="str">
            <v>구분</v>
          </cell>
        </row>
      </sheetData>
      <sheetData sheetId="64">
        <row r="33">
          <cell r="B33" t="str">
            <v>구분</v>
          </cell>
        </row>
      </sheetData>
      <sheetData sheetId="65">
        <row r="33">
          <cell r="B33" t="str">
            <v>구분</v>
          </cell>
        </row>
      </sheetData>
      <sheetData sheetId="66">
        <row r="33">
          <cell r="B33" t="str">
            <v>구분</v>
          </cell>
        </row>
      </sheetData>
      <sheetData sheetId="67">
        <row r="33">
          <cell r="B33" t="str">
            <v>구분</v>
          </cell>
        </row>
      </sheetData>
      <sheetData sheetId="68">
        <row r="33">
          <cell r="B33" t="str">
            <v>구분</v>
          </cell>
        </row>
      </sheetData>
      <sheetData sheetId="69">
        <row r="33">
          <cell r="B33" t="str">
            <v>구분</v>
          </cell>
        </row>
      </sheetData>
      <sheetData sheetId="70">
        <row r="33">
          <cell r="B33" t="str">
            <v>구분</v>
          </cell>
        </row>
      </sheetData>
      <sheetData sheetId="71">
        <row r="33">
          <cell r="B33" t="str">
            <v>구분</v>
          </cell>
        </row>
      </sheetData>
      <sheetData sheetId="72">
        <row r="33">
          <cell r="B33" t="str">
            <v>구분</v>
          </cell>
        </row>
      </sheetData>
      <sheetData sheetId="73">
        <row r="33">
          <cell r="B33" t="str">
            <v>구분</v>
          </cell>
        </row>
      </sheetData>
      <sheetData sheetId="74">
        <row r="33">
          <cell r="B33" t="str">
            <v>구분</v>
          </cell>
        </row>
      </sheetData>
      <sheetData sheetId="75">
        <row r="33">
          <cell r="B33" t="str">
            <v>구분</v>
          </cell>
        </row>
      </sheetData>
      <sheetData sheetId="76">
        <row r="33">
          <cell r="B33" t="str">
            <v>구분</v>
          </cell>
        </row>
      </sheetData>
      <sheetData sheetId="77">
        <row r="33">
          <cell r="B33" t="str">
            <v>구분</v>
          </cell>
        </row>
      </sheetData>
      <sheetData sheetId="78">
        <row r="33">
          <cell r="B33" t="str">
            <v>구분</v>
          </cell>
        </row>
      </sheetData>
      <sheetData sheetId="79">
        <row r="33">
          <cell r="B33" t="str">
            <v>구분</v>
          </cell>
        </row>
      </sheetData>
      <sheetData sheetId="80">
        <row r="33">
          <cell r="B33" t="str">
            <v>구분</v>
          </cell>
        </row>
      </sheetData>
      <sheetData sheetId="81">
        <row r="33">
          <cell r="B33" t="str">
            <v>구분</v>
          </cell>
        </row>
      </sheetData>
      <sheetData sheetId="82">
        <row r="33">
          <cell r="B33" t="str">
            <v>구분</v>
          </cell>
        </row>
      </sheetData>
      <sheetData sheetId="83">
        <row r="33">
          <cell r="B33" t="str">
            <v>구분</v>
          </cell>
        </row>
      </sheetData>
      <sheetData sheetId="84">
        <row r="33">
          <cell r="B33" t="str">
            <v>구분</v>
          </cell>
        </row>
      </sheetData>
      <sheetData sheetId="85">
        <row r="33">
          <cell r="B33" t="str">
            <v>구분</v>
          </cell>
        </row>
      </sheetData>
      <sheetData sheetId="86">
        <row r="33">
          <cell r="B33" t="str">
            <v>구분</v>
          </cell>
        </row>
      </sheetData>
      <sheetData sheetId="87">
        <row r="33">
          <cell r="B33" t="str">
            <v>구분</v>
          </cell>
        </row>
      </sheetData>
      <sheetData sheetId="88">
        <row r="33">
          <cell r="B33" t="str">
            <v>구분</v>
          </cell>
        </row>
      </sheetData>
      <sheetData sheetId="89">
        <row r="33">
          <cell r="B33" t="str">
            <v>구분</v>
          </cell>
        </row>
      </sheetData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>
        <row r="33">
          <cell r="B33" t="str">
            <v>구분</v>
          </cell>
        </row>
      </sheetData>
      <sheetData sheetId="97">
        <row r="33">
          <cell r="B33" t="str">
            <v>구분</v>
          </cell>
        </row>
      </sheetData>
      <sheetData sheetId="98">
        <row r="33">
          <cell r="B33" t="str">
            <v>구분</v>
          </cell>
        </row>
      </sheetData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>
        <row r="33">
          <cell r="B33" t="str">
            <v>구분</v>
          </cell>
        </row>
      </sheetData>
      <sheetData sheetId="109">
        <row r="33">
          <cell r="B33" t="str">
            <v>구분</v>
          </cell>
        </row>
      </sheetData>
      <sheetData sheetId="110">
        <row r="33">
          <cell r="B33" t="str">
            <v>구분</v>
          </cell>
        </row>
      </sheetData>
      <sheetData sheetId="111">
        <row r="33">
          <cell r="B33" t="str">
            <v>구분</v>
          </cell>
        </row>
      </sheetData>
      <sheetData sheetId="112">
        <row r="33">
          <cell r="B33" t="str">
            <v>구분</v>
          </cell>
        </row>
      </sheetData>
      <sheetData sheetId="113">
        <row r="33">
          <cell r="B33" t="str">
            <v>구분</v>
          </cell>
        </row>
      </sheetData>
      <sheetData sheetId="114">
        <row r="33">
          <cell r="B33" t="str">
            <v>구분</v>
          </cell>
        </row>
      </sheetData>
      <sheetData sheetId="115">
        <row r="33">
          <cell r="B33" t="str">
            <v>구분</v>
          </cell>
        </row>
      </sheetData>
      <sheetData sheetId="116">
        <row r="33">
          <cell r="B33" t="str">
            <v>구분</v>
          </cell>
        </row>
      </sheetData>
      <sheetData sheetId="117">
        <row r="33">
          <cell r="B33" t="str">
            <v>구분</v>
          </cell>
        </row>
      </sheetData>
      <sheetData sheetId="118">
        <row r="33">
          <cell r="B33" t="str">
            <v>구분</v>
          </cell>
        </row>
      </sheetData>
      <sheetData sheetId="119">
        <row r="33">
          <cell r="B33" t="str">
            <v>구분</v>
          </cell>
        </row>
      </sheetData>
      <sheetData sheetId="120">
        <row r="33">
          <cell r="B33" t="str">
            <v>구분</v>
          </cell>
        </row>
      </sheetData>
      <sheetData sheetId="121">
        <row r="33">
          <cell r="B33" t="str">
            <v>구분</v>
          </cell>
        </row>
      </sheetData>
      <sheetData sheetId="122">
        <row r="33">
          <cell r="B33" t="str">
            <v>구분</v>
          </cell>
        </row>
      </sheetData>
      <sheetData sheetId="123">
        <row r="33">
          <cell r="B33" t="str">
            <v>구분</v>
          </cell>
        </row>
      </sheetData>
      <sheetData sheetId="124">
        <row r="33">
          <cell r="B33" t="str">
            <v>구분</v>
          </cell>
        </row>
      </sheetData>
      <sheetData sheetId="125">
        <row r="33">
          <cell r="B33" t="str">
            <v>구분</v>
          </cell>
        </row>
      </sheetData>
      <sheetData sheetId="126">
        <row r="33">
          <cell r="B33" t="str">
            <v>구분</v>
          </cell>
        </row>
      </sheetData>
      <sheetData sheetId="127">
        <row r="33">
          <cell r="B33" t="str">
            <v>구분</v>
          </cell>
        </row>
      </sheetData>
      <sheetData sheetId="128">
        <row r="33">
          <cell r="B33" t="str">
            <v>구분</v>
          </cell>
        </row>
      </sheetData>
      <sheetData sheetId="129">
        <row r="33">
          <cell r="B33" t="str">
            <v>구분</v>
          </cell>
        </row>
      </sheetData>
      <sheetData sheetId="130">
        <row r="33">
          <cell r="B33" t="str">
            <v>구분</v>
          </cell>
        </row>
      </sheetData>
      <sheetData sheetId="131">
        <row r="33">
          <cell r="B33" t="str">
            <v>구분</v>
          </cell>
        </row>
      </sheetData>
      <sheetData sheetId="132">
        <row r="33">
          <cell r="B33" t="str">
            <v>구분</v>
          </cell>
        </row>
      </sheetData>
      <sheetData sheetId="133">
        <row r="33">
          <cell r="B33" t="str">
            <v>구분</v>
          </cell>
        </row>
      </sheetData>
      <sheetData sheetId="134">
        <row r="33">
          <cell r="B33" t="str">
            <v>구분</v>
          </cell>
        </row>
      </sheetData>
      <sheetData sheetId="135">
        <row r="33">
          <cell r="B33" t="str">
            <v>구분</v>
          </cell>
        </row>
      </sheetData>
      <sheetData sheetId="136">
        <row r="33">
          <cell r="B33" t="str">
            <v>구분</v>
          </cell>
        </row>
      </sheetData>
      <sheetData sheetId="137">
        <row r="33">
          <cell r="B33" t="str">
            <v>구분</v>
          </cell>
        </row>
      </sheetData>
      <sheetData sheetId="138">
        <row r="33">
          <cell r="B33" t="str">
            <v>구분</v>
          </cell>
        </row>
      </sheetData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>
        <row r="33">
          <cell r="B33" t="str">
            <v>구분</v>
          </cell>
        </row>
      </sheetData>
      <sheetData sheetId="162"/>
      <sheetData sheetId="163" refreshError="1"/>
      <sheetData sheetId="164">
        <row r="33">
          <cell r="B33" t="str">
            <v>구분</v>
          </cell>
        </row>
      </sheetData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/>
      <sheetData sheetId="205"/>
      <sheetData sheetId="206"/>
      <sheetData sheetId="207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/>
      <sheetData sheetId="320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/>
      <sheetData sheetId="412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/>
      <sheetData sheetId="813">
        <row r="33">
          <cell r="B33" t="str">
            <v>구분</v>
          </cell>
        </row>
      </sheetData>
      <sheetData sheetId="814">
        <row r="33">
          <cell r="B33" t="str">
            <v>구분</v>
          </cell>
        </row>
      </sheetData>
      <sheetData sheetId="815">
        <row r="33">
          <cell r="B33" t="str">
            <v>구분</v>
          </cell>
        </row>
      </sheetData>
      <sheetData sheetId="816">
        <row r="33">
          <cell r="B33" t="str">
            <v>구분</v>
          </cell>
        </row>
      </sheetData>
      <sheetData sheetId="817">
        <row r="33">
          <cell r="B33" t="str">
            <v>구분</v>
          </cell>
        </row>
      </sheetData>
      <sheetData sheetId="818">
        <row r="33">
          <cell r="B33" t="str">
            <v>구분</v>
          </cell>
        </row>
      </sheetData>
      <sheetData sheetId="819">
        <row r="33">
          <cell r="B33" t="str">
            <v>구분</v>
          </cell>
        </row>
      </sheetData>
      <sheetData sheetId="820">
        <row r="33">
          <cell r="B33" t="str">
            <v>구분</v>
          </cell>
        </row>
      </sheetData>
      <sheetData sheetId="821">
        <row r="33">
          <cell r="B33" t="str">
            <v>구분</v>
          </cell>
        </row>
      </sheetData>
      <sheetData sheetId="822">
        <row r="33">
          <cell r="B33" t="str">
            <v>구분</v>
          </cell>
        </row>
      </sheetData>
      <sheetData sheetId="823">
        <row r="33">
          <cell r="B33" t="str">
            <v>구분</v>
          </cell>
        </row>
      </sheetData>
      <sheetData sheetId="824">
        <row r="33">
          <cell r="B33" t="str">
            <v>구분</v>
          </cell>
        </row>
      </sheetData>
      <sheetData sheetId="825">
        <row r="33">
          <cell r="B33" t="str">
            <v>구분</v>
          </cell>
        </row>
      </sheetData>
      <sheetData sheetId="826">
        <row r="33">
          <cell r="B33" t="str">
            <v>구분</v>
          </cell>
        </row>
      </sheetData>
      <sheetData sheetId="827">
        <row r="33">
          <cell r="B33" t="str">
            <v>구분</v>
          </cell>
        </row>
      </sheetData>
      <sheetData sheetId="828">
        <row r="33">
          <cell r="B33" t="str">
            <v>구분</v>
          </cell>
        </row>
      </sheetData>
      <sheetData sheetId="829">
        <row r="33">
          <cell r="B33" t="str">
            <v>구분</v>
          </cell>
        </row>
      </sheetData>
      <sheetData sheetId="830">
        <row r="33">
          <cell r="B33" t="str">
            <v>구분</v>
          </cell>
        </row>
      </sheetData>
      <sheetData sheetId="831">
        <row r="33">
          <cell r="B33" t="str">
            <v>구분</v>
          </cell>
        </row>
      </sheetData>
      <sheetData sheetId="832" refreshError="1"/>
      <sheetData sheetId="833"/>
      <sheetData sheetId="834">
        <row r="33">
          <cell r="B33" t="str">
            <v>구분</v>
          </cell>
        </row>
      </sheetData>
      <sheetData sheetId="835">
        <row r="33">
          <cell r="B33" t="str">
            <v>구분</v>
          </cell>
        </row>
      </sheetData>
      <sheetData sheetId="836">
        <row r="33">
          <cell r="B33" t="str">
            <v>구분</v>
          </cell>
        </row>
      </sheetData>
      <sheetData sheetId="837">
        <row r="33">
          <cell r="B33" t="str">
            <v>구분</v>
          </cell>
        </row>
      </sheetData>
      <sheetData sheetId="838">
        <row r="33">
          <cell r="B33" t="str">
            <v>구분</v>
          </cell>
        </row>
      </sheetData>
      <sheetData sheetId="839">
        <row r="33">
          <cell r="B33" t="str">
            <v>구분</v>
          </cell>
        </row>
      </sheetData>
      <sheetData sheetId="840">
        <row r="33">
          <cell r="B33" t="str">
            <v>구분</v>
          </cell>
        </row>
      </sheetData>
      <sheetData sheetId="841">
        <row r="33">
          <cell r="B33" t="str">
            <v>구분</v>
          </cell>
        </row>
      </sheetData>
      <sheetData sheetId="842">
        <row r="33">
          <cell r="B33" t="str">
            <v>구분</v>
          </cell>
        </row>
      </sheetData>
      <sheetData sheetId="843">
        <row r="33">
          <cell r="B33" t="str">
            <v>구분</v>
          </cell>
        </row>
      </sheetData>
      <sheetData sheetId="844">
        <row r="33">
          <cell r="B33" t="str">
            <v>구분</v>
          </cell>
        </row>
      </sheetData>
      <sheetData sheetId="845">
        <row r="33">
          <cell r="B33" t="str">
            <v>구분</v>
          </cell>
        </row>
      </sheetData>
      <sheetData sheetId="846">
        <row r="33">
          <cell r="B33" t="str">
            <v>구분</v>
          </cell>
        </row>
      </sheetData>
      <sheetData sheetId="847">
        <row r="33">
          <cell r="B33" t="str">
            <v>구분</v>
          </cell>
        </row>
      </sheetData>
      <sheetData sheetId="848">
        <row r="33">
          <cell r="B33" t="str">
            <v>구분</v>
          </cell>
        </row>
      </sheetData>
      <sheetData sheetId="849">
        <row r="33">
          <cell r="B33" t="str">
            <v>구분</v>
          </cell>
        </row>
      </sheetData>
      <sheetData sheetId="850">
        <row r="33">
          <cell r="B33" t="str">
            <v>구분</v>
          </cell>
        </row>
      </sheetData>
      <sheetData sheetId="851">
        <row r="33">
          <cell r="B33" t="str">
            <v>구분</v>
          </cell>
        </row>
      </sheetData>
      <sheetData sheetId="852">
        <row r="33">
          <cell r="B33" t="str">
            <v>구분</v>
          </cell>
        </row>
      </sheetData>
      <sheetData sheetId="853">
        <row r="33">
          <cell r="B33" t="str">
            <v>구분</v>
          </cell>
        </row>
      </sheetData>
      <sheetData sheetId="854">
        <row r="33">
          <cell r="B33" t="str">
            <v>구분</v>
          </cell>
        </row>
      </sheetData>
      <sheetData sheetId="855">
        <row r="33">
          <cell r="B33" t="str">
            <v>구분</v>
          </cell>
        </row>
      </sheetData>
      <sheetData sheetId="856">
        <row r="33">
          <cell r="B33" t="str">
            <v>구분</v>
          </cell>
        </row>
      </sheetData>
      <sheetData sheetId="857">
        <row r="33">
          <cell r="B33" t="str">
            <v>구분</v>
          </cell>
        </row>
      </sheetData>
      <sheetData sheetId="858">
        <row r="33">
          <cell r="B33" t="str">
            <v>구분</v>
          </cell>
        </row>
      </sheetData>
      <sheetData sheetId="859">
        <row r="33">
          <cell r="B33" t="str">
            <v>구분</v>
          </cell>
        </row>
      </sheetData>
      <sheetData sheetId="860">
        <row r="33">
          <cell r="B33" t="str">
            <v>구분</v>
          </cell>
        </row>
      </sheetData>
      <sheetData sheetId="861">
        <row r="33">
          <cell r="B33" t="str">
            <v>구분</v>
          </cell>
        </row>
      </sheetData>
      <sheetData sheetId="862">
        <row r="33">
          <cell r="B33" t="str">
            <v>구분</v>
          </cell>
        </row>
      </sheetData>
      <sheetData sheetId="863">
        <row r="33">
          <cell r="B33" t="str">
            <v>구분</v>
          </cell>
        </row>
      </sheetData>
      <sheetData sheetId="864">
        <row r="33">
          <cell r="B33" t="str">
            <v>구분</v>
          </cell>
        </row>
      </sheetData>
      <sheetData sheetId="865">
        <row r="33">
          <cell r="B33" t="str">
            <v>구분</v>
          </cell>
        </row>
      </sheetData>
      <sheetData sheetId="866">
        <row r="33">
          <cell r="B33" t="str">
            <v>구분</v>
          </cell>
        </row>
      </sheetData>
      <sheetData sheetId="867">
        <row r="33">
          <cell r="B33" t="str">
            <v>구분</v>
          </cell>
        </row>
      </sheetData>
      <sheetData sheetId="868"/>
      <sheetData sheetId="869"/>
      <sheetData sheetId="870"/>
      <sheetData sheetId="871">
        <row r="33">
          <cell r="B33" t="str">
            <v>구분</v>
          </cell>
        </row>
      </sheetData>
      <sheetData sheetId="872">
        <row r="33">
          <cell r="B33" t="str">
            <v>구분</v>
          </cell>
        </row>
      </sheetData>
      <sheetData sheetId="873">
        <row r="33">
          <cell r="B33" t="str">
            <v>구분</v>
          </cell>
        </row>
      </sheetData>
      <sheetData sheetId="874">
        <row r="33">
          <cell r="B33" t="str">
            <v>구분</v>
          </cell>
        </row>
      </sheetData>
      <sheetData sheetId="875">
        <row r="33">
          <cell r="B33" t="str">
            <v>구분</v>
          </cell>
        </row>
      </sheetData>
      <sheetData sheetId="876">
        <row r="33">
          <cell r="B33" t="str">
            <v>구분</v>
          </cell>
        </row>
      </sheetData>
      <sheetData sheetId="877">
        <row r="33">
          <cell r="B33" t="str">
            <v>구분</v>
          </cell>
        </row>
      </sheetData>
      <sheetData sheetId="878"/>
      <sheetData sheetId="879">
        <row r="33">
          <cell r="B33" t="str">
            <v>구분</v>
          </cell>
        </row>
      </sheetData>
      <sheetData sheetId="880">
        <row r="33">
          <cell r="B33" t="str">
            <v>구분</v>
          </cell>
        </row>
      </sheetData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>
        <row r="33">
          <cell r="B33" t="str">
            <v>구분</v>
          </cell>
        </row>
      </sheetData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>
        <row r="33">
          <cell r="B33" t="str">
            <v>구분</v>
          </cell>
        </row>
      </sheetData>
      <sheetData sheetId="899">
        <row r="33">
          <cell r="B33" t="str">
            <v>구분</v>
          </cell>
        </row>
      </sheetData>
      <sheetData sheetId="900">
        <row r="33">
          <cell r="B33" t="str">
            <v>구분</v>
          </cell>
        </row>
      </sheetData>
      <sheetData sheetId="901"/>
      <sheetData sheetId="902">
        <row r="33">
          <cell r="B33" t="str">
            <v>구분</v>
          </cell>
        </row>
      </sheetData>
      <sheetData sheetId="903"/>
      <sheetData sheetId="904">
        <row r="33">
          <cell r="B33" t="str">
            <v>구분</v>
          </cell>
        </row>
      </sheetData>
      <sheetData sheetId="905">
        <row r="33">
          <cell r="B33" t="str">
            <v>구분</v>
          </cell>
        </row>
      </sheetData>
      <sheetData sheetId="906">
        <row r="33">
          <cell r="B33" t="str">
            <v>구분</v>
          </cell>
        </row>
      </sheetData>
      <sheetData sheetId="907">
        <row r="33">
          <cell r="B33" t="str">
            <v>구분</v>
          </cell>
        </row>
      </sheetData>
      <sheetData sheetId="908">
        <row r="33">
          <cell r="B33" t="str">
            <v>구분</v>
          </cell>
        </row>
      </sheetData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>
        <row r="33">
          <cell r="B33" t="str">
            <v>구분</v>
          </cell>
        </row>
      </sheetData>
      <sheetData sheetId="941">
        <row r="33">
          <cell r="B33" t="str">
            <v>구분</v>
          </cell>
        </row>
      </sheetData>
      <sheetData sheetId="942">
        <row r="33">
          <cell r="B33" t="str">
            <v>구분</v>
          </cell>
        </row>
      </sheetData>
      <sheetData sheetId="943">
        <row r="33">
          <cell r="B33" t="str">
            <v>구분</v>
          </cell>
        </row>
      </sheetData>
      <sheetData sheetId="944">
        <row r="33">
          <cell r="B33" t="str">
            <v>구분</v>
          </cell>
        </row>
      </sheetData>
      <sheetData sheetId="945">
        <row r="33">
          <cell r="B33" t="str">
            <v>구분</v>
          </cell>
        </row>
      </sheetData>
      <sheetData sheetId="946">
        <row r="33">
          <cell r="B33" t="str">
            <v>구분</v>
          </cell>
        </row>
      </sheetData>
      <sheetData sheetId="947">
        <row r="33">
          <cell r="B33" t="str">
            <v>구분</v>
          </cell>
        </row>
      </sheetData>
      <sheetData sheetId="948">
        <row r="33">
          <cell r="B33" t="str">
            <v>구분</v>
          </cell>
        </row>
      </sheetData>
      <sheetData sheetId="949">
        <row r="33">
          <cell r="B33" t="str">
            <v>구분</v>
          </cell>
        </row>
      </sheetData>
      <sheetData sheetId="950">
        <row r="33">
          <cell r="B33" t="str">
            <v>구분</v>
          </cell>
        </row>
      </sheetData>
      <sheetData sheetId="951"/>
      <sheetData sheetId="952">
        <row r="33">
          <cell r="B33" t="str">
            <v>구분</v>
          </cell>
        </row>
      </sheetData>
      <sheetData sheetId="953">
        <row r="33">
          <cell r="B33" t="str">
            <v>구분</v>
          </cell>
        </row>
      </sheetData>
      <sheetData sheetId="954">
        <row r="33">
          <cell r="B33" t="str">
            <v>구분</v>
          </cell>
        </row>
      </sheetData>
      <sheetData sheetId="955">
        <row r="33">
          <cell r="B33" t="str">
            <v>구분</v>
          </cell>
        </row>
      </sheetData>
      <sheetData sheetId="956" refreshError="1"/>
      <sheetData sheetId="957" refreshError="1"/>
      <sheetData sheetId="958" refreshError="1"/>
      <sheetData sheetId="959" refreshError="1"/>
      <sheetData sheetId="960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/>
      <sheetData sheetId="1016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/>
      <sheetData sheetId="1072">
        <row r="33">
          <cell r="B33" t="str">
            <v>구분</v>
          </cell>
        </row>
      </sheetData>
      <sheetData sheetId="1073">
        <row r="33">
          <cell r="B33" t="str">
            <v>구분</v>
          </cell>
        </row>
      </sheetData>
      <sheetData sheetId="1074">
        <row r="33">
          <cell r="B33" t="str">
            <v>구분</v>
          </cell>
        </row>
      </sheetData>
      <sheetData sheetId="1075">
        <row r="33">
          <cell r="B33" t="str">
            <v>구분</v>
          </cell>
        </row>
      </sheetData>
      <sheetData sheetId="1076">
        <row r="33">
          <cell r="B33" t="str">
            <v>구분</v>
          </cell>
        </row>
      </sheetData>
      <sheetData sheetId="1077">
        <row r="33">
          <cell r="B33" t="str">
            <v>구분</v>
          </cell>
        </row>
      </sheetData>
      <sheetData sheetId="1078">
        <row r="33">
          <cell r="B33" t="str">
            <v>구분</v>
          </cell>
        </row>
      </sheetData>
      <sheetData sheetId="1079">
        <row r="33">
          <cell r="B33" t="str">
            <v>구분</v>
          </cell>
        </row>
      </sheetData>
      <sheetData sheetId="1080">
        <row r="33">
          <cell r="B33" t="str">
            <v>구분</v>
          </cell>
        </row>
      </sheetData>
      <sheetData sheetId="1081">
        <row r="33">
          <cell r="B33" t="str">
            <v>구분</v>
          </cell>
        </row>
      </sheetData>
      <sheetData sheetId="1082">
        <row r="33">
          <cell r="B33" t="str">
            <v>구분</v>
          </cell>
        </row>
      </sheetData>
      <sheetData sheetId="1083">
        <row r="33">
          <cell r="B33" t="str">
            <v>구분</v>
          </cell>
        </row>
      </sheetData>
      <sheetData sheetId="1084">
        <row r="33">
          <cell r="B33" t="str">
            <v>구분</v>
          </cell>
        </row>
      </sheetData>
      <sheetData sheetId="1085">
        <row r="33">
          <cell r="B33" t="str">
            <v>구분</v>
          </cell>
        </row>
      </sheetData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>
        <row r="33">
          <cell r="B33" t="str">
            <v>구분</v>
          </cell>
        </row>
      </sheetData>
      <sheetData sheetId="1196"/>
      <sheetData sheetId="1197"/>
      <sheetData sheetId="1198" refreshError="1"/>
      <sheetData sheetId="1199" refreshError="1"/>
      <sheetData sheetId="1200">
        <row r="33">
          <cell r="B33" t="str">
            <v>구분</v>
          </cell>
        </row>
      </sheetData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VXXXXXXXXXXXXXXXXXXXXXXXX"/>
      <sheetName val="협력작업"/>
      <sheetName val="합손"/>
      <sheetName val="손익"/>
      <sheetName val="건설수입"/>
      <sheetName val="부문손익"/>
      <sheetName val="총원가"/>
      <sheetName val="감가상각"/>
      <sheetName val="결산대체"/>
      <sheetName val="인건비"/>
      <sheetName val="98월비용"/>
      <sheetName val="손익1"/>
      <sheetName val="실적"/>
      <sheetName val="합산손익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VXXXXXXXXXXXXXXXXXXXXXXXX"/>
      <sheetName val="협력작업"/>
      <sheetName val="합손"/>
      <sheetName val="손익"/>
      <sheetName val="건설수입"/>
      <sheetName val="부문손익"/>
      <sheetName val="총원가"/>
      <sheetName val="감가상각"/>
      <sheetName val="결산대체"/>
      <sheetName val="인건비"/>
      <sheetName val="98월비용"/>
      <sheetName val="손익1"/>
      <sheetName val="실적"/>
      <sheetName val="합산손익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e"/>
      <sheetName val="환"/>
      <sheetName val=" 견적서"/>
      <sheetName val="Input"/>
      <sheetName val="국외감가상각내역0103"/>
      <sheetName val="합손"/>
    </sheetNames>
    <sheetDataSet>
      <sheetData sheetId="0" refreshError="1">
        <row r="1">
          <cell r="A1">
            <v>790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SPL"/>
      <sheetName val="시산표"/>
      <sheetName val="금융부채"/>
      <sheetName val="비용"/>
      <sheetName val="원가"/>
      <sheetName val="요약재무"/>
      <sheetName val="요약손익"/>
      <sheetName val="사업별"/>
      <sheetName val="사업장별"/>
      <sheetName val="표지"/>
      <sheetName val="grap"/>
      <sheetName val="공사원가"/>
      <sheetName val="잉여금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SPL"/>
      <sheetName val="시산표"/>
      <sheetName val="용도별수요격차"/>
      <sheetName val="개황"/>
      <sheetName val="긴축실적 (2분기)"/>
      <sheetName val="외화계약"/>
      <sheetName val="건설중인자산(기타)"/>
      <sheetName val="부가세신고자료"/>
      <sheetName val="재무제표"/>
      <sheetName val="00~09 세대수(Actual)"/>
      <sheetName val="Sheet1"/>
      <sheetName val="현재"/>
      <sheetName val="첨부5. 01~06 Sales Volume(Actual)"/>
      <sheetName val="2006 Budget 대비"/>
      <sheetName val="BRAKE"/>
      <sheetName val="손익계산서(2월누계)"/>
      <sheetName val="손익계산서(2월)"/>
      <sheetName val="매출원가명세서(2월누계)"/>
      <sheetName val="매출원가명세서(2월)"/>
      <sheetName val="대차대조표"/>
      <sheetName val="손익계산서(1월)"/>
      <sheetName val="매출원가명세서(1월)"/>
      <sheetName val="INFO"/>
      <sheetName val="BS"/>
      <sheetName val="지분법평가"/>
      <sheetName val="수입"/>
      <sheetName val="BS99"/>
      <sheetName val="backdata"/>
      <sheetName val="매월결산"/>
      <sheetName val="매월결산 (석탑반영)"/>
      <sheetName val="Sheet2"/>
      <sheetName val="매월결산 (감사제시확정)"/>
      <sheetName val="부서직접비"/>
      <sheetName val="부재료재고"/>
      <sheetName val="재공품"/>
      <sheetName val="HOT MELT원재료"/>
      <sheetName val="제품재고"/>
      <sheetName val="공사건별집계표"/>
      <sheetName val="PL"/>
      <sheetName val="MC"/>
      <sheetName val="BS(1)"/>
      <sheetName val="BS (2003)"/>
      <sheetName val="중요성기준"/>
      <sheetName val="CF"/>
      <sheetName val="정산표BS(2003)"/>
      <sheetName val="정산표(IS)2003"/>
      <sheetName val="정산표PL(2003)"/>
      <sheetName val="외화평가"/>
      <sheetName val="Other Assets leadersheet"/>
      <sheetName val="Fixed Assets leadersheet"/>
      <sheetName val="Current Liabilities"/>
      <sheetName val="손익계산서"/>
      <sheetName val="판관.비용수익"/>
      <sheetName val="3.잉여금처분O"/>
      <sheetName val="4.현금흐름"/>
      <sheetName val="1.대차대조표"/>
      <sheetName val="2.손익계산서"/>
      <sheetName val="합계잔액"/>
      <sheetName val="58.제조원가"/>
      <sheetName val="81.전기대비추세표"/>
      <sheetName val="BS합산"/>
      <sheetName val="대차"/>
      <sheetName val="손익"/>
      <sheetName val="제조원가"/>
      <sheetName val="소제목"/>
      <sheetName val="9월현금등가물"/>
      <sheetName val="12월현금"/>
      <sheetName val="12월당좌예금"/>
      <sheetName val="12월보통예금"/>
      <sheetName val="12월외화예금"/>
      <sheetName val="9월단기금융상품"/>
      <sheetName val="9월유가증권"/>
      <sheetName val="9월외상매출"/>
      <sheetName val="실외상매출"/>
      <sheetName val="9월받을어음"/>
      <sheetName val="12월할인어음"/>
      <sheetName val="9월부도어음"/>
      <sheetName val="12월대손충당금"/>
      <sheetName val="9월미수금"/>
      <sheetName val="9월미수수익"/>
      <sheetName val="9월선급금"/>
      <sheetName val="6월가지급금"/>
      <sheetName val="9월선급비용"/>
      <sheetName val="9월선급법인세"/>
      <sheetName val="12월재고자산"/>
      <sheetName val="제품수불"/>
      <sheetName val="원재료수불"/>
      <sheetName val="9월미착원재료"/>
      <sheetName val="9월투자유가증권"/>
      <sheetName val="9월장기금융상품"/>
      <sheetName val="9월장기대여금"/>
      <sheetName val="9월임차보증금"/>
      <sheetName val="6월이연법인세차"/>
      <sheetName val="12월단기대여금"/>
      <sheetName val="01기타의투자자산"/>
      <sheetName val="6월유형자산"/>
      <sheetName val="9월건물(정액)"/>
      <sheetName val="9월구축물(정액)"/>
      <sheetName val="9월기계장치(정율)"/>
      <sheetName val="9월차량운반구(정율)"/>
      <sheetName val="3월시설장치"/>
      <sheetName val="9월공구와기구(정율)"/>
      <sheetName val="9월집기비품(정율)"/>
      <sheetName val="9월창업비"/>
      <sheetName val="당좌차월09"/>
      <sheetName val="9월개발비"/>
      <sheetName val="9월특허권"/>
      <sheetName val="6월매입채무"/>
      <sheetName val="9월외상매입"/>
      <sheetName val="9월지급어음"/>
      <sheetName val="9월단기차입금명세서"/>
      <sheetName val="9월당좌차월명세서"/>
      <sheetName val="9월일반대출금명세서"/>
      <sheetName val="9월구매자금차입금명세서"/>
      <sheetName val="9월단기차입금"/>
      <sheetName val="9월미지급금"/>
      <sheetName val="6월선수금"/>
      <sheetName val="9월예수금"/>
      <sheetName val="9월미지급비용"/>
      <sheetName val="12월가수금"/>
      <sheetName val="2000미지급법인세"/>
      <sheetName val="12월미지급배당금"/>
      <sheetName val="9월유동성장기부채"/>
      <sheetName val="9월전환사채"/>
      <sheetName val="9월장기미지급이자"/>
      <sheetName val="9월장기차입금"/>
      <sheetName val="9월퇴직충당"/>
      <sheetName val="9월국민연금전환금"/>
      <sheetName val="미지급부가세09"/>
      <sheetName val="6월자본금명세"/>
      <sheetName val="6월주식발행초과금"/>
      <sheetName val="6월기타자본잉여금 "/>
      <sheetName val="6월이익잉여금 "/>
      <sheetName val="6월자본조정"/>
      <sheetName val="12월매출액명세서"/>
      <sheetName val="판관비명세"/>
      <sheetName val="12월영업외수익명세"/>
      <sheetName val="영업외비용명세"/>
      <sheetName val="차입금상환일정표"/>
      <sheetName val="XXXXXX"/>
      <sheetName val="발견사항"/>
      <sheetName val="발견사항 (2)"/>
      <sheetName val="FINDING"/>
      <sheetName val="WBS"/>
      <sheetName val="WPL "/>
      <sheetName val="이익잉여금"/>
      <sheetName val="매출액명세서"/>
      <sheetName val="제조원가명세서 "/>
      <sheetName val="정산표"/>
      <sheetName val="PL0430연금통합제시"/>
      <sheetName val="BS0430연금통합제시"/>
      <sheetName val="금융부채"/>
      <sheetName val="비용"/>
      <sheetName val="원가"/>
      <sheetName val="요약재무"/>
      <sheetName val="요약손익"/>
      <sheetName val="사업별"/>
      <sheetName val="사업장별"/>
      <sheetName val="표지"/>
      <sheetName val="grap"/>
      <sheetName val="공사원가"/>
      <sheetName val="잉여금"/>
      <sheetName val="보증금(전신전화가입권)"/>
      <sheetName val="첨부1"/>
      <sheetName val="명단"/>
      <sheetName val="채권(하반기)"/>
      <sheetName val="KUNGDEVI"/>
      <sheetName val="Variables"/>
      <sheetName val="A-100전제"/>
      <sheetName val="외주수리비"/>
      <sheetName val="합손"/>
      <sheetName val="96갑지"/>
      <sheetName val="01"/>
      <sheetName val="국산화"/>
      <sheetName val="Sheet1 (2)"/>
      <sheetName val="10월 급여"/>
      <sheetName val="8100"/>
      <sheetName val="09.1분기실적"/>
      <sheetName val="만기"/>
      <sheetName val="감사일어"/>
      <sheetName val="이자수익 명세"/>
      <sheetName val="rate"/>
      <sheetName val="재고AR"/>
      <sheetName val="서울재고"/>
      <sheetName val="외화금융(97-03)"/>
      <sheetName val="INMD1198"/>
      <sheetName val="Korea"/>
      <sheetName val="G4"/>
      <sheetName val="인쇄BS"/>
      <sheetName val="HERO01"/>
      <sheetName val="받을어음"/>
      <sheetName val="ED DS"/>
      <sheetName val="ED DT"/>
      <sheetName val="RE9604"/>
      <sheetName val="최종중간기간성과"/>
      <sheetName val=" 견적서"/>
      <sheetName val="F1,2"/>
      <sheetName val="합계잔액(1)"/>
      <sheetName val="합계잔액 (2)"/>
      <sheetName val="잉여금처분"/>
      <sheetName val="PL (3)"/>
      <sheetName val="MC (3)"/>
      <sheetName val="BS1"/>
      <sheetName val="BS2"/>
      <sheetName val="WTB"/>
      <sheetName val="F-4"/>
      <sheetName val="F-5"/>
      <sheetName val="2262"/>
      <sheetName val="2262-10"/>
      <sheetName val="WTB-BS"/>
      <sheetName val="WTB-IS"/>
      <sheetName val="1.BS"/>
      <sheetName val="2.PL"/>
      <sheetName val="3.제조"/>
      <sheetName val="4.이익"/>
      <sheetName val="24.보증금(전신전화가입권)"/>
      <sheetName val="비품"/>
      <sheetName val="완성차 미수금"/>
      <sheetName val="Sheet3"/>
      <sheetName val="사내수급"/>
      <sheetName val="설정"/>
      <sheetName val="PUC명"/>
      <sheetName val="단가"/>
      <sheetName val="환율"/>
      <sheetName val="XREF"/>
      <sheetName val="분석(품목)"/>
      <sheetName val="FACTOR"/>
      <sheetName val="118.세금과공과"/>
      <sheetName val="MAT"/>
      <sheetName val="최종조정"/>
      <sheetName val="Res"/>
      <sheetName val="Bal"/>
      <sheetName val="실행계획"/>
      <sheetName val="出口合同"/>
      <sheetName val=""/>
      <sheetName val="BS정산표"/>
      <sheetName val="A.현금"/>
      <sheetName val="T6-6(7)"/>
      <sheetName val="T6-6(6)"/>
      <sheetName val="laroux"/>
      <sheetName val="JSP01"/>
      <sheetName val="공통"/>
      <sheetName val="7 (2)"/>
      <sheetName val="원본"/>
      <sheetName val="Krw"/>
      <sheetName val="공표손익"/>
      <sheetName val="aola"/>
      <sheetName val="aola_2"/>
      <sheetName val="aola_3"/>
      <sheetName val="aola_4"/>
      <sheetName val="aola_5"/>
      <sheetName val="aola_6"/>
      <sheetName val="aola_7"/>
      <sheetName val="aola_8"/>
      <sheetName val="aola_9"/>
      <sheetName val="aola_10"/>
      <sheetName val="aola_11"/>
      <sheetName val="aola_12"/>
      <sheetName val="aola_13"/>
      <sheetName val="aola_14"/>
      <sheetName val="aola_15"/>
      <sheetName val="aola_16"/>
      <sheetName val="aola_17"/>
      <sheetName val="aola_18"/>
      <sheetName val="aola_19"/>
      <sheetName val="aola_20"/>
      <sheetName val="aola_21"/>
      <sheetName val="aola_22"/>
      <sheetName val="목차"/>
      <sheetName val="목차 (2)"/>
      <sheetName val="목차(1)"/>
      <sheetName val="1-1"/>
      <sheetName val="1-2"/>
      <sheetName val="1-3"/>
      <sheetName val="1-4"/>
      <sheetName val="1-5"/>
      <sheetName val="1-6"/>
      <sheetName val="1-7"/>
      <sheetName val="1-8"/>
      <sheetName val="1-9"/>
      <sheetName val="1-10"/>
      <sheetName val="1-11"/>
      <sheetName val="DATASHT2"/>
      <sheetName val="Test"/>
      <sheetName val="Bs. de Uso 2002"/>
      <sheetName val="prov locales"/>
      <sheetName val="진행률기표"/>
      <sheetName val="환율표(12월)"/>
      <sheetName val="공정가치"/>
      <sheetName val="지상1층상가면적표"/>
      <sheetName val="지상2층상가면적표"/>
      <sheetName val="층별용도별면적표"/>
      <sheetName val="95TOTREV"/>
      <sheetName val="당좌차월"/>
      <sheetName val="AT"/>
      <sheetName val="B777"/>
      <sheetName val="신공항"/>
      <sheetName val="정비재료비"/>
      <sheetName val="지상조업료"/>
      <sheetName val="JJ"/>
      <sheetName val="잡유비"/>
      <sheetName val="MA"/>
      <sheetName val="계류장사용료"/>
      <sheetName val="ME"/>
      <sheetName val="MF"/>
      <sheetName val="MI"/>
      <sheetName val="MT"/>
      <sheetName val="QA"/>
      <sheetName val="#REF"/>
      <sheetName val="TaxCalc"/>
      <sheetName val="기초자료(20010831)"/>
      <sheetName val="전행순위"/>
      <sheetName val="Ⅰ-1"/>
      <sheetName val="주요비율-낙관"/>
      <sheetName val="별제권_정리담보권1"/>
      <sheetName val="PL98"/>
      <sheetName val="01_tool"/>
      <sheetName val="Scenario"/>
      <sheetName val="Borrower"/>
      <sheetName val="Index"/>
      <sheetName val="국외감가상각내역0103"/>
      <sheetName val="STC3"/>
      <sheetName val="본부예산"/>
      <sheetName val="Ⅱ1-0타"/>
      <sheetName val="0930PLENG"/>
      <sheetName val="감독1130"/>
      <sheetName val="년"/>
      <sheetName val="현금예금"/>
      <sheetName val="SUMMARY"/>
      <sheetName val="품의서"/>
      <sheetName val="기안"/>
      <sheetName val="2차-PROTO-(1)"/>
      <sheetName val="제조원가명세서"/>
      <sheetName val="Macro3"/>
      <sheetName val="AGING"/>
      <sheetName val="인력(정규직)"/>
      <sheetName val="페이지"/>
      <sheetName val="회사정보"/>
      <sheetName val="Customer List"/>
      <sheetName val="Supply List"/>
      <sheetName val="합계잔액시산표"/>
      <sheetName val="재무상태표"/>
      <sheetName val="이익잉여금처분계산서"/>
      <sheetName val="sisan"/>
      <sheetName val="TCA"/>
      <sheetName val="Calcs for Sensitivy"/>
      <sheetName val="DCF Inputs"/>
      <sheetName val="제조"/>
      <sheetName val="99사업소득정산"/>
      <sheetName val="dartBS"/>
      <sheetName val="B4.1"/>
      <sheetName val="dartIS"/>
      <sheetName val="B4.2"/>
      <sheetName val="PL (2)"/>
      <sheetName val="TB"/>
      <sheetName val="부채계정"/>
      <sheetName val="현장실사결과요약"/>
      <sheetName val="전체"/>
      <sheetName val="WELDING"/>
      <sheetName val="1.외주공사"/>
      <sheetName val="LEAD-WBS"/>
      <sheetName val="경비공통"/>
      <sheetName val="협조전"/>
      <sheetName val="영업.일1"/>
      <sheetName val="Assumptions"/>
      <sheetName val="TEMP"/>
      <sheetName val="JA"/>
      <sheetName val="제조98"/>
      <sheetName val="인건비예산(정규직)"/>
      <sheetName val="인건비예산(용역)"/>
      <sheetName val="수불부"/>
      <sheetName val="계정명세"/>
      <sheetName val="admin"/>
      <sheetName val="실행철강하도"/>
      <sheetName val="M1master"/>
      <sheetName val="수정분개"/>
      <sheetName val="받check"/>
      <sheetName val="단기대여금"/>
      <sheetName val="보증금"/>
      <sheetName val="비교"/>
      <sheetName val="control sheet"/>
      <sheetName val="TABLE"/>
      <sheetName val="취득"/>
      <sheetName val="은행"/>
      <sheetName val="노동부"/>
      <sheetName val="항목(1)"/>
      <sheetName val="월별재고예상(감량전)"/>
      <sheetName val="A-LINE"/>
      <sheetName val="BM_NEW2"/>
      <sheetName val="LCGRAPH"/>
      <sheetName val="F-1,2"/>
      <sheetName val="수정시산표"/>
      <sheetName val="Balance sheet"/>
      <sheetName val="00~09_세대수(Actual)"/>
      <sheetName val="긴축실적_(2분기)"/>
      <sheetName val="첨부5__01~06_Sales_Volume(Actual)"/>
      <sheetName val="2006_Budget_대비"/>
      <sheetName val="매월결산_(석탑반영)"/>
      <sheetName val="매월결산_(감사제시확정)"/>
      <sheetName val="HOT_MELT원재료"/>
      <sheetName val="BS_(2003)"/>
      <sheetName val="Other_Assets_leadersheet"/>
      <sheetName val="Fixed_Assets_leadersheet"/>
      <sheetName val="Current_Liabilities"/>
      <sheetName val="판관_비용수익"/>
      <sheetName val="3_잉여금처분O"/>
      <sheetName val="4_현금흐름"/>
      <sheetName val="1_대차대조표"/>
      <sheetName val="2_손익계산서"/>
      <sheetName val="58_제조원가"/>
      <sheetName val="81_전기대비추세표"/>
      <sheetName val="6월기타자본잉여금_"/>
      <sheetName val="6월이익잉여금_"/>
      <sheetName val="발견사항_(2)"/>
      <sheetName val="WPL_"/>
      <sheetName val="제조원가명세서_"/>
      <sheetName val="Sheet1_(2)"/>
      <sheetName val="10월_급여"/>
      <sheetName val="은행계정"/>
      <sheetName val="고자현황"/>
      <sheetName val="현금흐름표"/>
      <sheetName val="가수금대체"/>
      <sheetName val="대비"/>
      <sheetName val="감가상각"/>
      <sheetName val="9-1차이내역"/>
      <sheetName val="일반관리비"/>
      <sheetName val="영업.일"/>
      <sheetName val="선급미지급비용"/>
      <sheetName val="sh1"/>
      <sheetName val="sh2"/>
      <sheetName val="sh3"/>
      <sheetName val="물량투입계획"/>
      <sheetName val="상품원가피벗"/>
      <sheetName val="①매출"/>
      <sheetName val="내외국인총괄"/>
      <sheetName val="년도별"/>
      <sheetName val="과정별"/>
      <sheetName val="sm"/>
      <sheetName val="판매2팀"/>
      <sheetName val="항목등록"/>
      <sheetName val="보정전BS"/>
      <sheetName val="보정전PL"/>
      <sheetName val="전산각주"/>
      <sheetName val="각주"/>
      <sheetName val="수정"/>
      <sheetName val="보정후BS"/>
      <sheetName val="Net PL"/>
      <sheetName val="정산samfile"/>
      <sheetName val="종수"/>
      <sheetName val="수기평가자료_해외분"/>
      <sheetName val="수기평가자료"/>
      <sheetName val="수기보정자료"/>
      <sheetName val="보정samfile"/>
      <sheetName val="보정전BS(세분류)"/>
      <sheetName val="보정전BS(세분류)-본지점수정전"/>
      <sheetName val="보정전BS(소분류)"/>
      <sheetName val="보정전PL(세분류)"/>
      <sheetName val="보정전PL(소분류)"/>
      <sheetName val="보정후BS(세분류)"/>
      <sheetName val="보정후BS(소분류)"/>
      <sheetName val="Net PL(세분류)"/>
      <sheetName val="Net PL(소분류)"/>
      <sheetName val="본봉표"/>
      <sheetName val="직원신상"/>
      <sheetName val="대차대조표(수정)"/>
      <sheetName val="비교대차"/>
      <sheetName val="손익계산서(수정)"/>
      <sheetName val="비교손익"/>
      <sheetName val="시산표1차"/>
      <sheetName val="시산표2차 "/>
      <sheetName val="일계표"/>
      <sheetName val="비교대차  (1)"/>
      <sheetName val="손익결산  (1)"/>
      <sheetName val="비교대차  (2)"/>
      <sheetName val="손익결산  (2)"/>
      <sheetName val="시산결산 (2)"/>
      <sheetName val="결손금처분"/>
      <sheetName val="세무조정(간략)"/>
      <sheetName val="기초코드"/>
      <sheetName val="개시전표"/>
      <sheetName val="공사집계"/>
      <sheetName val="경제성분석"/>
      <sheetName val="지역별약정(당일)"/>
      <sheetName val="일위대가(여기까지)"/>
      <sheetName val="F4-F7"/>
      <sheetName val="세무서코드"/>
      <sheetName val="0001new"/>
      <sheetName val="내역서"/>
      <sheetName val="충당금"/>
      <sheetName val="CoA map"/>
      <sheetName val="매출채권"/>
      <sheetName val="매입채무"/>
      <sheetName val="반기_유가증권"/>
      <sheetName val="00'미수"/>
      <sheetName val="Update"/>
      <sheetName val="P&amp;L"/>
      <sheetName val="수량산출"/>
      <sheetName val="6월추가불출"/>
      <sheetName val="예산계획"/>
      <sheetName val="점유면적"/>
      <sheetName val="대외공문"/>
      <sheetName val="지보1_98"/>
      <sheetName val="환산"/>
      <sheetName val="__"/>
      <sheetName val="비목계산"/>
      <sheetName val="MSC_PBA"/>
      <sheetName val="Sheet5(실지급)"/>
      <sheetName val="재료비"/>
      <sheetName val="PG사업 탄내배선 소요자재명세서"/>
      <sheetName val="재료비(하모닉필터)"/>
      <sheetName val="AAVR-IL"/>
      <sheetName val="MatchCode"/>
      <sheetName val="20v956TB82 추가 국산품목록"/>
      <sheetName val="소요예산 집계표"/>
      <sheetName val="CALENDAR"/>
      <sheetName val="통계자료"/>
      <sheetName val="97손익계획"/>
      <sheetName val="MACRO1.XLM"/>
      <sheetName val="QDaccdil"/>
      <sheetName val="Macro4"/>
      <sheetName val="임율총괄"/>
      <sheetName val="10월판관"/>
      <sheetName val="공사비지급"/>
      <sheetName val="HB"/>
      <sheetName val=" PLENG"/>
      <sheetName val="GA"/>
      <sheetName val="주관사업"/>
      <sheetName val="MacroA"/>
      <sheetName val="정의"/>
      <sheetName val="0096판보"/>
      <sheetName val="고정자산-회사제시"/>
      <sheetName val="품의"/>
      <sheetName val="S&amp;D (2)"/>
      <sheetName val="9609Aß"/>
      <sheetName val="HSA"/>
      <sheetName val="region"/>
      <sheetName val="Financials"/>
      <sheetName val="Assign"/>
      <sheetName val="A (3)"/>
      <sheetName val="Active"/>
      <sheetName val="knoc_et"/>
      <sheetName val="TEMP1"/>
      <sheetName val="업무분장 "/>
      <sheetName val="301  금성근"/>
      <sheetName val="A2"/>
      <sheetName val="A1"/>
      <sheetName val="주요재무비율"/>
      <sheetName val="mm10"/>
      <sheetName val="시실누(모) "/>
      <sheetName val="현우실적"/>
      <sheetName val="일반"/>
      <sheetName val="F12"/>
      <sheetName val="F3"/>
      <sheetName val="F6"/>
      <sheetName val="BPR"/>
      <sheetName val="경영지표1"/>
      <sheetName val="CFS-2기"/>
      <sheetName val="이익잉여금계산서"/>
      <sheetName val="합잔"/>
      <sheetName val="BS증감"/>
      <sheetName val="PL증감"/>
      <sheetName val="제조원가증감"/>
      <sheetName val="인화권"/>
      <sheetName val="Tickmarks"/>
      <sheetName val="용역수입원가"/>
      <sheetName val="경상개발비"/>
      <sheetName val="잉여금명세서"/>
      <sheetName val="손익계산서(제출)"/>
      <sheetName val="손익계산서 (2)"/>
      <sheetName val="손익계산서(세부)"/>
      <sheetName val="공구기구"/>
      <sheetName val="이자율"/>
      <sheetName val="표건"/>
      <sheetName val="현장별미수"/>
      <sheetName val="과"/>
      <sheetName val="공통가설"/>
      <sheetName val="미착기계"/>
      <sheetName val="Input"/>
      <sheetName val="이자수익1"/>
      <sheetName val="부재료입고집계"/>
      <sheetName val="OtherKPI"/>
      <sheetName val="09_1분기실적"/>
      <sheetName val="118_세금과공과"/>
      <sheetName val="계정code"/>
      <sheetName val="수입원가(원료)"/>
      <sheetName val="수입원가(첨가제)"/>
      <sheetName val="ins"/>
      <sheetName val="Property"/>
      <sheetName val="공수견적"/>
      <sheetName val="01_성적표"/>
      <sheetName val="DSL"/>
      <sheetName val="B"/>
      <sheetName val="특정현금과예금"/>
      <sheetName val="당좌예금"/>
      <sheetName val="K55BOM"/>
      <sheetName val="C"/>
      <sheetName val="MACRO2"/>
      <sheetName val="유효성검사"/>
      <sheetName val="업무분장_"/>
      <sheetName val="Template"/>
      <sheetName val="현금"/>
      <sheetName val="LTEURPSY"/>
      <sheetName val="199-0150"/>
      <sheetName val="지급보증금74"/>
      <sheetName val="LTFX"/>
      <sheetName val="수도"/>
      <sheetName val="수도종합"/>
      <sheetName val="목차_(2)"/>
      <sheetName val="Training"/>
      <sheetName val="Facility Information"/>
      <sheetName val="General"/>
      <sheetName val="Instructions"/>
      <sheetName val="People"/>
      <sheetName val="Quality"/>
      <sheetName val="Risk"/>
      <sheetName val="Tool"/>
      <sheetName val="출퇴근"/>
      <sheetName val="업무분장"/>
      <sheetName val="영업_일1"/>
      <sheetName val="영업_일"/>
      <sheetName val="목차_(2)1"/>
      <sheetName val="영업_일11"/>
      <sheetName val="영업_일2"/>
      <sheetName val="매월결산_(석탑반영)1"/>
      <sheetName val="매월결산_(감사제시확정)1"/>
      <sheetName val="금액내역서"/>
      <sheetName val="장기차입금"/>
      <sheetName val="97년추정손익계산서"/>
      <sheetName val="범례"/>
      <sheetName val="Usd"/>
      <sheetName val="3-4현"/>
      <sheetName val="3-3현"/>
      <sheetName val="당연"/>
      <sheetName val="국내진행95년이전"/>
      <sheetName val="경영비율 "/>
      <sheetName val="관세"/>
      <sheetName val="8월현금흐름표"/>
      <sheetName val="2001급여"/>
      <sheetName val="손익합산"/>
      <sheetName val="소계정"/>
      <sheetName val="직급"/>
      <sheetName val="직무"/>
      <sheetName val="변동"/>
      <sheetName val="Pivot_직무상세"/>
      <sheetName val="Pivot_직무"/>
      <sheetName val="Pivot_직급"/>
      <sheetName val="insa_tmp"/>
      <sheetName val="내수충당금"/>
      <sheetName val="기계경비(시간당)"/>
      <sheetName val="램머"/>
      <sheetName val="보조부문비배부"/>
      <sheetName val="합천내역"/>
      <sheetName val="A"/>
      <sheetName val="7_(2)"/>
      <sheetName val="완성차_미수금"/>
      <sheetName val="Net_PL"/>
      <sheetName val="Net_PL(세분류)"/>
      <sheetName val="Net_PL(소분류)"/>
      <sheetName val="Panel Graphs"/>
      <sheetName val="99구축"/>
      <sheetName val="적용환율"/>
      <sheetName val="Leasing"/>
      <sheetName val="product_base"/>
      <sheetName val="Control"/>
      <sheetName val="CAUDIT"/>
      <sheetName val="Lead"/>
      <sheetName val="사업개황1"/>
      <sheetName val="결손금처리(안)"/>
      <sheetName val="4.경비 5.영업외수지"/>
      <sheetName val="Inv. LS"/>
      <sheetName val="YOEMAGUM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/>
      <sheetData sheetId="237"/>
      <sheetData sheetId="238"/>
      <sheetData sheetId="239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/>
      <sheetData sheetId="330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/>
      <sheetData sheetId="341"/>
      <sheetData sheetId="342"/>
      <sheetData sheetId="343" refreshError="1"/>
      <sheetData sheetId="344" refreshError="1"/>
      <sheetData sheetId="345" refreshError="1"/>
      <sheetData sheetId="346" refreshError="1"/>
      <sheetData sheetId="347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/>
      <sheetData sheetId="390" refreshError="1"/>
      <sheetData sheetId="391" refreshError="1"/>
      <sheetData sheetId="392" refreshError="1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/>
      <sheetData sheetId="454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/>
      <sheetData sheetId="552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/>
      <sheetData sheetId="565"/>
      <sheetData sheetId="566"/>
      <sheetData sheetId="567"/>
      <sheetData sheetId="568"/>
      <sheetData sheetId="569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/>
      <sheetData sheetId="582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/>
      <sheetData sheetId="641"/>
      <sheetData sheetId="642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/>
      <sheetData sheetId="654"/>
      <sheetData sheetId="655"/>
      <sheetData sheetId="656"/>
      <sheetData sheetId="657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/>
      <sheetData sheetId="668" refreshError="1"/>
      <sheetData sheetId="669" refreshError="1"/>
      <sheetData sheetId="67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S"/>
      <sheetName val="DISC"/>
      <sheetName val="1.차입금사채명세"/>
      <sheetName val="2.차입금상환계획"/>
      <sheetName val="3.미지급이자"/>
      <sheetName val="4.이자비용OT"/>
      <sheetName val="사채할인발행차금상각(1분기)"/>
      <sheetName val="사채상각(글로벌04-1)"/>
      <sheetName val="사채상각(글로벌05-1)"/>
      <sheetName val="사채상각(동서채04-1)"/>
      <sheetName val="사채상각(동서채04-2)"/>
      <sheetName val="사채상각(동서채05-1)"/>
      <sheetName val="사채상각(동서채05-2)"/>
      <sheetName val="사채상각(동서채05-3)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시산표"/>
      <sheetName val="수주추정"/>
      <sheetName val="원가"/>
      <sheetName val="정의"/>
      <sheetName val="년간데이타"/>
      <sheetName val="참조"/>
      <sheetName val="2합"/>
      <sheetName val="계정code"/>
      <sheetName val="data"/>
      <sheetName val="F3"/>
      <sheetName val="F1,2"/>
      <sheetName val="합손"/>
      <sheetName val="24.보증금(전신전화가입권)"/>
      <sheetName val="control"/>
      <sheetName val="고상실행"/>
      <sheetName val="계약금액"/>
      <sheetName val="매출환산"/>
      <sheetName val="진행율"/>
      <sheetName val="신조수금(매출책정)"/>
      <sheetName val="PL2(누계)"/>
      <sheetName val="PL2(기초자료)"/>
      <sheetName val="보조부문비배부"/>
      <sheetName val="페이지"/>
      <sheetName val="손익분기점 데이터"/>
      <sheetName val="97기말-재무제표"/>
      <sheetName val="Master"/>
      <sheetName val="지급어음(일별)"/>
      <sheetName val="99선급비용"/>
      <sheetName val="2000제조1"/>
      <sheetName val="H11"/>
      <sheetName val="회사정보"/>
      <sheetName val="Menu_Link"/>
      <sheetName val="외화계약"/>
      <sheetName val="누적"/>
      <sheetName val="정산표"/>
      <sheetName val="민감도"/>
      <sheetName val="현금흐름표"/>
      <sheetName val="미지급금"/>
      <sheetName val="삼호중공업"/>
      <sheetName val="계정잔액"/>
      <sheetName val="공무부"/>
      <sheetName val="매채조회"/>
      <sheetName val="비용항목"/>
      <sheetName val="scale &amp; Income"/>
      <sheetName val="청천내"/>
      <sheetName val="손익계산서 raw data"/>
      <sheetName val="손익내역전년"/>
      <sheetName val="단가및재료비"/>
      <sheetName val="24_보증금(전신전화가입권)"/>
      <sheetName val="유형자산LS"/>
      <sheetName val="2140 "/>
      <sheetName val="성적표96"/>
      <sheetName val="설계내역서"/>
      <sheetName val="충전"/>
      <sheetName val="합천내역"/>
      <sheetName val="수입2"/>
      <sheetName val="공구비품"/>
      <sheetName val="기계장치"/>
      <sheetName val="임차시설"/>
      <sheetName val="차량운반구"/>
      <sheetName val="FSHPL"/>
      <sheetName val="公司別"/>
      <sheetName val="118.세금과공과"/>
      <sheetName val="108.수선비"/>
      <sheetName val="급여대장(관리)"/>
      <sheetName val="SUM"/>
      <sheetName val="환율시트"/>
      <sheetName val="계정과목"/>
      <sheetName val="부문손익"/>
      <sheetName val="한세A4PL"/>
      <sheetName val="시산0612"/>
      <sheetName val="B(기초자료)"/>
      <sheetName val="대충,감충(기초자료)"/>
      <sheetName val="설비사양서B-1"/>
      <sheetName val="COBS"/>
      <sheetName val="HD01"/>
      <sheetName val="구입내역"/>
      <sheetName val="업체개요"/>
      <sheetName val="KIS신용평점"/>
      <sheetName val="기본자료"/>
      <sheetName val="재무비율"/>
      <sheetName val="손익계산서"/>
      <sheetName val="대차대조표"/>
      <sheetName val="계획시간"/>
      <sheetName val="LS"/>
      <sheetName val="월별수입"/>
      <sheetName val="RK-#1"/>
      <sheetName val="소기"/>
      <sheetName val="통계자료"/>
      <sheetName val="FAB별"/>
      <sheetName val="CTEMCOST"/>
      <sheetName val="입력"/>
      <sheetName val="인건비"/>
      <sheetName val="24_보증금(전신전화가입권)1"/>
      <sheetName val="118_세금과공과"/>
      <sheetName val="108_수선비"/>
      <sheetName val="손익분기점_데이터"/>
      <sheetName val="손익계산서_raw_data"/>
      <sheetName val="scale_&amp;_Income"/>
      <sheetName val="2140_"/>
      <sheetName val="인건비예산(정규직)"/>
      <sheetName val="인건비예산(용역)"/>
      <sheetName val="jan"/>
      <sheetName val="MRS세부"/>
      <sheetName val="24_보증금_전신전화가입권_"/>
      <sheetName val="요율"/>
      <sheetName val="검사현황"/>
      <sheetName val="1Q"/>
      <sheetName val="2Q "/>
      <sheetName val="3Q-OSD"/>
      <sheetName val="FY 2018"/>
      <sheetName val="Est FY"/>
      <sheetName val="FY Final"/>
      <sheetName val="Cash Flow Projection-Actual"/>
      <sheetName val="출입자명단"/>
      <sheetName val="공구와기구"/>
      <sheetName val="구축물"/>
      <sheetName val="비품"/>
      <sheetName val="운동기구"/>
      <sheetName val="BS"/>
      <sheetName val="매출.물동명세"/>
      <sheetName val="24_보증금(전신전화가입권)2"/>
      <sheetName val="scale_&amp;_Income1"/>
      <sheetName val="손익계산서_raw_data1"/>
      <sheetName val="손익분기점_데이터1"/>
      <sheetName val="2140_1"/>
      <sheetName val="118_세금과공과1"/>
      <sheetName val="108_수선비1"/>
      <sheetName val="정기적금"/>
      <sheetName val="WELDING"/>
      <sheetName val="B-III"/>
      <sheetName val="시험연구비상각"/>
      <sheetName val="WPL"/>
      <sheetName val="2001퇴직급여"/>
      <sheetName val="퇴직급여계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/>
      <sheetData sheetId="94"/>
      <sheetData sheetId="95"/>
      <sheetData sheetId="96"/>
      <sheetData sheetId="97"/>
      <sheetData sheetId="98"/>
      <sheetData sheetId="99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/>
      <sheetData sheetId="110"/>
      <sheetData sheetId="111"/>
      <sheetData sheetId="112"/>
      <sheetData sheetId="113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/>
      <sheetData sheetId="122"/>
      <sheetData sheetId="123"/>
      <sheetData sheetId="124"/>
      <sheetData sheetId="125"/>
      <sheetData sheetId="126"/>
      <sheetData sheetId="127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7년요구종합설비"/>
      <sheetName val="환율"/>
      <sheetName val="VXXX"/>
      <sheetName val="5"/>
      <sheetName val="Sheet1"/>
      <sheetName val="6 (2)"/>
      <sheetName val="6 (7)"/>
      <sheetName val="6 (3)"/>
      <sheetName val="6 (6)"/>
      <sheetName val="6 (4)"/>
      <sheetName val="6 (5)"/>
      <sheetName val="18"/>
      <sheetName val="추가요구집계"/>
      <sheetName val="요구서(통신비)"/>
      <sheetName val="전화료산출"/>
      <sheetName val="회선사용료산출"/>
      <sheetName val="회선내역(현재)"/>
      <sheetName val="회선내역(추가)"/>
      <sheetName val="정보통신료산출"/>
      <sheetName val="요구서(세금)"/>
      <sheetName val="CATV시청료"/>
      <sheetName val="요구서(지급수수료)"/>
      <sheetName val="요구서(광고선전비)"/>
      <sheetName val="개요"/>
      <sheetName val="종합표"/>
      <sheetName val="투자계획"/>
      <sheetName val="고리집계표"/>
      <sheetName val="설계개선(1)"/>
      <sheetName val="설계개선(2)"/>
      <sheetName val="계약사전준비(1)"/>
      <sheetName val="계약사전준비(2)"/>
      <sheetName val="설계개선(2-1)"/>
      <sheetName val="신고리골재원(1)"/>
      <sheetName val="신고리골재원(2)"/>
      <sheetName val="고리공업용수(1)"/>
      <sheetName val="신고리공업용수(2)"/>
      <sheetName val="신고리방파제(1)"/>
      <sheetName val="고리부지방파제(2)"/>
      <sheetName val="건설사무소신축공사(1,2)"/>
      <sheetName val="사택보수공사(1)"/>
      <sheetName val="사택보수공사(2)"/>
      <sheetName val="고리국도이설(1)"/>
      <sheetName val="고리국도이설(2)"/>
      <sheetName val="신고리용지(1)"/>
      <sheetName val="신고리용지(2)"/>
      <sheetName val="신고리용지(2-1)"/>
      <sheetName val="신고리용지(2-2)"/>
      <sheetName val="신고리용지(2-3)"/>
      <sheetName val="특별홍보(1)"/>
      <sheetName val="특별홍보(2)"/>
      <sheetName val="XXXXXX"/>
      <sheetName val="1장 (주전산기및기타)"/>
      <sheetName val="설치장소별(주전산기)"/>
      <sheetName val="설치장소별 (기타)"/>
      <sheetName val="대가기준"/>
      <sheetName val="예산종합"/>
      <sheetName val="위탁비종합"/>
      <sheetName val="위탁보수비(본사)"/>
      <sheetName val="위탁보수비(제주)"/>
      <sheetName val="표지"/>
      <sheetName val="목차"/>
      <sheetName val="1. 기본설계서"/>
      <sheetName val="1-1. 공사계획서"/>
      <sheetName val="1-2. 공사비 총괄표"/>
      <sheetName val="1-3. 자금계획서"/>
      <sheetName val="1-4. 예정공정표"/>
      <sheetName val="1-5. 주자재내역서"/>
      <sheetName val="1-6. 자재산출내역"/>
      <sheetName val="1-7. 사업소별산출내역"/>
      <sheetName val="2. 설계명세서"/>
      <sheetName val="3. 품셈표"/>
      <sheetName val="3-1. 통신노임표"/>
      <sheetName val="요약전"/>
      <sheetName val="Sheet2"/>
      <sheetName val="Sheet3"/>
      <sheetName val="월별"/>
      <sheetName val="신안성변전증설"/>
      <sheetName val="당초"/>
      <sheetName val="설계비"/>
      <sheetName val="감리비"/>
      <sheetName val="용지비"/>
      <sheetName val="민원대책비"/>
      <sheetName val="사급자재비"/>
      <sheetName val="도급공사비"/>
      <sheetName val="기타공사비"/>
      <sheetName val="신가평증설"/>
      <sheetName val="북경남변전"/>
      <sheetName val="신가평변전"/>
      <sheetName val="신태백변전"/>
      <sheetName val="영흥TP"/>
      <sheetName val="공사비"/>
      <sheetName val="인허가비"/>
      <sheetName val="회사분경비"/>
      <sheetName val="신가평증설변전"/>
      <sheetName val="일위대가표"/>
      <sheetName val="rate"/>
      <sheetName val="설계예시"/>
      <sheetName val="설계명세서"/>
      <sheetName val="내역서"/>
      <sheetName val="Mc1"/>
      <sheetName val="시공자료"/>
      <sheetName val="5억증가검토"/>
      <sheetName val="배서어음명세서"/>
      <sheetName val="단가조사"/>
      <sheetName val="자재단가"/>
      <sheetName val="산출기초"/>
      <sheetName val="품셈"/>
      <sheetName val="97예산(안)"/>
      <sheetName val="설계표지"/>
      <sheetName val="적용단가"/>
      <sheetName val="맨홀조서"/>
      <sheetName val="기초자료입력"/>
      <sheetName val="경동~상록"/>
      <sheetName val="우주~로베로"/>
      <sheetName val="센터코드"/>
      <sheetName val="저장품 토탈2월"/>
      <sheetName val="내역"/>
      <sheetName val="누계"/>
      <sheetName val="명부"/>
      <sheetName val="7.예수금이자,연체자금투입비용"/>
      <sheetName val="일용노임단가"/>
      <sheetName val="노임단가"/>
      <sheetName val="개양 CABLE LIST"/>
      <sheetName val="설계서"/>
      <sheetName val="종합기별"/>
      <sheetName val="공사직종별노임"/>
      <sheetName val="설계 (2)"/>
      <sheetName val="설계명세"/>
      <sheetName val="넉시~922"/>
      <sheetName val="대수산분기~LG918"/>
      <sheetName val="색달~중문"/>
      <sheetName val="중문~삼일"/>
      <sheetName val="신서귀~고근산"/>
      <sheetName val="미악분기~913"/>
      <sheetName val="이천변압기운반비"/>
      <sheetName val="증감대비"/>
      <sheetName val="WPL"/>
      <sheetName val="백암비스타내역"/>
      <sheetName val="직노"/>
      <sheetName val="1련,2련"/>
      <sheetName val="변품8-37"/>
      <sheetName val="단가최종"/>
      <sheetName val="대가목록"/>
      <sheetName val="Curve(Commissioning)"/>
      <sheetName val="Plan Raw Data"/>
      <sheetName val="N賃率-職"/>
      <sheetName val="설계"/>
      <sheetName val="품셈표"/>
      <sheetName val="정산"/>
      <sheetName val="운반비정산"/>
      <sheetName val="사통"/>
      <sheetName val="단"/>
      <sheetName val="단위량"/>
      <sheetName val="재료집계표2"/>
      <sheetName val="토적집계표"/>
      <sheetName val="정산내역서"/>
      <sheetName val="단가일람"/>
      <sheetName val="조경일람"/>
      <sheetName val="DATE"/>
      <sheetName val="정산노무"/>
      <sheetName val="정산재료"/>
      <sheetName val="횡배수관집현황(2공구)"/>
      <sheetName val="재료집계표3"/>
      <sheetName val="단가산출"/>
      <sheetName val="전기일위목록"/>
      <sheetName val="기별명세"/>
      <sheetName val="Studio"/>
      <sheetName val="01상노임"/>
      <sheetName val="요율"/>
      <sheetName val="참고3"/>
      <sheetName val="Macro1"/>
      <sheetName val="예산명세서"/>
      <sheetName val="자료입력"/>
      <sheetName val="5-1.설계명세서"/>
      <sheetName val="5.공사비예산서"/>
      <sheetName val="부총"/>
      <sheetName val="일위대가"/>
      <sheetName val="일위대가(4층원격)"/>
      <sheetName val="관로공사"/>
      <sheetName val="#REF"/>
      <sheetName val="소요자재"/>
      <sheetName val="연료비"/>
      <sheetName val="항비"/>
      <sheetName val="단가"/>
      <sheetName val="2004상반기"/>
      <sheetName val="조정율"/>
      <sheetName val="기준정보"/>
      <sheetName val="정보"/>
      <sheetName val="경비"/>
      <sheetName val="노무비"/>
      <sheetName val="잡재료비산출내역"/>
      <sheetName val="동원인원"/>
      <sheetName val="건설산출"/>
      <sheetName val="수량산출서"/>
      <sheetName val="적용기준표(98년상반기)"/>
      <sheetName val="노임단가(전기·통신)"/>
      <sheetName val="경  비 "/>
      <sheetName val="재료비"/>
      <sheetName val="인건비(VOICE)"/>
      <sheetName val="1__기본설계서"/>
      <sheetName val="1-1__공사계획서"/>
      <sheetName val="1-2__공사비_총괄표"/>
      <sheetName val="1-3__자금계획서"/>
      <sheetName val="1-4__예정공정표"/>
      <sheetName val="1-5__주자재내역서"/>
      <sheetName val="1-6__자재산출내역"/>
      <sheetName val="1-7__사업소별산출내역"/>
      <sheetName val="2__설계명세서"/>
      <sheetName val="3__품셈표"/>
      <sheetName val="3-1__통신노임표"/>
      <sheetName val="6_(2)"/>
      <sheetName val="6_(7)"/>
      <sheetName val="6_(3)"/>
      <sheetName val="6_(6)"/>
      <sheetName val="6_(4)"/>
      <sheetName val="6_(5)"/>
      <sheetName val="1장_(주전산기및기타)"/>
      <sheetName val="설치장소별_(기타)"/>
      <sheetName val="정산설계서"/>
      <sheetName val="물가대비표"/>
      <sheetName val="총괄"/>
      <sheetName val="공사계획서"/>
      <sheetName val="조명시설"/>
      <sheetName val="COST"/>
      <sheetName val="도급내역"/>
      <sheetName val="실적단가"/>
      <sheetName val="노무단가"/>
      <sheetName val="환"/>
      <sheetName val="송전기본"/>
      <sheetName val="내역서2안"/>
      <sheetName val="원본"/>
      <sheetName val="Sheet5"/>
      <sheetName val="단가조사서"/>
      <sheetName val="BM"/>
      <sheetName val="단위목록"/>
      <sheetName val="5. 설계명세서"/>
      <sheetName val="자재일람"/>
      <sheetName val="별표집계"/>
      <sheetName val="터파기및재료"/>
      <sheetName val="단가견적조사표"/>
      <sheetName val="식재가격"/>
      <sheetName val="예산"/>
      <sheetName val="비탈면보호공수량산출"/>
      <sheetName val="노임"/>
      <sheetName val="data"/>
      <sheetName val="조견표"/>
      <sheetName val="단위량당중기"/>
      <sheetName val="시산표"/>
      <sheetName val="단가비교표"/>
      <sheetName val="공사예산"/>
      <sheetName val="03상노임"/>
      <sheetName val="공사설계서"/>
      <sheetName val="(14)전기품셈정산"/>
      <sheetName val="단가표"/>
      <sheetName val="일위대가목차"/>
      <sheetName val="수목데이타 "/>
      <sheetName val="산#3-2-2"/>
      <sheetName val="산#3-1"/>
      <sheetName val="산#3-2"/>
      <sheetName val="상반기손익차2총괄"/>
      <sheetName val="출금실적"/>
      <sheetName val="부하현황"/>
      <sheetName val="수량집계표(舊)"/>
      <sheetName val="소방"/>
      <sheetName val="내역표지"/>
      <sheetName val="준공정산"/>
      <sheetName val="노임코드"/>
      <sheetName val="일위대가(건축)"/>
      <sheetName val="SG"/>
      <sheetName val="준공정산보고서"/>
      <sheetName val="공종단가(품셈)"/>
      <sheetName val="철거산출근거"/>
      <sheetName val="수량산출"/>
      <sheetName val="토목내역서"/>
      <sheetName val="토목"/>
      <sheetName val="견적서"/>
      <sheetName val="기별"/>
      <sheetName val="정산변경내역"/>
      <sheetName val="고내분기~한림"/>
      <sheetName val="광령~경마장"/>
      <sheetName val="세기~광령"/>
      <sheetName val="신흑2"/>
      <sheetName val="고덕"/>
      <sheetName val="결성"/>
      <sheetName val="석문"/>
      <sheetName val="인지"/>
      <sheetName val="도안"/>
      <sheetName val="괴산"/>
      <sheetName val="단월"/>
      <sheetName val="산척"/>
      <sheetName val="도급정산"/>
      <sheetName val="정산입력"/>
      <sheetName val="_REF"/>
      <sheetName val="전력구"/>
      <sheetName val="전력구현황"/>
      <sheetName val="기본"/>
      <sheetName val="을지"/>
      <sheetName val="고압계통도(장한DL)"/>
      <sheetName val="중기사용료"/>
      <sheetName val="적용노임"/>
      <sheetName val="일반자재"/>
      <sheetName val="배수공"/>
      <sheetName val="설계변경 내역서"/>
      <sheetName val="에너지요금"/>
      <sheetName val="단가설계"/>
      <sheetName val="작업 반복"/>
      <sheetName val="기계경비(시간당)"/>
      <sheetName val="램머"/>
      <sheetName val="공사설명"/>
      <sheetName val="기본사항"/>
      <sheetName val="단가품"/>
      <sheetName val="교대시점"/>
      <sheetName val="코드_통화"/>
      <sheetName val="코드_관계회사"/>
      <sheetName val="코드_설비"/>
      <sheetName val="코드_차입"/>
      <sheetName val="설비입력"/>
      <sheetName val="관계회사CF"/>
      <sheetName val="misc"/>
      <sheetName val="단가대비표 (3)"/>
      <sheetName val="기기점검대상"/>
      <sheetName val="대비"/>
      <sheetName val="부표총괄"/>
      <sheetName val="세입세출표"/>
      <sheetName val="전기일위대가"/>
      <sheetName val="산출내역서 (2)"/>
      <sheetName val="일위_파일"/>
      <sheetName val="일위대가(출입)"/>
      <sheetName val="설명서"/>
      <sheetName val="b_balju_cho"/>
      <sheetName val="공사설명서외"/>
      <sheetName val="data1"/>
      <sheetName val="수목표준대가"/>
      <sheetName val="6공구(당초)"/>
      <sheetName val="부대내역"/>
      <sheetName val="8.석축단위(H=1.5M)"/>
      <sheetName val="규격"/>
      <sheetName val="공량예산"/>
      <sheetName val="ⴭⴭⴭⴭⴭ"/>
      <sheetName val="공사설명서"/>
      <sheetName val="품셈총괄"/>
      <sheetName val="기본DATA Sheet"/>
      <sheetName val="수량총괄"/>
      <sheetName val="용역비 산출명세서"/>
      <sheetName val="수지예산"/>
      <sheetName val="인원계획-미화"/>
      <sheetName val="98지급계획"/>
      <sheetName val="투자유가증권"/>
      <sheetName val="제출내역 (2)"/>
      <sheetName val="품산출서"/>
      <sheetName val="노임단가(직종번호 순)"/>
      <sheetName val="단가입력창"/>
      <sheetName val="경비일반이윤"/>
      <sheetName val="변압기 및 발전기 용량"/>
      <sheetName val="경산"/>
      <sheetName val="노후차단기대체"/>
      <sheetName val="개양SS S.C종합이설"/>
      <sheetName val="판매계획"/>
      <sheetName val=" 견적서"/>
    </sheetNames>
    <sheetDataSet>
      <sheetData sheetId="0">
        <row r="1">
          <cell r="C1">
            <v>1000</v>
          </cell>
        </row>
      </sheetData>
      <sheetData sheetId="1" refreshError="1">
        <row r="1">
          <cell r="C1">
            <v>1000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사용설명서"/>
      <sheetName val="총괄표"/>
      <sheetName val="조회서"/>
      <sheetName val="주소"/>
      <sheetName val="Module1"/>
      <sheetName val="Module2"/>
      <sheetName val="회신율"/>
      <sheetName val="매출채권명세서"/>
      <sheetName val="지급어음"/>
      <sheetName val="Module3"/>
    </sheetNames>
    <sheetDataSet>
      <sheetData sheetId="0" refreshError="1"/>
      <sheetData sheetId="1"/>
      <sheetData sheetId="2">
        <row r="18">
          <cell r="A18" t="str">
            <v>외상매출금</v>
          </cell>
        </row>
        <row r="19">
          <cell r="A19" t="str">
            <v>받을어음</v>
          </cell>
        </row>
        <row r="20">
          <cell r="A20" t="str">
            <v>미수금</v>
          </cell>
        </row>
      </sheetData>
      <sheetData sheetId="3">
        <row r="1">
          <cell r="A1" t="str">
            <v>편지봉투에 부착할 주소라벨입니다.</v>
          </cell>
        </row>
        <row r="2">
          <cell r="A2" t="str">
            <v>미리보기를 통해 페이지를 정렬한 뒤 프린트명령을 주십시오.</v>
          </cell>
        </row>
        <row r="4">
          <cell r="A4" t="str">
            <v>422-711</v>
          </cell>
          <cell r="E4">
            <v>1</v>
          </cell>
        </row>
        <row r="5">
          <cell r="B5" t="str">
            <v>경기도 부천시 소사동 91-121</v>
          </cell>
        </row>
        <row r="6">
          <cell r="B6" t="str">
            <v>(의)혜원의료재단</v>
          </cell>
          <cell r="D6" t="str">
            <v>회계담당</v>
          </cell>
        </row>
        <row r="7">
          <cell r="A7" t="str">
            <v>609-728</v>
          </cell>
          <cell r="E7">
            <v>2</v>
          </cell>
        </row>
        <row r="8">
          <cell r="B8" t="str">
            <v>부산광역시 금정구 남산동 374-75</v>
          </cell>
        </row>
        <row r="9">
          <cell r="B9" t="str">
            <v>기독교한국침례회의료재단</v>
          </cell>
          <cell r="D9" t="str">
            <v>회계담당</v>
          </cell>
        </row>
        <row r="10">
          <cell r="A10" t="str">
            <v>760-903</v>
          </cell>
          <cell r="E10">
            <v>3</v>
          </cell>
        </row>
        <row r="11">
          <cell r="B11" t="str">
            <v>경북 안동시 용상동 1592-31</v>
          </cell>
        </row>
        <row r="12">
          <cell r="B12" t="str">
            <v>(의)안동종합병원</v>
          </cell>
          <cell r="D12" t="str">
            <v>회계담당</v>
          </cell>
        </row>
        <row r="13">
          <cell r="A13" t="str">
            <v>442-723</v>
          </cell>
          <cell r="E13">
            <v>4</v>
          </cell>
        </row>
        <row r="14">
          <cell r="B14" t="str">
            <v>경기도 수원시 팔달구 지동 93-6</v>
          </cell>
        </row>
        <row r="15">
          <cell r="B15" t="str">
            <v>(학)카톨릭대성빈센트병원</v>
          </cell>
          <cell r="D15" t="str">
            <v>회계담당</v>
          </cell>
        </row>
        <row r="16">
          <cell r="A16" t="str">
            <v>301-725</v>
          </cell>
          <cell r="E16">
            <v>5</v>
          </cell>
        </row>
        <row r="17">
          <cell r="B17" t="str">
            <v>대전광역시 중구 목동 10-7</v>
          </cell>
        </row>
        <row r="18">
          <cell r="B18" t="str">
            <v>대전선병원</v>
          </cell>
          <cell r="D18" t="str">
            <v>회계담당</v>
          </cell>
        </row>
        <row r="19">
          <cell r="A19" t="str">
            <v>451-805</v>
          </cell>
          <cell r="E19">
            <v>6</v>
          </cell>
        </row>
        <row r="20">
          <cell r="B20" t="str">
            <v>경기도 평택시 팽성읍 추팔리 추팔공단 6블럭</v>
          </cell>
        </row>
        <row r="21">
          <cell r="B21" t="str">
            <v>동강의료기㈜</v>
          </cell>
          <cell r="D21" t="str">
            <v>회계담당</v>
          </cell>
        </row>
        <row r="22">
          <cell r="A22" t="str">
            <v>110-300</v>
          </cell>
          <cell r="E22">
            <v>7</v>
          </cell>
        </row>
        <row r="23">
          <cell r="B23" t="str">
            <v>서울특별시 종로구 관훈동 196-10</v>
          </cell>
        </row>
        <row r="24">
          <cell r="B24" t="str">
            <v>해정병원</v>
          </cell>
          <cell r="D24" t="str">
            <v>회계담당</v>
          </cell>
        </row>
        <row r="25">
          <cell r="A25" t="str">
            <v>612-832</v>
          </cell>
          <cell r="E25">
            <v>8</v>
          </cell>
        </row>
        <row r="26">
          <cell r="B26" t="str">
            <v>부산광역시 해운대구 재송동 1150-6</v>
          </cell>
        </row>
        <row r="27">
          <cell r="B27" t="str">
            <v>㈜오령</v>
          </cell>
          <cell r="D27" t="str">
            <v>회계담당</v>
          </cell>
        </row>
        <row r="28">
          <cell r="A28" t="str">
            <v>573-885</v>
          </cell>
          <cell r="E28">
            <v>9</v>
          </cell>
        </row>
        <row r="29">
          <cell r="B29" t="str">
            <v>전북 군산시 조촌동 671-13</v>
          </cell>
        </row>
        <row r="30">
          <cell r="B30" t="str">
            <v>(의)군산한사랑병원</v>
          </cell>
          <cell r="D30" t="str">
            <v>회계담당</v>
          </cell>
        </row>
        <row r="31">
          <cell r="A31" t="str">
            <v>614-711</v>
          </cell>
          <cell r="E31">
            <v>10</v>
          </cell>
        </row>
        <row r="32">
          <cell r="B32" t="str">
            <v>부산광역시 부산진구 범천1동 873-44</v>
          </cell>
        </row>
        <row r="33">
          <cell r="B33" t="str">
            <v>(학)춘해학원</v>
          </cell>
          <cell r="D33" t="str">
            <v>회계담당</v>
          </cell>
        </row>
        <row r="34">
          <cell r="A34" t="str">
            <v>139-707</v>
          </cell>
          <cell r="E34">
            <v>11</v>
          </cell>
        </row>
        <row r="35">
          <cell r="B35" t="str">
            <v>서울특별시 노원구 상계7동 761-1</v>
          </cell>
        </row>
        <row r="36">
          <cell r="B36" t="str">
            <v>상계백병원</v>
          </cell>
          <cell r="D36" t="str">
            <v>회계담당</v>
          </cell>
        </row>
        <row r="37">
          <cell r="A37" t="str">
            <v>681-711</v>
          </cell>
          <cell r="E37">
            <v>12</v>
          </cell>
        </row>
        <row r="38">
          <cell r="B38" t="str">
            <v>울산광역시 중구 태화동 123-3</v>
          </cell>
        </row>
        <row r="39">
          <cell r="B39" t="str">
            <v>(의)동강의료재단</v>
          </cell>
          <cell r="D39" t="str">
            <v>회계담당</v>
          </cell>
        </row>
        <row r="40">
          <cell r="A40" t="str">
            <v>791-704</v>
          </cell>
          <cell r="E40">
            <v>13</v>
          </cell>
        </row>
        <row r="41">
          <cell r="B41" t="str">
            <v>경북 포항시 북구 대신동 69-7</v>
          </cell>
        </row>
        <row r="42">
          <cell r="B42" t="str">
            <v>한동대선린병원</v>
          </cell>
          <cell r="D42" t="str">
            <v>회계담당</v>
          </cell>
        </row>
        <row r="43">
          <cell r="A43" t="str">
            <v>502-827</v>
          </cell>
          <cell r="E43">
            <v>14</v>
          </cell>
        </row>
        <row r="44">
          <cell r="B44" t="str">
            <v>광주광역시 서구 치평동 1240</v>
          </cell>
        </row>
        <row r="45">
          <cell r="B45" t="str">
            <v>상무병원</v>
          </cell>
          <cell r="D45" t="str">
            <v>회계담당</v>
          </cell>
        </row>
        <row r="46">
          <cell r="A46" t="str">
            <v>390-703</v>
          </cell>
          <cell r="E46">
            <v>15</v>
          </cell>
        </row>
        <row r="47">
          <cell r="B47" t="str">
            <v>충북 제천시 서부동 176</v>
          </cell>
        </row>
        <row r="48">
          <cell r="B48" t="str">
            <v>제천서울병원</v>
          </cell>
          <cell r="D48" t="str">
            <v>회계담당</v>
          </cell>
        </row>
        <row r="49">
          <cell r="A49" t="str">
            <v>526-801</v>
          </cell>
          <cell r="E49">
            <v>16</v>
          </cell>
        </row>
        <row r="50">
          <cell r="B50" t="str">
            <v>전남 영암군 영암읍 남풍리 169</v>
          </cell>
        </row>
        <row r="51">
          <cell r="B51" t="str">
            <v>(의)삼선의료재단영암김병원</v>
          </cell>
          <cell r="D51" t="str">
            <v>회계담당</v>
          </cell>
        </row>
        <row r="52">
          <cell r="A52" t="str">
            <v>135-710</v>
          </cell>
          <cell r="E52">
            <v>17</v>
          </cell>
        </row>
        <row r="53">
          <cell r="B53" t="str">
            <v>서울특별시 강남구 일원동 50</v>
          </cell>
        </row>
        <row r="54">
          <cell r="B54" t="str">
            <v>삼성서울병원</v>
          </cell>
          <cell r="D54" t="str">
            <v>회계담당</v>
          </cell>
        </row>
        <row r="55">
          <cell r="A55" t="str">
            <v>704-903</v>
          </cell>
          <cell r="E55">
            <v>18</v>
          </cell>
        </row>
        <row r="56">
          <cell r="B56" t="str">
            <v>대구광역시 달서구 감상동 139-2</v>
          </cell>
        </row>
        <row r="57">
          <cell r="B57" t="str">
            <v>(의)세원의료재단</v>
          </cell>
          <cell r="D57" t="str">
            <v>회계담당</v>
          </cell>
        </row>
        <row r="58">
          <cell r="A58" t="str">
            <v>137-837</v>
          </cell>
          <cell r="E58">
            <v>19</v>
          </cell>
        </row>
        <row r="59">
          <cell r="B59" t="str">
            <v>서울특별시 서초구 방배동 852-14</v>
          </cell>
        </row>
        <row r="60">
          <cell r="B60" t="str">
            <v>가야병원</v>
          </cell>
          <cell r="D60" t="str">
            <v>회계담당</v>
          </cell>
        </row>
        <row r="61">
          <cell r="A61" t="str">
            <v>506-817</v>
          </cell>
          <cell r="E61">
            <v>20</v>
          </cell>
        </row>
        <row r="62">
          <cell r="B62" t="str">
            <v>광주광역시 광산구 운남동 525-27</v>
          </cell>
        </row>
        <row r="63">
          <cell r="B63" t="str">
            <v>한사랑병원</v>
          </cell>
          <cell r="D63" t="str">
            <v>회계담당</v>
          </cell>
        </row>
        <row r="64">
          <cell r="A64" t="str">
            <v>602-812</v>
          </cell>
          <cell r="E64">
            <v>21</v>
          </cell>
        </row>
        <row r="65">
          <cell r="B65" t="str">
            <v>부산광역시 서구 동대신동 1</v>
          </cell>
        </row>
        <row r="66">
          <cell r="B66" t="str">
            <v>동아의료원</v>
          </cell>
          <cell r="D66" t="str">
            <v>회계담당</v>
          </cell>
        </row>
        <row r="67">
          <cell r="A67" t="str">
            <v>220-701</v>
          </cell>
          <cell r="E67">
            <v>22</v>
          </cell>
        </row>
        <row r="68">
          <cell r="B68" t="str">
            <v>강원도 원주시 일산동 162</v>
          </cell>
        </row>
        <row r="69">
          <cell r="B69" t="str">
            <v>원주기독병원</v>
          </cell>
          <cell r="D69" t="str">
            <v>회계담당</v>
          </cell>
        </row>
        <row r="70">
          <cell r="A70" t="str">
            <v>425-707</v>
          </cell>
          <cell r="E70">
            <v>23</v>
          </cell>
        </row>
        <row r="71">
          <cell r="B71" t="str">
            <v>경기도 안산시 고잔동 516</v>
          </cell>
        </row>
        <row r="72">
          <cell r="B72" t="str">
            <v>고려대부속안산병원</v>
          </cell>
          <cell r="D72" t="str">
            <v>회계담당</v>
          </cell>
        </row>
        <row r="73">
          <cell r="A73" t="str">
            <v>137-872</v>
          </cell>
          <cell r="E73">
            <v>24</v>
          </cell>
        </row>
        <row r="74">
          <cell r="B74" t="str">
            <v>서울특별시 서초구 서초동 1545-5</v>
          </cell>
        </row>
        <row r="75">
          <cell r="B75" t="str">
            <v>사단법인대륙복지회</v>
          </cell>
          <cell r="D75" t="str">
            <v>회계담당</v>
          </cell>
        </row>
        <row r="76">
          <cell r="A76" t="str">
            <v>472-848</v>
          </cell>
          <cell r="E76">
            <v>25</v>
          </cell>
        </row>
        <row r="77">
          <cell r="B77" t="str">
            <v>경기도 남양주시 화도읍 창현리 495-3</v>
          </cell>
        </row>
        <row r="78">
          <cell r="B78" t="str">
            <v>마석원병원</v>
          </cell>
          <cell r="D78" t="str">
            <v>회계담당</v>
          </cell>
        </row>
        <row r="79">
          <cell r="A79" t="str">
            <v>423-711</v>
          </cell>
          <cell r="E79">
            <v>26</v>
          </cell>
        </row>
        <row r="80">
          <cell r="B80" t="str">
            <v>경기도 광명시 철산동 389</v>
          </cell>
        </row>
        <row r="81">
          <cell r="B81" t="str">
            <v>(의)광명의료재단</v>
          </cell>
          <cell r="D81" t="str">
            <v>회계담당</v>
          </cell>
        </row>
        <row r="82">
          <cell r="A82" t="str">
            <v>420-718</v>
          </cell>
          <cell r="E82">
            <v>27</v>
          </cell>
        </row>
        <row r="83">
          <cell r="B83" t="str">
            <v>경기도 부천시 원미구 심곡동 110-6</v>
          </cell>
        </row>
        <row r="84">
          <cell r="B84" t="str">
            <v>대성병원</v>
          </cell>
          <cell r="D84" t="str">
            <v>회계담당</v>
          </cell>
        </row>
        <row r="85">
          <cell r="A85" t="str">
            <v>602-702</v>
          </cell>
          <cell r="E85">
            <v>28</v>
          </cell>
        </row>
        <row r="86">
          <cell r="B86" t="str">
            <v>부산광역시 서구 암남동 34</v>
          </cell>
        </row>
        <row r="87">
          <cell r="B87" t="str">
            <v>고신대복음병원</v>
          </cell>
          <cell r="D87" t="str">
            <v>회계담당</v>
          </cell>
        </row>
        <row r="88">
          <cell r="A88" t="str">
            <v>405-760</v>
          </cell>
          <cell r="E88">
            <v>29</v>
          </cell>
        </row>
        <row r="89">
          <cell r="B89" t="str">
            <v>인천광역시 남동구 구월동 1198</v>
          </cell>
        </row>
        <row r="90">
          <cell r="B90" t="str">
            <v>(의)길의료재단</v>
          </cell>
          <cell r="D90" t="str">
            <v>회계담당</v>
          </cell>
        </row>
        <row r="91">
          <cell r="A91" t="str">
            <v>402-852</v>
          </cell>
          <cell r="E91">
            <v>30</v>
          </cell>
        </row>
        <row r="92">
          <cell r="B92" t="str">
            <v>인천광역시 남구 주안7동 1315-4 명성빌딩3층</v>
          </cell>
        </row>
        <row r="93">
          <cell r="B93" t="str">
            <v>윤명자소아과의원</v>
          </cell>
          <cell r="D93" t="str">
            <v>회계담당</v>
          </cell>
        </row>
        <row r="94">
          <cell r="A94" t="str">
            <v>157-928</v>
          </cell>
          <cell r="E94">
            <v>31</v>
          </cell>
        </row>
        <row r="95">
          <cell r="B95" t="str">
            <v>서울특별시 강서구 화곡동 1112-20</v>
          </cell>
        </row>
        <row r="96">
          <cell r="B96" t="str">
            <v>㈜새터메디션</v>
          </cell>
          <cell r="D96" t="str">
            <v>회계담당</v>
          </cell>
        </row>
        <row r="97">
          <cell r="A97" t="str">
            <v>330-715</v>
          </cell>
          <cell r="E97">
            <v>32</v>
          </cell>
        </row>
        <row r="98">
          <cell r="B98" t="str">
            <v>충남 천안시 안서동 산16-5</v>
          </cell>
        </row>
        <row r="99">
          <cell r="B99" t="str">
            <v>단국대부속병원</v>
          </cell>
          <cell r="D99" t="str">
            <v>회계담당</v>
          </cell>
        </row>
        <row r="100">
          <cell r="A100" t="str">
            <v>230-800</v>
          </cell>
          <cell r="E100">
            <v>33</v>
          </cell>
        </row>
        <row r="101">
          <cell r="B101" t="str">
            <v>강원도 영월군 영월읍 영흥리 1072</v>
          </cell>
        </row>
        <row r="102">
          <cell r="B102" t="str">
            <v>지방공사영월의료원</v>
          </cell>
          <cell r="D102" t="str">
            <v>회계담당</v>
          </cell>
        </row>
        <row r="103">
          <cell r="A103" t="str">
            <v>110-272</v>
          </cell>
          <cell r="E103">
            <v>34</v>
          </cell>
        </row>
        <row r="104">
          <cell r="B104" t="str">
            <v>서울특별시 중구 필동2가 82-1</v>
          </cell>
        </row>
        <row r="105">
          <cell r="B105" t="str">
            <v>중앙대의료원</v>
          </cell>
          <cell r="D105" t="str">
            <v>회계담당</v>
          </cell>
        </row>
        <row r="106">
          <cell r="A106" t="str">
            <v>110-250</v>
          </cell>
          <cell r="E106">
            <v>35</v>
          </cell>
        </row>
        <row r="107">
          <cell r="B107" t="str">
            <v>서울특별시 종로구 재동 55</v>
          </cell>
        </row>
        <row r="108">
          <cell r="B108" t="str">
            <v>한국병원</v>
          </cell>
          <cell r="D108" t="str">
            <v>회계담당</v>
          </cell>
        </row>
        <row r="109">
          <cell r="A109" t="str">
            <v>730-927</v>
          </cell>
          <cell r="E109">
            <v>36</v>
          </cell>
        </row>
        <row r="110">
          <cell r="B110" t="str">
            <v>경북 구미시 형곡동 855</v>
          </cell>
        </row>
        <row r="111">
          <cell r="B111" t="str">
            <v>포천중문의대부속구미차병원</v>
          </cell>
          <cell r="D111" t="str">
            <v>회계담당</v>
          </cell>
        </row>
        <row r="112">
          <cell r="A112" t="str">
            <v>704-820</v>
          </cell>
          <cell r="E112">
            <v>37</v>
          </cell>
        </row>
        <row r="113">
          <cell r="B113" t="str">
            <v>대구광역시 달서구 송현동 56-2</v>
          </cell>
        </row>
        <row r="114">
          <cell r="B114" t="str">
            <v>세강병원</v>
          </cell>
          <cell r="D114" t="str">
            <v>회계담당</v>
          </cell>
        </row>
        <row r="115">
          <cell r="A115" t="str">
            <v>704-927</v>
          </cell>
          <cell r="E115">
            <v>38</v>
          </cell>
        </row>
        <row r="116">
          <cell r="B116" t="str">
            <v>대구광역시 달서구 이곡동 1196-1</v>
          </cell>
        </row>
        <row r="117">
          <cell r="B117" t="str">
            <v>의료법인혜성의료재단</v>
          </cell>
          <cell r="D117" t="str">
            <v>회계담당</v>
          </cell>
        </row>
        <row r="118">
          <cell r="A118" t="str">
            <v>135-954</v>
          </cell>
          <cell r="E118">
            <v>39</v>
          </cell>
        </row>
        <row r="119">
          <cell r="B119" t="str">
            <v>서울특별시 강남구 청담동 87-11</v>
          </cell>
        </row>
        <row r="120">
          <cell r="B120" t="str">
            <v>방주병원</v>
          </cell>
          <cell r="D120" t="str">
            <v>회계담당</v>
          </cell>
        </row>
        <row r="121">
          <cell r="E121">
            <v>40</v>
          </cell>
        </row>
        <row r="123">
          <cell r="D123" t="str">
            <v>회계담당</v>
          </cell>
        </row>
        <row r="124">
          <cell r="E124">
            <v>41</v>
          </cell>
        </row>
        <row r="126">
          <cell r="D126" t="str">
            <v>회계담당</v>
          </cell>
        </row>
        <row r="127">
          <cell r="E127">
            <v>42</v>
          </cell>
        </row>
        <row r="129">
          <cell r="D129" t="str">
            <v>회계담당</v>
          </cell>
        </row>
        <row r="130">
          <cell r="E130">
            <v>43</v>
          </cell>
        </row>
        <row r="132">
          <cell r="D132" t="str">
            <v>회계담당</v>
          </cell>
        </row>
        <row r="133">
          <cell r="E133">
            <v>44</v>
          </cell>
        </row>
        <row r="135">
          <cell r="D135" t="str">
            <v>회계담당</v>
          </cell>
        </row>
        <row r="136">
          <cell r="E136">
            <v>45</v>
          </cell>
        </row>
        <row r="138">
          <cell r="D138" t="str">
            <v>회계담당</v>
          </cell>
        </row>
        <row r="139">
          <cell r="E139">
            <v>46</v>
          </cell>
        </row>
        <row r="141">
          <cell r="D141" t="str">
            <v>회계담당</v>
          </cell>
        </row>
        <row r="142">
          <cell r="E142">
            <v>47</v>
          </cell>
        </row>
        <row r="144">
          <cell r="D144" t="str">
            <v>회계담당</v>
          </cell>
        </row>
        <row r="145">
          <cell r="E145">
            <v>48</v>
          </cell>
        </row>
        <row r="147">
          <cell r="D147" t="str">
            <v>회계담당</v>
          </cell>
        </row>
        <row r="148">
          <cell r="E148">
            <v>49</v>
          </cell>
        </row>
        <row r="150">
          <cell r="D150" t="str">
            <v>회계담당</v>
          </cell>
        </row>
        <row r="151">
          <cell r="E151">
            <v>50</v>
          </cell>
        </row>
        <row r="153">
          <cell r="D153" t="str">
            <v>회계담당</v>
          </cell>
        </row>
        <row r="154">
          <cell r="E154">
            <v>51</v>
          </cell>
        </row>
        <row r="156">
          <cell r="D156" t="str">
            <v>회계담당</v>
          </cell>
        </row>
        <row r="157">
          <cell r="E157">
            <v>52</v>
          </cell>
        </row>
        <row r="159">
          <cell r="D159" t="str">
            <v>회계담당</v>
          </cell>
        </row>
        <row r="160">
          <cell r="E160">
            <v>53</v>
          </cell>
        </row>
        <row r="162">
          <cell r="D162" t="str">
            <v>회계담당</v>
          </cell>
        </row>
        <row r="163">
          <cell r="E163">
            <v>54</v>
          </cell>
        </row>
        <row r="165">
          <cell r="D165" t="str">
            <v>회계담당</v>
          </cell>
        </row>
        <row r="166">
          <cell r="E166">
            <v>55</v>
          </cell>
        </row>
        <row r="168">
          <cell r="D168" t="str">
            <v>회계담당</v>
          </cell>
        </row>
        <row r="169">
          <cell r="E169">
            <v>56</v>
          </cell>
        </row>
        <row r="171">
          <cell r="D171" t="str">
            <v>회계담당</v>
          </cell>
        </row>
        <row r="172">
          <cell r="E172">
            <v>57</v>
          </cell>
        </row>
        <row r="174">
          <cell r="D174" t="str">
            <v>회계담당</v>
          </cell>
        </row>
        <row r="175">
          <cell r="E175">
            <v>58</v>
          </cell>
        </row>
        <row r="177">
          <cell r="D177" t="str">
            <v>회계담당</v>
          </cell>
        </row>
        <row r="178">
          <cell r="E178">
            <v>59</v>
          </cell>
        </row>
        <row r="180">
          <cell r="D180" t="str">
            <v>회계담당</v>
          </cell>
        </row>
        <row r="181">
          <cell r="E181">
            <v>60</v>
          </cell>
        </row>
        <row r="183">
          <cell r="D183" t="str">
            <v>회계담당</v>
          </cell>
        </row>
        <row r="184">
          <cell r="E184">
            <v>61</v>
          </cell>
        </row>
        <row r="186">
          <cell r="D186" t="str">
            <v>회계담당</v>
          </cell>
        </row>
        <row r="187">
          <cell r="E187">
            <v>62</v>
          </cell>
        </row>
        <row r="189">
          <cell r="D189" t="str">
            <v>회계담당</v>
          </cell>
        </row>
        <row r="190">
          <cell r="E190">
            <v>63</v>
          </cell>
        </row>
        <row r="192">
          <cell r="D192" t="str">
            <v>회계담당</v>
          </cell>
        </row>
        <row r="193">
          <cell r="E193">
            <v>64</v>
          </cell>
        </row>
        <row r="195">
          <cell r="D195" t="str">
            <v>회계담당</v>
          </cell>
        </row>
        <row r="196">
          <cell r="E196">
            <v>65</v>
          </cell>
        </row>
        <row r="198">
          <cell r="D198" t="str">
            <v>회계담당</v>
          </cell>
        </row>
        <row r="199">
          <cell r="E199">
            <v>66</v>
          </cell>
        </row>
        <row r="201">
          <cell r="D201" t="str">
            <v>회계담당</v>
          </cell>
        </row>
        <row r="202">
          <cell r="E202">
            <v>67</v>
          </cell>
        </row>
        <row r="204">
          <cell r="D204" t="str">
            <v>회계담당</v>
          </cell>
        </row>
        <row r="205">
          <cell r="E205">
            <v>68</v>
          </cell>
        </row>
        <row r="207">
          <cell r="D207" t="str">
            <v>회계담당</v>
          </cell>
        </row>
        <row r="208">
          <cell r="E208">
            <v>69</v>
          </cell>
        </row>
        <row r="210">
          <cell r="D210" t="str">
            <v>회계담당</v>
          </cell>
        </row>
        <row r="211">
          <cell r="E211">
            <v>70</v>
          </cell>
        </row>
        <row r="213">
          <cell r="B213" t="str">
            <v>total</v>
          </cell>
          <cell r="D213" t="str">
            <v>회계담당</v>
          </cell>
        </row>
        <row r="214">
          <cell r="A214" t="str">
            <v>135-260</v>
          </cell>
          <cell r="E214">
            <v>71</v>
          </cell>
        </row>
        <row r="215">
          <cell r="B215" t="str">
            <v>강남구 포이동 227-7</v>
          </cell>
        </row>
        <row r="216">
          <cell r="B216" t="str">
            <v>신동화</v>
          </cell>
          <cell r="D216" t="str">
            <v>회계담당</v>
          </cell>
        </row>
        <row r="217">
          <cell r="A217" t="str">
            <v>546-900</v>
          </cell>
          <cell r="E217">
            <v>72</v>
          </cell>
        </row>
        <row r="218">
          <cell r="B218" t="str">
            <v>전남 보성군 벌교읍 장양리 817번지</v>
          </cell>
        </row>
        <row r="219">
          <cell r="B219" t="str">
            <v>신봉황주류</v>
          </cell>
          <cell r="D219" t="str">
            <v>회계담당</v>
          </cell>
        </row>
        <row r="220">
          <cell r="A220" t="str">
            <v>613-130</v>
          </cell>
          <cell r="E220">
            <v>73</v>
          </cell>
        </row>
        <row r="221">
          <cell r="B221" t="str">
            <v>부산시 수영구 망미동 205-1</v>
          </cell>
        </row>
        <row r="222">
          <cell r="B222" t="str">
            <v>신부창</v>
          </cell>
          <cell r="D222" t="str">
            <v>회계담당</v>
          </cell>
        </row>
        <row r="223">
          <cell r="A223" t="str">
            <v>415-810</v>
          </cell>
          <cell r="E223">
            <v>74</v>
          </cell>
        </row>
        <row r="224">
          <cell r="B224" t="str">
            <v>경기도 김포시 고촌면 향산리 124-5</v>
          </cell>
        </row>
        <row r="225">
          <cell r="B225" t="str">
            <v>신일기업</v>
          </cell>
          <cell r="D225" t="str">
            <v>회계담당</v>
          </cell>
        </row>
        <row r="226">
          <cell r="A226" t="str">
            <v>580-110</v>
          </cell>
          <cell r="E226">
            <v>75</v>
          </cell>
        </row>
        <row r="227">
          <cell r="B227" t="str">
            <v>전북 정읍시 하모동 87</v>
          </cell>
        </row>
        <row r="228">
          <cell r="B228" t="str">
            <v>신진합명</v>
          </cell>
          <cell r="D228" t="str">
            <v>회계담당</v>
          </cell>
        </row>
        <row r="229">
          <cell r="A229" t="str">
            <v>711-870</v>
          </cell>
          <cell r="E229">
            <v>76</v>
          </cell>
        </row>
        <row r="230">
          <cell r="B230" t="str">
            <v>대구시 달성군 현풍면 중동 107-3번지</v>
          </cell>
        </row>
        <row r="231">
          <cell r="B231" t="str">
            <v>신흥기업</v>
          </cell>
          <cell r="D231" t="str">
            <v>회계담당</v>
          </cell>
        </row>
        <row r="232">
          <cell r="A232" t="str">
            <v>760-290</v>
          </cell>
          <cell r="E232">
            <v>77</v>
          </cell>
        </row>
        <row r="233">
          <cell r="B233" t="str">
            <v xml:space="preserve">안동시 태화동 676-1 </v>
          </cell>
        </row>
        <row r="234">
          <cell r="B234" t="str">
            <v>안동영남</v>
          </cell>
          <cell r="D234" t="str">
            <v>회계담당</v>
          </cell>
        </row>
        <row r="235">
          <cell r="A235" t="str">
            <v>425-030</v>
          </cell>
          <cell r="E235">
            <v>78</v>
          </cell>
        </row>
        <row r="236">
          <cell r="B236" t="str">
            <v>경기도 안산시 와동 105-18번지</v>
          </cell>
        </row>
        <row r="237">
          <cell r="B237" t="str">
            <v>안산주류</v>
          </cell>
          <cell r="D237" t="str">
            <v>회계담당</v>
          </cell>
        </row>
        <row r="238">
          <cell r="A238" t="str">
            <v>430-010</v>
          </cell>
          <cell r="E238">
            <v>79</v>
          </cell>
        </row>
        <row r="239">
          <cell r="B239" t="str">
            <v>안양시 만안구 안양동 395-11</v>
          </cell>
        </row>
        <row r="240">
          <cell r="B240" t="str">
            <v>안양주류</v>
          </cell>
          <cell r="D240" t="str">
            <v>회계담당</v>
          </cell>
        </row>
        <row r="241">
          <cell r="A241" t="str">
            <v>626-010</v>
          </cell>
          <cell r="E241">
            <v>80</v>
          </cell>
        </row>
        <row r="242">
          <cell r="B242" t="str">
            <v>양산시 남부동 458-3번지</v>
          </cell>
        </row>
        <row r="243">
          <cell r="B243" t="str">
            <v>양산합명</v>
          </cell>
          <cell r="D243" t="str">
            <v>회계담당</v>
          </cell>
        </row>
        <row r="244">
          <cell r="A244" t="str">
            <v>700-252</v>
          </cell>
          <cell r="E244">
            <v>81</v>
          </cell>
        </row>
        <row r="245">
          <cell r="B245" t="str">
            <v>대구시 북구 태전동 979-16번지</v>
          </cell>
        </row>
        <row r="246">
          <cell r="B246" t="str">
            <v>영남상사</v>
          </cell>
          <cell r="D246" t="str">
            <v>회계담당</v>
          </cell>
        </row>
        <row r="247">
          <cell r="A247" t="str">
            <v>210-140</v>
          </cell>
          <cell r="E247">
            <v>82</v>
          </cell>
        </row>
        <row r="248">
          <cell r="B248" t="str">
            <v>강원 강릉시 송정동 1008-3</v>
          </cell>
        </row>
        <row r="249">
          <cell r="B249" t="str">
            <v>영동주류</v>
          </cell>
          <cell r="D249" t="str">
            <v>회계담당</v>
          </cell>
        </row>
        <row r="250">
          <cell r="A250" t="str">
            <v>150-046</v>
          </cell>
          <cell r="E250">
            <v>83</v>
          </cell>
        </row>
        <row r="251">
          <cell r="B251" t="str">
            <v>영등포구 당산동6가 320</v>
          </cell>
        </row>
        <row r="252">
          <cell r="B252" t="str">
            <v>영풍통합</v>
          </cell>
          <cell r="D252" t="str">
            <v>회계담당</v>
          </cell>
        </row>
        <row r="253">
          <cell r="A253" t="str">
            <v>573-420</v>
          </cell>
          <cell r="E253">
            <v>84</v>
          </cell>
        </row>
        <row r="254">
          <cell r="B254" t="str">
            <v>군산시 경장동 515-6</v>
          </cell>
        </row>
        <row r="255">
          <cell r="B255" t="str">
            <v>옥구상사</v>
          </cell>
          <cell r="D255" t="str">
            <v>회계담당</v>
          </cell>
        </row>
        <row r="256">
          <cell r="A256" t="str">
            <v>664-930</v>
          </cell>
          <cell r="E256">
            <v>85</v>
          </cell>
        </row>
        <row r="257">
          <cell r="B257" t="str">
            <v>경남 사천시 정동면 고읍리 602-6번지</v>
          </cell>
        </row>
        <row r="258">
          <cell r="B258" t="str">
            <v>와룡주류</v>
          </cell>
          <cell r="D258" t="str">
            <v>회계담당</v>
          </cell>
        </row>
        <row r="259">
          <cell r="A259" t="str">
            <v>140-013</v>
          </cell>
          <cell r="E259">
            <v>86</v>
          </cell>
        </row>
        <row r="260">
          <cell r="B260" t="str">
            <v>용산구 한강로3가 40-414</v>
          </cell>
        </row>
        <row r="261">
          <cell r="B261" t="str">
            <v>용산합동</v>
          </cell>
          <cell r="D261" t="str">
            <v>회계담당</v>
          </cell>
        </row>
        <row r="262">
          <cell r="A262" t="str">
            <v>697-100</v>
          </cell>
          <cell r="E262">
            <v>87</v>
          </cell>
        </row>
        <row r="263">
          <cell r="B263" t="str">
            <v>서귀포시 서호동 601번지</v>
          </cell>
        </row>
        <row r="264">
          <cell r="B264" t="str">
            <v>우일상사</v>
          </cell>
          <cell r="D264" t="str">
            <v>회계담당</v>
          </cell>
        </row>
        <row r="265">
          <cell r="A265" t="str">
            <v>157-220</v>
          </cell>
          <cell r="E265">
            <v>88</v>
          </cell>
        </row>
        <row r="266">
          <cell r="B266" t="str">
            <v>서울시 강서구 방화동 493-19번지</v>
          </cell>
        </row>
        <row r="267">
          <cell r="B267" t="str">
            <v>운화유통</v>
          </cell>
          <cell r="D267" t="str">
            <v>회계담당</v>
          </cell>
        </row>
        <row r="268">
          <cell r="A268" t="str">
            <v>120-130</v>
          </cell>
          <cell r="E268">
            <v>89</v>
          </cell>
        </row>
        <row r="269">
          <cell r="B269" t="str">
            <v>서대문구 북가좌동 368-13</v>
          </cell>
        </row>
        <row r="270">
          <cell r="B270" t="str">
            <v>이원주류</v>
          </cell>
          <cell r="D270" t="str">
            <v>회계담당</v>
          </cell>
        </row>
        <row r="271">
          <cell r="A271" t="str">
            <v>150-100</v>
          </cell>
          <cell r="E271">
            <v>90</v>
          </cell>
        </row>
        <row r="272">
          <cell r="B272" t="str">
            <v>서울시 영등포구 양평동 6-8번지</v>
          </cell>
        </row>
        <row r="273">
          <cell r="B273" t="str">
            <v>이전유통</v>
          </cell>
          <cell r="D273" t="str">
            <v>회계담당</v>
          </cell>
        </row>
        <row r="274">
          <cell r="A274" t="str">
            <v>607-102</v>
          </cell>
          <cell r="E274">
            <v>91</v>
          </cell>
        </row>
        <row r="275">
          <cell r="B275" t="str">
            <v>부산시 동래구 안락2동 172-3번지</v>
          </cell>
        </row>
        <row r="276">
          <cell r="B276" t="str">
            <v>일승</v>
          </cell>
          <cell r="D276" t="str">
            <v>회계담당</v>
          </cell>
        </row>
        <row r="277">
          <cell r="A277" t="str">
            <v>138-190</v>
          </cell>
          <cell r="E277">
            <v>92</v>
          </cell>
        </row>
        <row r="278">
          <cell r="B278" t="str">
            <v>송파구 석촌동 211-13</v>
          </cell>
        </row>
        <row r="279">
          <cell r="B279" t="str">
            <v>잠실주류</v>
          </cell>
          <cell r="D279" t="str">
            <v>회계담당</v>
          </cell>
        </row>
        <row r="280">
          <cell r="A280" t="str">
            <v>560-242</v>
          </cell>
          <cell r="E280">
            <v>93</v>
          </cell>
        </row>
        <row r="281">
          <cell r="B281" t="str">
            <v>전주시 완산구 효자2가 846</v>
          </cell>
        </row>
        <row r="282">
          <cell r="B282" t="str">
            <v>전북합동</v>
          </cell>
          <cell r="D282" t="str">
            <v>회계담당</v>
          </cell>
        </row>
        <row r="283">
          <cell r="A283" t="str">
            <v>561-220</v>
          </cell>
          <cell r="E283">
            <v>94</v>
          </cell>
        </row>
        <row r="284">
          <cell r="B284" t="str">
            <v>전주시 덕진구 우아동3가 588</v>
          </cell>
        </row>
        <row r="285">
          <cell r="B285" t="str">
            <v>전주상운</v>
          </cell>
          <cell r="D285" t="str">
            <v>회계담당</v>
          </cell>
        </row>
        <row r="286">
          <cell r="A286" t="str">
            <v>561-200</v>
          </cell>
          <cell r="E286">
            <v>95</v>
          </cell>
        </row>
        <row r="287">
          <cell r="B287" t="str">
            <v>전주시 덕진구 팔복동 2가 12-3번지</v>
          </cell>
        </row>
        <row r="288">
          <cell r="B288" t="str">
            <v>전주유통</v>
          </cell>
          <cell r="D288" t="str">
            <v>회계담당</v>
          </cell>
        </row>
        <row r="289">
          <cell r="A289" t="str">
            <v>560-252</v>
          </cell>
          <cell r="E289">
            <v>96</v>
          </cell>
        </row>
        <row r="290">
          <cell r="B290" t="str">
            <v>전주시 완산구 중화3동2가 607</v>
          </cell>
        </row>
        <row r="291">
          <cell r="B291" t="str">
            <v>전주한맥</v>
          </cell>
          <cell r="D291" t="str">
            <v>회계담당</v>
          </cell>
        </row>
        <row r="292">
          <cell r="A292" t="str">
            <v>690-050</v>
          </cell>
          <cell r="E292">
            <v>97</v>
          </cell>
        </row>
        <row r="293">
          <cell r="B293" t="str">
            <v>제주시 건입동 1044-6번지</v>
          </cell>
        </row>
        <row r="294">
          <cell r="B294" t="str">
            <v>제주물산</v>
          </cell>
          <cell r="D294" t="str">
            <v>회계담당</v>
          </cell>
        </row>
        <row r="295">
          <cell r="A295" t="str">
            <v>100-120</v>
          </cell>
          <cell r="E295">
            <v>98</v>
          </cell>
        </row>
        <row r="296">
          <cell r="B296" t="str">
            <v>서울시 중구 저동2가 48-27 금풍빌딩8층</v>
          </cell>
        </row>
        <row r="297">
          <cell r="B297" t="str">
            <v>㈜콘프로덕츠코리아</v>
          </cell>
          <cell r="D297" t="str">
            <v>회계담당</v>
          </cell>
        </row>
        <row r="298">
          <cell r="A298" t="str">
            <v>561-161</v>
          </cell>
          <cell r="E298">
            <v>99</v>
          </cell>
        </row>
        <row r="299">
          <cell r="B299" t="str">
            <v>전북 전주시 덕진구 진부1동 890-1</v>
          </cell>
        </row>
        <row r="300">
          <cell r="B300" t="str">
            <v>지산통운</v>
          </cell>
          <cell r="D300" t="str">
            <v>회계담당</v>
          </cell>
        </row>
        <row r="301">
          <cell r="A301" t="str">
            <v>645-230</v>
          </cell>
          <cell r="E301">
            <v>100</v>
          </cell>
        </row>
        <row r="302">
          <cell r="B302" t="str">
            <v>진해시 충무동 14-1번지</v>
          </cell>
        </row>
        <row r="303">
          <cell r="B303" t="str">
            <v>진해신진</v>
          </cell>
          <cell r="D303" t="str">
            <v>회계담당</v>
          </cell>
        </row>
        <row r="304">
          <cell r="A304" t="str">
            <v>641-465</v>
          </cell>
          <cell r="E304">
            <v>101</v>
          </cell>
        </row>
        <row r="305">
          <cell r="B305" t="str">
            <v>창원시 팔용동 13-2번지</v>
          </cell>
        </row>
        <row r="306">
          <cell r="B306" t="str">
            <v>창신주류</v>
          </cell>
          <cell r="D306" t="str">
            <v>회계담당</v>
          </cell>
        </row>
        <row r="307">
          <cell r="A307" t="str">
            <v>137-070</v>
          </cell>
          <cell r="E307">
            <v>102</v>
          </cell>
        </row>
        <row r="308">
          <cell r="B308" t="str">
            <v>서초구 서초동 1446-1</v>
          </cell>
        </row>
        <row r="309">
          <cell r="B309" t="str">
            <v>천동주류</v>
          </cell>
          <cell r="D309" t="str">
            <v>회계담당</v>
          </cell>
        </row>
        <row r="310">
          <cell r="A310" t="str">
            <v>703-040</v>
          </cell>
          <cell r="E310">
            <v>103</v>
          </cell>
        </row>
        <row r="311">
          <cell r="B311" t="str">
            <v>대구시 서구 비산동 1038-3</v>
          </cell>
        </row>
        <row r="312">
          <cell r="B312" t="str">
            <v>청구</v>
          </cell>
          <cell r="D312" t="str">
            <v>회계담당</v>
          </cell>
        </row>
        <row r="313">
          <cell r="A313" t="str">
            <v>131-120</v>
          </cell>
          <cell r="E313">
            <v>104</v>
          </cell>
        </row>
        <row r="314">
          <cell r="B314" t="str">
            <v>중랑구 중화동 312-46</v>
          </cell>
        </row>
        <row r="315">
          <cell r="B315" t="str">
            <v>청량흥업</v>
          </cell>
          <cell r="D315" t="str">
            <v>회계담당</v>
          </cell>
        </row>
        <row r="316">
          <cell r="A316" t="str">
            <v>465-180</v>
          </cell>
          <cell r="E316">
            <v>105</v>
          </cell>
        </row>
        <row r="317">
          <cell r="B317" t="str">
            <v>하남시 감북동 344-9</v>
          </cell>
        </row>
        <row r="318">
          <cell r="B318" t="str">
            <v>청용주류</v>
          </cell>
          <cell r="D318" t="str">
            <v>회계담당</v>
          </cell>
        </row>
        <row r="319">
          <cell r="A319" t="str">
            <v>500-130</v>
          </cell>
          <cell r="E319">
            <v>106</v>
          </cell>
        </row>
        <row r="320">
          <cell r="B320" t="str">
            <v xml:space="preserve">광주시 북구 오치동 928-12번지 </v>
          </cell>
        </row>
        <row r="321">
          <cell r="B321" t="str">
            <v>청해주류</v>
          </cell>
          <cell r="D321" t="str">
            <v>회계담당</v>
          </cell>
        </row>
        <row r="322">
          <cell r="A322" t="str">
            <v>546-820</v>
          </cell>
          <cell r="E322">
            <v>107</v>
          </cell>
        </row>
        <row r="323">
          <cell r="B323" t="str">
            <v>전남 보성군 미력면 도개리 788-1번지</v>
          </cell>
        </row>
        <row r="324">
          <cell r="B324" t="str">
            <v>코리아주류</v>
          </cell>
          <cell r="D324" t="str">
            <v>회계담당</v>
          </cell>
        </row>
        <row r="325">
          <cell r="A325" t="str">
            <v>706-040</v>
          </cell>
          <cell r="E325">
            <v>108</v>
          </cell>
        </row>
        <row r="326">
          <cell r="B326" t="str">
            <v>대구광역시 수성구 황금동 830-1</v>
          </cell>
        </row>
        <row r="327">
          <cell r="B327" t="str">
            <v>태남상사</v>
          </cell>
          <cell r="D327" t="str">
            <v>회계담당</v>
          </cell>
        </row>
        <row r="328">
          <cell r="A328" t="str">
            <v>689-800</v>
          </cell>
          <cell r="E328">
            <v>109</v>
          </cell>
        </row>
        <row r="329">
          <cell r="B329" t="str">
            <v>울산시 울주군 언양면 서부리 170-10번지</v>
          </cell>
        </row>
        <row r="330">
          <cell r="B330" t="str">
            <v>태화주류</v>
          </cell>
          <cell r="D330" t="str">
            <v>회계담당</v>
          </cell>
        </row>
        <row r="331">
          <cell r="A331" t="str">
            <v>451-800</v>
          </cell>
          <cell r="E331">
            <v>110</v>
          </cell>
        </row>
        <row r="332">
          <cell r="B332" t="str">
            <v>평택시 팽성읍 안정리 38-1</v>
          </cell>
        </row>
        <row r="333">
          <cell r="B333" t="str">
            <v>팽성통합</v>
          </cell>
          <cell r="D333" t="str">
            <v>회계담당</v>
          </cell>
        </row>
        <row r="334">
          <cell r="A334" t="str">
            <v>791-820</v>
          </cell>
          <cell r="E334">
            <v>111</v>
          </cell>
        </row>
        <row r="335">
          <cell r="B335" t="str">
            <v>포항시 북구 기계면 현내리 468-5</v>
          </cell>
        </row>
        <row r="336">
          <cell r="B336" t="str">
            <v>포항한남</v>
          </cell>
          <cell r="D336" t="str">
            <v>회계담당</v>
          </cell>
        </row>
        <row r="337">
          <cell r="A337" t="str">
            <v>617-082</v>
          </cell>
          <cell r="E337">
            <v>112</v>
          </cell>
        </row>
        <row r="338">
          <cell r="B338" t="str">
            <v>부산시 사상구 모라2동 1349-9번지20통2반</v>
          </cell>
        </row>
        <row r="339">
          <cell r="B339" t="str">
            <v>풍년유통</v>
          </cell>
          <cell r="D339" t="str">
            <v>회계담당</v>
          </cell>
        </row>
        <row r="340">
          <cell r="A340" t="str">
            <v>465-110</v>
          </cell>
          <cell r="E340">
            <v>113</v>
          </cell>
        </row>
        <row r="341">
          <cell r="B341" t="str">
            <v>경기도 하남시 천현동 488-3</v>
          </cell>
        </row>
        <row r="342">
          <cell r="B342" t="str">
            <v>하남퓨리스</v>
          </cell>
          <cell r="D342" t="str">
            <v>회계담당</v>
          </cell>
        </row>
        <row r="343">
          <cell r="A343" t="str">
            <v>157-013</v>
          </cell>
          <cell r="E343">
            <v>114</v>
          </cell>
        </row>
        <row r="344">
          <cell r="B344" t="str">
            <v>강서구 화곡3동 1014-10</v>
          </cell>
        </row>
        <row r="345">
          <cell r="B345" t="str">
            <v>한강상사</v>
          </cell>
          <cell r="D345" t="str">
            <v>회계담당</v>
          </cell>
        </row>
        <row r="346">
          <cell r="A346" t="str">
            <v>150-744</v>
          </cell>
          <cell r="E346">
            <v>115</v>
          </cell>
        </row>
        <row r="347">
          <cell r="B347" t="str">
            <v>영등포구 여의도동 44-23 하남B/D 906호</v>
          </cell>
        </row>
        <row r="348">
          <cell r="B348" t="str">
            <v>한국연쇄화협동조합</v>
          </cell>
          <cell r="D348" t="str">
            <v>회계담당</v>
          </cell>
        </row>
        <row r="349">
          <cell r="A349" t="str">
            <v>706-202</v>
          </cell>
          <cell r="E349">
            <v>116</v>
          </cell>
        </row>
        <row r="350">
          <cell r="B350" t="str">
            <v>대구시 수성구 만촌2동 737-1</v>
          </cell>
        </row>
        <row r="351">
          <cell r="B351" t="str">
            <v>한남체인대구</v>
          </cell>
          <cell r="D351" t="str">
            <v>회계담당</v>
          </cell>
        </row>
        <row r="352">
          <cell r="A352" t="str">
            <v>573-400</v>
          </cell>
          <cell r="E352">
            <v>117</v>
          </cell>
        </row>
        <row r="353">
          <cell r="B353" t="str">
            <v>전북 군산시 소룡동 1534-8</v>
          </cell>
        </row>
        <row r="354">
          <cell r="B354" t="str">
            <v>한도유화시스템</v>
          </cell>
          <cell r="D354" t="str">
            <v>회계담당</v>
          </cell>
        </row>
        <row r="355">
          <cell r="A355" t="str">
            <v>137-130</v>
          </cell>
          <cell r="E355">
            <v>118</v>
          </cell>
        </row>
        <row r="356">
          <cell r="B356" t="str">
            <v>서초구 양재동 359</v>
          </cell>
        </row>
        <row r="357">
          <cell r="B357" t="str">
            <v>한서울기업</v>
          </cell>
          <cell r="D357" t="str">
            <v>회계담당</v>
          </cell>
        </row>
        <row r="358">
          <cell r="A358" t="str">
            <v>502-200</v>
          </cell>
          <cell r="E358">
            <v>119</v>
          </cell>
        </row>
        <row r="359">
          <cell r="B359" t="str">
            <v>광주시 서구 농선동 475번지</v>
          </cell>
        </row>
        <row r="360">
          <cell r="B360" t="str">
            <v>한아름체인</v>
          </cell>
          <cell r="D360" t="str">
            <v>회계담당</v>
          </cell>
        </row>
        <row r="361">
          <cell r="A361" t="str">
            <v>483-080</v>
          </cell>
          <cell r="E361">
            <v>120</v>
          </cell>
        </row>
        <row r="362">
          <cell r="B362" t="str">
            <v>동두천시 동두천동 245-70번지 3통3반</v>
          </cell>
        </row>
        <row r="363">
          <cell r="B363" t="str">
            <v>해금상사</v>
          </cell>
          <cell r="D363" t="str">
            <v>회계담당</v>
          </cell>
        </row>
        <row r="364">
          <cell r="A364" t="str">
            <v>339-800</v>
          </cell>
          <cell r="E364">
            <v>121</v>
          </cell>
        </row>
        <row r="365">
          <cell r="B365" t="str">
            <v>충남 연기군 조치원읍 서창리 202</v>
          </cell>
        </row>
        <row r="366">
          <cell r="B366" t="str">
            <v>현대주류</v>
          </cell>
          <cell r="D366" t="str">
            <v>회계담당</v>
          </cell>
        </row>
        <row r="367">
          <cell r="A367" t="str">
            <v>560-242</v>
          </cell>
          <cell r="E367">
            <v>122</v>
          </cell>
        </row>
        <row r="368">
          <cell r="B368" t="str">
            <v>전주시 완산구 효자2가 845</v>
          </cell>
        </row>
        <row r="369">
          <cell r="B369" t="str">
            <v>호남공동</v>
          </cell>
          <cell r="D369" t="str">
            <v>회계담당</v>
          </cell>
        </row>
        <row r="370">
          <cell r="A370" t="str">
            <v>560-242</v>
          </cell>
          <cell r="E370">
            <v>123</v>
          </cell>
        </row>
        <row r="371">
          <cell r="B371" t="str">
            <v>전주시 완산구 효자2가 845-1</v>
          </cell>
        </row>
        <row r="372">
          <cell r="B372" t="str">
            <v>호남합동</v>
          </cell>
          <cell r="D372" t="str">
            <v>회계담당</v>
          </cell>
        </row>
        <row r="373">
          <cell r="A373" t="str">
            <v>690-180</v>
          </cell>
          <cell r="E373">
            <v>124</v>
          </cell>
        </row>
        <row r="374">
          <cell r="B374" t="str">
            <v>제주시 노형동 2269-1번지</v>
          </cell>
        </row>
        <row r="375">
          <cell r="B375" t="str">
            <v>화림물산</v>
          </cell>
          <cell r="D375" t="str">
            <v>회계담당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대차대조표"/>
      <sheetName val="전체종합BS"/>
      <sheetName val="국내종합BS"/>
      <sheetName val="전체종합PL"/>
      <sheetName val="국내종합PL"/>
      <sheetName val="차이분석"/>
      <sheetName val="결손금처리계산서"/>
      <sheetName val="잉여금"/>
      <sheetName val="합계잔액시산표"/>
      <sheetName val="보고서CF"/>
      <sheetName val="?????"/>
      <sheetName val="계수원본(99.2.28)"/>
      <sheetName val="BM_NEW2"/>
      <sheetName val="샤워실위생"/>
      <sheetName val="FAB별"/>
      <sheetName val="공통"/>
      <sheetName val="95WBS"/>
      <sheetName val="현금흐름표"/>
      <sheetName val="가정사항"/>
      <sheetName val="Lead"/>
      <sheetName val="감사회사"/>
      <sheetName val="대차"/>
      <sheetName val="보증금(전신전화가입권)"/>
      <sheetName val="반제품"/>
      <sheetName val="재공품"/>
      <sheetName val="타과목"/>
      <sheetName val="당월손익계산서★"/>
      <sheetName val="일반경비(타행)"/>
      <sheetName val="9-1차이내역"/>
      <sheetName val="분당임차변경"/>
      <sheetName val="정기적금"/>
      <sheetName val="LIST"/>
      <sheetName val="매입계산서"/>
      <sheetName val="부분품"/>
      <sheetName val="생산부대통지서"/>
      <sheetName val="93상각비"/>
      <sheetName val="외상매입금점별현황"/>
      <sheetName val="Ctrl"/>
      <sheetName val="협조전"/>
      <sheetName val="금융"/>
      <sheetName val="은행"/>
      <sheetName val="리스"/>
      <sheetName val="보험"/>
      <sheetName val="반도체"/>
      <sheetName val="제품(수출)매출"/>
      <sheetName val="상품보조수불"/>
      <sheetName val="제조원가계산서 (2)"/>
      <sheetName val="제품입고(생산)"/>
      <sheetName val="IN"/>
      <sheetName val="I一般比"/>
      <sheetName val="선급미지급비용"/>
      <sheetName val="BS"/>
      <sheetName val="Menu_Link"/>
      <sheetName val="외상매출금현황-수정분 A2"/>
      <sheetName val="Sheet1"/>
      <sheetName val="기초자료(20010831)"/>
      <sheetName val="Santong22"/>
      <sheetName val="TEMP1"/>
      <sheetName val="업무분장 "/>
      <sheetName val="#REF"/>
      <sheetName val="매출채권"/>
      <sheetName val="대우2월"/>
      <sheetName val="1.00매출액"/>
      <sheetName val="GB"/>
      <sheetName val="비교대차(완)"/>
      <sheetName val="HERO01"/>
      <sheetName val="공사비지급"/>
      <sheetName val="SALE"/>
      <sheetName val="Data"/>
      <sheetName val="2003경영계획"/>
      <sheetName val="회사정보"/>
      <sheetName val="원가관리"/>
      <sheetName val="근로영수증"/>
      <sheetName val="H.P견적(참조)"/>
      <sheetName val="어음수표추가테스트"/>
      <sheetName val="피엘"/>
      <sheetName val="시산표"/>
      <sheetName val="원가"/>
      <sheetName val="조회서"/>
      <sheetName val="주소"/>
      <sheetName val="실적표"/>
      <sheetName val="2001"/>
      <sheetName val="11급"/>
      <sheetName val="예금미수 (2)"/>
      <sheetName val="선급비용"/>
      <sheetName val="T48a"/>
      <sheetName val="예수금"/>
      <sheetName val="Ⅱ1-0타"/>
      <sheetName val="미지급이자(분쟁대상)"/>
      <sheetName val="_____"/>
      <sheetName val="배서어음명세서"/>
      <sheetName val="COND"/>
      <sheetName val="분석항목"/>
      <sheetName val="월확9601"/>
      <sheetName val="영업외손익등"/>
      <sheetName val="시설투자"/>
      <sheetName val="율촌자금집행"/>
      <sheetName val="JOB Assign"/>
      <sheetName val="첨부1"/>
      <sheetName val="고정자산원본"/>
      <sheetName val="기본입력사항"/>
      <sheetName val="A1"/>
      <sheetName val="채권(하반기)"/>
      <sheetName val="일반물자(한국통신)"/>
      <sheetName val="지급이자"/>
      <sheetName val="1"/>
      <sheetName val="기준정보"/>
      <sheetName val="22.보증금(전화가입권)"/>
      <sheetName val="2000손익실적"/>
      <sheetName val="2000손익예산"/>
      <sheetName val="Sheet2"/>
      <sheetName val="98년BS"/>
      <sheetName val="산출"/>
      <sheetName val="3-31"/>
      <sheetName val="주주명부&lt;끝&gt;"/>
      <sheetName val="자본금"/>
      <sheetName val="고정비"/>
      <sheetName val="월별비교제조원가명세서"/>
      <sheetName val="24.보증금(전신전화가입권)"/>
      <sheetName val="절대지우지말것"/>
      <sheetName val="A(1)"/>
      <sheetName val="서식시트"/>
      <sheetName val="2008"/>
      <sheetName val="자금집행내역"/>
      <sheetName val="대외공문"/>
      <sheetName val="WPL"/>
      <sheetName val="admin"/>
      <sheetName val="최근5이익잉여금처분계산서"/>
      <sheetName val="최근5재무상태변동표"/>
      <sheetName val="LU"/>
      <sheetName val="판매시설"/>
      <sheetName val="감가상각"/>
      <sheetName val="Sheet3"/>
      <sheetName val="제조원가"/>
      <sheetName val="RV미수수익보정"/>
      <sheetName val="불균등-거치외(미수)"/>
      <sheetName val="불균등-TOP(선수)"/>
      <sheetName val="English"/>
      <sheetName val="8월"/>
      <sheetName val="EX-외상(06)"/>
      <sheetName val="명부"/>
      <sheetName val="조정명세서"/>
      <sheetName val="표지"/>
      <sheetName val="현금예금"/>
      <sheetName val="ALL"/>
      <sheetName val="과"/>
      <sheetName val="출자한도1031"/>
      <sheetName val="노무비"/>
      <sheetName val="Sheet11"/>
      <sheetName val="기본정보"/>
      <sheetName val="확인서"/>
      <sheetName val="conclusion"/>
      <sheetName val="결정단가"/>
      <sheetName val="comparables"/>
      <sheetName val="Deduction"/>
      <sheetName val="other"/>
      <sheetName val="보증금명세서"/>
      <sheetName val="23기-3분기결산PL"/>
      <sheetName val="213"/>
      <sheetName val="시산표12월(수정후)"/>
      <sheetName val="10월판관"/>
      <sheetName val="대차대조표-공시형"/>
      <sheetName val="세무서코드"/>
      <sheetName val="TLCF"/>
      <sheetName val="기초코드"/>
      <sheetName val="실적관리"/>
      <sheetName val="기본사항"/>
      <sheetName val="99매출현"/>
      <sheetName val="CHECK"/>
      <sheetName val="산출기준(파견전산실)"/>
      <sheetName val="회수내역"/>
      <sheetName val="4.경비 5.영업외수지"/>
      <sheetName val="(1)메가총괄"/>
      <sheetName val="(3)프리머스"/>
      <sheetName val="재고자산명세"/>
      <sheetName val="SIMULATION"/>
      <sheetName val="인원계획-미화"/>
      <sheetName val="10.31"/>
      <sheetName val="99종합"/>
      <sheetName val="Index"/>
      <sheetName val="B1(반포1차)"/>
      <sheetName val="DY092"/>
      <sheetName val="제작실적"/>
      <sheetName val="COMM"/>
      <sheetName val="Sheet1 (3)"/>
      <sheetName val="계정code"/>
      <sheetName val="98"/>
      <sheetName val="Sheet7"/>
      <sheetName val="DI1"/>
      <sheetName val="지분법(AK) (2)"/>
      <sheetName val="한일자야(감액손실) (2)"/>
      <sheetName val="PL"/>
      <sheetName val="유진기업"/>
      <sheetName val="´ëÂ÷´ëÁ¶Ç¥"/>
      <sheetName val="손익분기분석"/>
      <sheetName val="수익성분석"/>
      <sheetName val="주요재무비율"/>
      <sheetName val="생산성에관한지표"/>
      <sheetName val="수입"/>
      <sheetName val="경제성분석"/>
      <sheetName val="생산직"/>
      <sheetName val="정산표"/>
      <sheetName val="control"/>
      <sheetName val="외화"/>
      <sheetName val="플래티늄미디어"/>
      <sheetName val="갑지"/>
      <sheetName val="실행"/>
      <sheetName val="basic_info"/>
      <sheetName val="F12"/>
      <sheetName val="국내총괄"/>
      <sheetName val="외주가공비0109"/>
      <sheetName val="양식(직판용)"/>
      <sheetName val="매출(월누계)"/>
      <sheetName val="송산관11년월별매출(최종)"/>
      <sheetName val="보정전"/>
      <sheetName val="반제품생산량(12월월간)"/>
      <sheetName val="원가계산"/>
      <sheetName val="프린트입출고(누적)"/>
      <sheetName val="Macro1"/>
      <sheetName val="미착상품30"/>
      <sheetName val="Variable"/>
      <sheetName val="노임"/>
      <sheetName val="IS_03"/>
      <sheetName val="원가명세_0703"/>
      <sheetName val="A-LINE"/>
      <sheetName val="YOEMAGUM"/>
      <sheetName val="소기"/>
      <sheetName val="기준재고"/>
      <sheetName val="수정시산표"/>
      <sheetName val="부문손익"/>
      <sheetName val="code"/>
      <sheetName val="상품입력"/>
      <sheetName val="원재료입력"/>
      <sheetName val="건강보험data"/>
      <sheetName val="고용보험data"/>
      <sheetName val="국민연금data"/>
      <sheetName val="급여data(서울)"/>
      <sheetName val="상여data(서울)"/>
      <sheetName val="Links"/>
      <sheetName val="2월계획"/>
      <sheetName val="지분법평가1분기"/>
      <sheetName val="검토사항"/>
      <sheetName val="년간합계"/>
      <sheetName val="5.세운W-A"/>
      <sheetName val="TB(BS)"/>
      <sheetName val="TB(PL)"/>
      <sheetName val="전문직"/>
      <sheetName val="인턴사원"/>
      <sheetName val="수익비용총괄"/>
      <sheetName val="그패프"/>
      <sheetName val="마진"/>
      <sheetName val="월제조(03.09월)"/>
      <sheetName val="차입금"/>
      <sheetName val="요약"/>
      <sheetName val="일반(본사)"/>
      <sheetName val="일반(의성)"/>
      <sheetName val="미수금(공동공사비)"/>
      <sheetName val="내역서"/>
      <sheetName val="미착기계"/>
      <sheetName val="매출.물동명세"/>
      <sheetName val="UTMBPL"/>
      <sheetName val="대표자"/>
      <sheetName val="대표경력"/>
      <sheetName val="신예"/>
      <sheetName val="입력항목"/>
      <sheetName val="대가목록"/>
      <sheetName val="96추정PL"/>
      <sheetName val="리뉴얼상각"/>
      <sheetName val="고수익"/>
      <sheetName val="Basic_Information"/>
      <sheetName val="이자율"/>
      <sheetName val="손익계산서"/>
      <sheetName val="책임준비금"/>
      <sheetName val="매입수불자재"/>
      <sheetName val="상품매출"/>
      <sheetName val="재고 "/>
      <sheetName val="업체손실공수.xls"/>
      <sheetName val="평가표(당월)"/>
      <sheetName val="대기업"/>
      <sheetName val="①매출"/>
      <sheetName val="96월별PL"/>
      <sheetName val="정의"/>
      <sheetName val="2.ABX개별"/>
      <sheetName val="CaratPrévisions "/>
      <sheetName val="CaratRM99Division "/>
      <sheetName val="CaratRMDivision"/>
      <sheetName val="CaratRSBDivision"/>
      <sheetName val="99입장목표"/>
      <sheetName val="적현로"/>
      <sheetName val="前期시산표"/>
      <sheetName val="ld-극동"/>
      <sheetName val="부산물"/>
      <sheetName val="96수표어음"/>
      <sheetName val="unit 4"/>
      <sheetName val="현금"/>
      <sheetName val="지성학원"/>
      <sheetName val="ILBAN"/>
      <sheetName val="총괄표"/>
      <sheetName val="理由"/>
      <sheetName val="부채"/>
      <sheetName val="급여대장"/>
      <sheetName val="장적산출"/>
      <sheetName val="XL4Poppy"/>
      <sheetName val="231218재직현황"/>
      <sheetName val="가능목표"/>
      <sheetName val="0-Basics"/>
      <sheetName val="매출"/>
      <sheetName val="본사타처"/>
      <sheetName val="국문FS(제조원가 반영전)"/>
      <sheetName val="금융소득종합과세"/>
      <sheetName val="근로소득세2001"/>
      <sheetName val="완성차 미수금"/>
      <sheetName val="control sheet"/>
      <sheetName val="Ship Advice"/>
      <sheetName val="T6-6(2)"/>
      <sheetName val="호남2"/>
      <sheetName val="목표고객속보"/>
      <sheetName val="설정(한도)"/>
      <sheetName val="00'미수"/>
      <sheetName val="Fin_Assumption"/>
      <sheetName val="10월"/>
      <sheetName val="달성율"/>
      <sheetName val="0305"/>
      <sheetName val="축종별판매량"/>
      <sheetName val="해창정"/>
      <sheetName val="표준대차대조표(갑)"/>
      <sheetName val="계정별실적"/>
      <sheetName val="반품"/>
      <sheetName val="정상"/>
      <sheetName val="폐기-090831"/>
      <sheetName val="원가계산서"/>
      <sheetName val="단위단가"/>
      <sheetName val="2000년자료"/>
      <sheetName val="RPC연체 원본"/>
      <sheetName val="공용"/>
      <sheetName val="선급비용내역서"/>
      <sheetName val="Sheet4"/>
      <sheetName val="받어"/>
      <sheetName val="투자기타"/>
      <sheetName val="Voice_Revenue"/>
      <sheetName val="특별유가증권"/>
      <sheetName val="기준"/>
      <sheetName val="매출채권(외출)"/>
      <sheetName val="HP1AMLIST"/>
      <sheetName val="동해title"/>
      <sheetName val="기계"/>
      <sheetName val="대구경북"/>
      <sheetName val="월별손익현황"/>
      <sheetName val="서울서부"/>
      <sheetName val="부산경남"/>
      <sheetName val="서울동부"/>
      <sheetName val="인천경기"/>
      <sheetName val="중부본부"/>
      <sheetName val="호남본부"/>
      <sheetName val="기본 FACTOR"/>
      <sheetName val="통장출금액"/>
      <sheetName val="Macro2"/>
      <sheetName val="sst,stl창호"/>
      <sheetName val="캔개발배경"/>
      <sheetName val="시장"/>
      <sheetName val="일정표"/>
      <sheetName val="제품수불"/>
      <sheetName val="기흥진행률"/>
      <sheetName val="master"/>
      <sheetName val="안전보호구98"/>
      <sheetName val="일위대가표"/>
      <sheetName val="진행률"/>
      <sheetName val="주식배당"/>
      <sheetName val="미지급금"/>
      <sheetName val="회사개황최종"/>
      <sheetName val="Publishing Plan(Edit)"/>
      <sheetName val="FF시장분석 (3)"/>
      <sheetName val="보증금_전신전화가입권_"/>
      <sheetName val="2-2.매출분석"/>
      <sheetName val="합손"/>
      <sheetName val="98년이전원본"/>
      <sheetName val="2.상각보정명세"/>
      <sheetName val="화요일"/>
      <sheetName val="수요일"/>
      <sheetName val="매출검토"/>
      <sheetName val="비율"/>
      <sheetName val="변제"/>
      <sheetName val="이자"/>
      <sheetName val="3-4현"/>
      <sheetName val="3-3현"/>
      <sheetName val="97 사업추정(WEKI)"/>
      <sheetName val="입력자료"/>
      <sheetName val="무비"/>
      <sheetName val="미래프린팅"/>
      <sheetName val="제이파크"/>
      <sheetName val="운영자금차입금"/>
      <sheetName val=" 견적서"/>
      <sheetName val="연봉제451"/>
      <sheetName val="non"/>
      <sheetName val="유통조직현황"/>
      <sheetName val="원가기준정보"/>
      <sheetName val="원가배부작업시간"/>
      <sheetName val="유림골조"/>
      <sheetName val="토요일"/>
      <sheetName val="Main"/>
      <sheetName val="INV"/>
      <sheetName val="Data gathering"/>
      <sheetName val="1.3.분기세부"/>
      <sheetName val="대환취급"/>
      <sheetName val="별제권_정리담보권1"/>
      <sheetName val="Sound9월"/>
      <sheetName val="월할경비"/>
      <sheetName val="장기성단가"/>
      <sheetName val="지역매출USD(2002)"/>
      <sheetName val="특판제외"/>
      <sheetName val="단기차입금(200006)"/>
      <sheetName val="민감도"/>
      <sheetName val="수입LIST"/>
      <sheetName val="용역매출2"/>
      <sheetName val="시산표(매출조정전)"/>
      <sheetName val="계약서0620"/>
      <sheetName val="400H 가공,금형비"/>
      <sheetName val="xxxxxx"/>
      <sheetName val="실행계획"/>
      <sheetName val="총괄"/>
      <sheetName val="4"/>
      <sheetName val="선급금"/>
      <sheetName val="----"/>
      <sheetName val="2003SaleHC"/>
      <sheetName val="공장"/>
      <sheetName val="승용"/>
      <sheetName val="본부장"/>
      <sheetName val="0601"/>
      <sheetName val="이익잉여금처분계산서"/>
      <sheetName val="현예금LS"/>
      <sheetName val="비주거용"/>
      <sheetName val="2000제조1"/>
      <sheetName val="2004년하반기 경평반영_민원반영영업점"/>
      <sheetName val="터파기및재료"/>
      <sheetName val="PPS2"/>
      <sheetName val="3-4.변동내역"/>
      <sheetName val="maccp04"/>
      <sheetName val="F유가증권"/>
      <sheetName val="당년매출집계"/>
      <sheetName val="예산실적비교"/>
      <sheetName val="분개장·원장"/>
      <sheetName val="대차대조"/>
      <sheetName val="기초데이타"/>
      <sheetName val="주요경영지표"/>
      <sheetName val="제품수불(대체)"/>
      <sheetName val="총제품수불"/>
      <sheetName val="제품입력"/>
      <sheetName val="일일계획"/>
      <sheetName val="T_통화현황_대리점"/>
      <sheetName val="Inv. LS"/>
      <sheetName val="가수금대체"/>
      <sheetName val="Actual data"/>
      <sheetName val="공통가설"/>
      <sheetName val="INFO"/>
      <sheetName val="경비테이블"/>
      <sheetName val="추천서"/>
      <sheetName val="RD제품개발투자비(매가)"/>
      <sheetName val="Baby일위대가"/>
      <sheetName val="공통가설공사"/>
      <sheetName val="자료"/>
      <sheetName val="제조원가계산"/>
      <sheetName val="품목별매출"/>
      <sheetName val="회수율"/>
      <sheetName val="9.1"/>
      <sheetName val="민감도분석"/>
      <sheetName val="9904"/>
      <sheetName val="9908"/>
      <sheetName val="9912"/>
      <sheetName val="9902"/>
      <sheetName val="9901"/>
      <sheetName val="9907"/>
      <sheetName val="9906"/>
      <sheetName val="9903"/>
      <sheetName val="9905"/>
      <sheetName val="9911"/>
      <sheetName val="9910"/>
      <sheetName val="9909"/>
      <sheetName val="이익잉여금"/>
      <sheetName val="기안"/>
      <sheetName val="목차"/>
      <sheetName val="2003"/>
      <sheetName val="2002"/>
      <sheetName val="내역(설계)"/>
      <sheetName val="주민등록"/>
      <sheetName val="XREF"/>
      <sheetName val="MH"/>
      <sheetName val="내역"/>
      <sheetName val="ARDEPPROPERTY"/>
      <sheetName val="공정가치"/>
      <sheetName val="사업자등록증"/>
      <sheetName val="3.판관비명세서"/>
      <sheetName val="매출현황(월별)  (2)"/>
      <sheetName val="인상기준"/>
      <sheetName val="단기차입금"/>
      <sheetName val="정비직인건비(서울제외)"/>
      <sheetName val="손익"/>
      <sheetName val="2000이전건준공"/>
      <sheetName val="2001발주"/>
      <sheetName val="퇴직영수증"/>
      <sheetName val="지급자재"/>
      <sheetName val="계산근거"/>
      <sheetName val="정화조동내역"/>
      <sheetName val="매  출"/>
      <sheetName val="2.대외공문"/>
      <sheetName val="9월리베이트"/>
      <sheetName val="기본데이터"/>
      <sheetName val="관람석제출"/>
      <sheetName val="단지별수거량"/>
      <sheetName val="건물"/>
      <sheetName val="기타현황"/>
      <sheetName val="급여"/>
      <sheetName val="경영계획_영화"/>
      <sheetName val="거래선별"/>
      <sheetName val="매출계획 작성 가이드"/>
      <sheetName val="손익계획_정리"/>
      <sheetName val="가격요약"/>
      <sheetName val="D1300 자삽"/>
      <sheetName val="월별손익"/>
      <sheetName val="보정사항"/>
      <sheetName val="계수원본(99_2_28)"/>
      <sheetName val="외상매출금현황-수정분_A2"/>
      <sheetName val="H_P견적(참조)"/>
      <sheetName val="제조원가계산서_(2)"/>
      <sheetName val="예금미수_(2)"/>
      <sheetName val="JOB_Assign"/>
      <sheetName val="업무분장_"/>
      <sheetName val="1_00매출액"/>
      <sheetName val="22_보증금(전화가입권)"/>
      <sheetName val="지분법(AK)_(2)"/>
      <sheetName val="한일자야(감액손실)_(2)"/>
      <sheetName val="24_보증금(전신전화가입권)"/>
      <sheetName val="10_31"/>
      <sheetName val="Sheet1_(3)"/>
      <sheetName val="4_경비_5_영업외수지"/>
      <sheetName val="5_세운W-A"/>
      <sheetName val="월제조(03_09월)"/>
      <sheetName val="재고_"/>
      <sheetName val="매출_물동명세"/>
      <sheetName val="2_ABX개별"/>
      <sheetName val="CaratPrévisions_"/>
      <sheetName val="CaratRM99Division_"/>
      <sheetName val="업체손실공수_xls"/>
      <sheetName val="unit_4"/>
      <sheetName val="Ship_Advice"/>
      <sheetName val="97_사업추정(WEKI)"/>
      <sheetName val="control_sheet"/>
      <sheetName val="국문FS(제조원가_반영전)"/>
      <sheetName val="RPC연체_원본"/>
      <sheetName val="FF시장분석_(3)"/>
      <sheetName val="_견적서"/>
      <sheetName val="2_상각보정명세"/>
      <sheetName val="Publishing_Plan(Edit)"/>
      <sheetName val="완성차_미수금"/>
      <sheetName val="2-2_매출분석"/>
      <sheetName val="기본_FACTOR"/>
      <sheetName val="2004년하반기_경평반영_민원반영영업점"/>
      <sheetName val="XLUTIL"/>
      <sheetName val="공통사항"/>
      <sheetName val="CAUDIT"/>
      <sheetName val="제품단가.."/>
      <sheetName val="MM"/>
      <sheetName val="면적"/>
      <sheetName val="미수증권9706"/>
      <sheetName val="조도계산서 (도서)"/>
      <sheetName val="20관리비율"/>
      <sheetName val="J直材4"/>
      <sheetName val="K1CSP-00"/>
      <sheetName val="임율"/>
      <sheetName val="집-년간총율"/>
      <sheetName val="sm"/>
      <sheetName val="공정집계_국별"/>
      <sheetName val="영업.일1"/>
      <sheetName val="국내재료(집)"/>
      <sheetName val="재료집계"/>
      <sheetName val="견적구분"/>
      <sheetName val="내역서2안"/>
      <sheetName val="비목계산"/>
      <sheetName val="구입부품비"/>
      <sheetName val="예적금"/>
      <sheetName val="원본"/>
      <sheetName val="Macro3"/>
      <sheetName val="tax1"/>
      <sheetName val="일반사항"/>
      <sheetName val="노c"/>
      <sheetName val="Revised PEGS98"/>
      <sheetName val="매출원가"/>
      <sheetName val="최종전사PL"/>
      <sheetName val="060930"/>
      <sheetName val="제품별 MC"/>
      <sheetName val="건축내역"/>
      <sheetName val="DWPM"/>
      <sheetName val="Work"/>
      <sheetName val="조직"/>
      <sheetName val="현금과예금LS"/>
      <sheetName val="투찰가"/>
      <sheetName val="MAT"/>
      <sheetName val="RPC연체"/>
      <sheetName val="2분기평가"/>
      <sheetName val="박상무"/>
      <sheetName val="곽병갑"/>
      <sheetName val="김석천"/>
      <sheetName val="오이균"/>
      <sheetName val="이명례"/>
      <sheetName val="6호기"/>
      <sheetName val="财务费用表"/>
      <sheetName val="R&amp;D"/>
      <sheetName val="1.능률현황"/>
      <sheetName val="2.호선별예상실적"/>
      <sheetName val="A2"/>
      <sheetName val="GR_EBITDA"/>
      <sheetName val="GR_판매추이"/>
      <sheetName val="GR_전사이익"/>
      <sheetName val="기조_증감"/>
      <sheetName val="기조_손익"/>
      <sheetName val="증감내역"/>
      <sheetName val="자재비실적"/>
      <sheetName val="应付账款余额表"/>
      <sheetName val="자재별"/>
      <sheetName val="2007년분개장"/>
      <sheetName val="개인별급여명세서"/>
      <sheetName val="청구서"/>
      <sheetName val="단가표"/>
      <sheetName val="코드"/>
      <sheetName val="S&amp;R"/>
      <sheetName val="anaysis_sheet"/>
      <sheetName val="Laying"/>
      <sheetName val="0096판보"/>
      <sheetName val="1월"/>
      <sheetName val="첨부3"/>
      <sheetName val="직무구분"/>
      <sheetName val="직무인건비"/>
      <sheetName val="직무인원"/>
      <sheetName val="IJABUNRI"/>
      <sheetName val="계정잔액"/>
      <sheetName val="월별수입"/>
      <sheetName val="결산조정08"/>
      <sheetName val="종합"/>
      <sheetName val="상품목록시트"/>
      <sheetName val="외관불량현황"/>
      <sheetName val="예금구좌"/>
      <sheetName val="재무.17.충당금 명세서"/>
      <sheetName val="TIBURON"/>
      <sheetName val="등록현황"/>
      <sheetName val="수당table"/>
      <sheetName val="上座率"/>
      <sheetName val="내수자재"/>
      <sheetName val="일별자금"/>
      <sheetName val="수리계산(5년)1유역"/>
      <sheetName val="수리계산(5년)2유역"/>
      <sheetName val="수리계산(5년)3유역"/>
      <sheetName val="수리계산(10년)4유역"/>
      <sheetName val="수리계산(10년)5유역"/>
      <sheetName val="표지(목차)"/>
      <sheetName val="표지(자재집계표)"/>
      <sheetName val="표지(토공)"/>
      <sheetName val="표지(배수공)"/>
      <sheetName val="표지(포장공)"/>
      <sheetName val="표지(부대공)"/>
      <sheetName val="공사원가계산서"/>
      <sheetName val="공사원가계산서(전기)"/>
      <sheetName val="총괄재료집계표"/>
      <sheetName val="골재량산출"/>
      <sheetName val="토공집계표"/>
      <sheetName val="토적계산"/>
      <sheetName val="P,E이중관Φ400"/>
      <sheetName val="P,E이중관Φ800"/>
      <sheetName val="P.E이중관보호공800(터파기)"/>
      <sheetName val="우수집수정터파기(A-TYPE)"/>
      <sheetName val="우수집수정터파기(B-TYPE)"/>
      <sheetName val="콘크리트포장깨기"/>
      <sheetName val="배수공수량집계표"/>
      <sheetName val="배수공재료집계표"/>
      <sheetName val="배수몰탈수량"/>
      <sheetName val="L형측구(화강암)A&quot;"/>
      <sheetName val="L형측구(화강암)B&quot;"/>
      <sheetName val="P.E이중관보호공800"/>
      <sheetName val="우수집수정(A-TYPE)"/>
      <sheetName val="우수집수정(B-TYPE)"/>
      <sheetName val="횡배수관날개벽"/>
      <sheetName val="날개벽수량표"/>
      <sheetName val="노임단가"/>
      <sheetName val="덕전리"/>
      <sheetName val="공사비집계"/>
      <sheetName val="건설가"/>
      <sheetName val="제품코드"/>
      <sheetName val="3'RD Party"/>
      <sheetName val="건축"/>
      <sheetName val="국민연금"/>
      <sheetName val="기초"/>
      <sheetName val="유림콘도"/>
      <sheetName val="전체"/>
      <sheetName val="Sheet1 (2)"/>
      <sheetName val="参照"/>
      <sheetName val="BOM"/>
      <sheetName val="대구은행"/>
      <sheetName val="총요약"/>
      <sheetName val="1월월보"/>
      <sheetName val="下조건"/>
      <sheetName val="등록정보"/>
      <sheetName val="间接"/>
      <sheetName val="后勤"/>
      <sheetName val="TSOE"/>
      <sheetName val="월고정비"/>
      <sheetName val="월고정비_변동비추가"/>
      <sheetName val="월고정비_공헌이익"/>
      <sheetName val="월고정비_손익분기점(1)"/>
      <sheetName val="월고정비_손익분기점(2)"/>
      <sheetName val="급여및잡급"/>
      <sheetName val="복리후생비"/>
      <sheetName val="통신비"/>
      <sheetName val="전력비"/>
      <sheetName val="감가상각비(유형)"/>
      <sheetName val="감가상각비(무형)"/>
      <sheetName val="지급임차료"/>
      <sheetName val="수선비"/>
      <sheetName val="보험료"/>
      <sheetName val="차량유지비"/>
      <sheetName val="교육훈련비"/>
      <sheetName val="운반비"/>
      <sheetName val="소모품비"/>
      <sheetName val="소모품비 (2)"/>
      <sheetName val="제조경비-소모품비"/>
      <sheetName val="소모품비(제조경비-변동비품목)"/>
      <sheetName val="지급수수료"/>
      <sheetName val="여비교통비외"/>
      <sheetName val="외주가공비외"/>
      <sheetName val="원재료"/>
      <sheetName val="물량"/>
      <sheetName val="Ⅰ-3"/>
      <sheetName val="담보명세"/>
      <sheetName val="급여인상효과-연간부담분"/>
      <sheetName val="LCD_BOM"/>
      <sheetName val="조명시설"/>
      <sheetName val="판관비"/>
      <sheetName val="회사BS"/>
      <sheetName val="회의자료"/>
      <sheetName val="유효담보가액"/>
      <sheetName val="CAMERA"/>
      <sheetName val="생산량"/>
      <sheetName val="지급어음"/>
      <sheetName val="5600"/>
      <sheetName val="관리1"/>
      <sheetName val="科目余额表"/>
      <sheetName val="应收帐款(외상매출금)"/>
      <sheetName val="400H_가공,금형비"/>
      <sheetName val="3-4_변동내역"/>
      <sheetName val="Inv__LS"/>
      <sheetName val="Actual_data"/>
      <sheetName val="Data_gathering"/>
      <sheetName val="1_3_분기세부"/>
      <sheetName val="매__출"/>
      <sheetName val="Analysis"/>
      <sheetName val="TB"/>
      <sheetName val="배부기준"/>
      <sheetName val="VENDOR LIST"/>
      <sheetName val="공통비"/>
      <sheetName val="산5-7"/>
      <sheetName val="engline"/>
      <sheetName val="20021231"/>
      <sheetName val="FX"/>
      <sheetName val="기준수익률"/>
      <sheetName val="기본"/>
      <sheetName val="시설장비"/>
      <sheetName val="data_val"/>
      <sheetName val="가격표"/>
      <sheetName val="당월손익계산서_"/>
      <sheetName val="세액계산"/>
      <sheetName val="대차합동"/>
      <sheetName val="N00"/>
      <sheetName val="쌍용건설"/>
      <sheetName val="이매"/>
      <sheetName val="접수"/>
      <sheetName val="이름표"/>
      <sheetName val="U3.1"/>
      <sheetName val="총괄갑 "/>
      <sheetName val="명세"/>
      <sheetName val="98상품수불(기초)"/>
      <sheetName val="제품수불 (기초)"/>
      <sheetName val="98제품수불부"/>
      <sheetName val="1月兼职考勤纪录"/>
      <sheetName val="매장명"/>
      <sheetName val="투자유가증권"/>
      <sheetName val="ML"/>
      <sheetName val="2005년"/>
      <sheetName val="분기별"/>
      <sheetName val="내수충당금"/>
      <sheetName val="FAB4생산"/>
      <sheetName val="받을어음"/>
      <sheetName val="직원배율"/>
      <sheetName val="임원배율"/>
      <sheetName val="Pivot"/>
      <sheetName val="일위대가"/>
      <sheetName val="사채이자비용"/>
      <sheetName val="유통간부"/>
      <sheetName val="2공구산출내역"/>
      <sheetName val="97_사업추정(WEK培¹"/>
      <sheetName val="97_사업추정(WEK培ú"/>
      <sheetName val="Daftar Hutang"/>
      <sheetName val="status"/>
      <sheetName val="시험연구비상각"/>
      <sheetName val="(참고) 리스크 맵"/>
      <sheetName val="대지급금(외화)"/>
      <sheetName val="성적표96"/>
      <sheetName val="이익처분"/>
      <sheetName val="US Codes"/>
      <sheetName val="Ⅰ-1"/>
      <sheetName val="주요비율-낙관"/>
      <sheetName val="산업은행 경영지표"/>
      <sheetName val="국산화"/>
      <sheetName val="경비"/>
      <sheetName val="25.보증금(임차보증금외)"/>
      <sheetName val="계수원본(99_2_28)1"/>
      <sheetName val="외상매출금현황-수정분_A21"/>
      <sheetName val="H_P견적(참조)1"/>
      <sheetName val="업무분장_1"/>
      <sheetName val="1_00매출액1"/>
      <sheetName val="제조원가계산서_(2)1"/>
      <sheetName val="JOB_Assign1"/>
      <sheetName val="22_보증금(전화가입권)1"/>
      <sheetName val="예금미수_(2)1"/>
      <sheetName val="24_보증금(전신전화가입권)1"/>
      <sheetName val="10_311"/>
      <sheetName val="지분법(AK)_(2)1"/>
      <sheetName val="한일자야(감액손실)_(2)1"/>
      <sheetName val="4_경비_5_영업외수지1"/>
      <sheetName val="Sheet1_(3)1"/>
      <sheetName val="2_ABX개별1"/>
      <sheetName val="매출_물동명세1"/>
      <sheetName val="업체손실공수_xls1"/>
      <sheetName val="unit_41"/>
      <sheetName val="완성차_미수금1"/>
      <sheetName val="5_세운W-A1"/>
      <sheetName val="월제조(03_09월)1"/>
      <sheetName val="재고_1"/>
      <sheetName val="CaratPrévisions_1"/>
      <sheetName val="CaratRM99Division_1"/>
      <sheetName val="Ship_Advice1"/>
      <sheetName val="control_sheet1"/>
      <sheetName val="RPC연체_원본1"/>
      <sheetName val="기본_FACTOR1"/>
      <sheetName val="FF시장분석_(3)1"/>
      <sheetName val="97_사업추정(WEKI)1"/>
      <sheetName val="국문FS(제조원가_반영전)1"/>
      <sheetName val="Publishing_Plan(Edit)1"/>
      <sheetName val="2_상각보정명세1"/>
      <sheetName val="2-2_매출분석1"/>
      <sheetName val="2004년하반기_경평반영_민원반영영업점1"/>
      <sheetName val="_견적서1"/>
      <sheetName val="제품단가__"/>
      <sheetName val="매출계획_작성_가이드"/>
      <sheetName val="1_능률현황"/>
      <sheetName val="2_호선별예상실적"/>
      <sheetName val="2_대외공문"/>
      <sheetName val="D1300_자삽"/>
      <sheetName val="9_1"/>
      <sheetName val="조도계산서_(도서)"/>
      <sheetName val="영업_일1"/>
      <sheetName val="재무_17_충당금_명세서"/>
      <sheetName val="제품별_MC"/>
      <sheetName val="Revised_PEGS98"/>
      <sheetName val="3_판관비명세서"/>
      <sheetName val="매출현황(월별)__(2)"/>
      <sheetName val="3'RD_Party"/>
      <sheetName val="Sheet1_(2)"/>
      <sheetName val="계수원본(99_2_28)5"/>
      <sheetName val="H_P견적(참조)5"/>
      <sheetName val="외상매출금현황-수정분_A25"/>
      <sheetName val="제조원가계산서_(2)5"/>
      <sheetName val="업무분장_5"/>
      <sheetName val="1_00매출액5"/>
      <sheetName val="예금미수_(2)5"/>
      <sheetName val="2_상각보정명세5"/>
      <sheetName val="지분법(AK)_(2)5"/>
      <sheetName val="한일자야(감액손실)_(2)5"/>
      <sheetName val="JOB_Assign5"/>
      <sheetName val="22_보증금(전화가입권)5"/>
      <sheetName val="24_보증금(전신전화가입권)5"/>
      <sheetName val="10_315"/>
      <sheetName val="Sheet1_(3)5"/>
      <sheetName val="4_경비_5_영업외수지5"/>
      <sheetName val="Publishing_Plan(Edit)5"/>
      <sheetName val="2_ABX개별5"/>
      <sheetName val="5_세운W-A5"/>
      <sheetName val="매출_물동명세5"/>
      <sheetName val="업체손실공수_xls5"/>
      <sheetName val="unit_45"/>
      <sheetName val="월제조(03_09월)5"/>
      <sheetName val="완성차_미수금5"/>
      <sheetName val="CaratPrévisions_5"/>
      <sheetName val="CaratRM99Division_5"/>
      <sheetName val="control_sheet5"/>
      <sheetName val="RPC연체_원본5"/>
      <sheetName val="재고_5"/>
      <sheetName val="Ship_Advice5"/>
      <sheetName val="FF시장분석_(3)5"/>
      <sheetName val="2-2_매출분석5"/>
      <sheetName val="기본_FACTOR5"/>
      <sheetName val="국문FS(제조원가_반영전)5"/>
      <sheetName val="97_사업추정(WEKI)5"/>
      <sheetName val="400H_가공,금형비4"/>
      <sheetName val="_견적서5"/>
      <sheetName val="Data_gathering4"/>
      <sheetName val="1_3_분기세부4"/>
      <sheetName val="3-4_변동내역4"/>
      <sheetName val="2004년하반기_경평반영_민원반영영업점5"/>
      <sheetName val="Inv__LS4"/>
      <sheetName val="Actual_data4"/>
      <sheetName val="제품단가__4"/>
      <sheetName val="매__출4"/>
      <sheetName val="매출계획_작성_가이드4"/>
      <sheetName val="1_능률현황4"/>
      <sheetName val="2_호선별예상실적4"/>
      <sheetName val="2_대외공문4"/>
      <sheetName val="D1300_자삽4"/>
      <sheetName val="9_14"/>
      <sheetName val="조도계산서_(도서)4"/>
      <sheetName val="영업_일14"/>
      <sheetName val="재무_17_충당금_명세서4"/>
      <sheetName val="제품별_MC4"/>
      <sheetName val="Revised_PEGS984"/>
      <sheetName val="3_판관비명세서4"/>
      <sheetName val="매출현황(월별)__(2)4"/>
      <sheetName val="3'RD_Party4"/>
      <sheetName val="계수원본(99_2_28)2"/>
      <sheetName val="H_P견적(참조)2"/>
      <sheetName val="외상매출금현황-수정분_A22"/>
      <sheetName val="제조원가계산서_(2)2"/>
      <sheetName val="업무분장_2"/>
      <sheetName val="1_00매출액2"/>
      <sheetName val="예금미수_(2)2"/>
      <sheetName val="2_상각보정명세2"/>
      <sheetName val="지분법(AK)_(2)2"/>
      <sheetName val="한일자야(감액손실)_(2)2"/>
      <sheetName val="JOB_Assign2"/>
      <sheetName val="22_보증금(전화가입권)2"/>
      <sheetName val="24_보증금(전신전화가입권)2"/>
      <sheetName val="10_312"/>
      <sheetName val="Sheet1_(3)2"/>
      <sheetName val="4_경비_5_영업외수지2"/>
      <sheetName val="Publishing_Plan(Edit)2"/>
      <sheetName val="2_ABX개별2"/>
      <sheetName val="5_세운W-A2"/>
      <sheetName val="매출_물동명세2"/>
      <sheetName val="업체손실공수_xls2"/>
      <sheetName val="unit_42"/>
      <sheetName val="월제조(03_09월)2"/>
      <sheetName val="완성차_미수금2"/>
      <sheetName val="CaratPrévisions_2"/>
      <sheetName val="CaratRM99Division_2"/>
      <sheetName val="control_sheet2"/>
      <sheetName val="RPC연체_원본2"/>
      <sheetName val="재고_2"/>
      <sheetName val="Ship_Advice2"/>
      <sheetName val="FF시장분석_(3)2"/>
      <sheetName val="2-2_매출분석2"/>
      <sheetName val="기본_FACTOR2"/>
      <sheetName val="국문FS(제조원가_반영전)2"/>
      <sheetName val="97_사업추정(WEKI)2"/>
      <sheetName val="400H_가공,금형비1"/>
      <sheetName val="_견적서2"/>
      <sheetName val="Data_gathering1"/>
      <sheetName val="1_3_분기세부1"/>
      <sheetName val="3-4_변동내역1"/>
      <sheetName val="2004년하반기_경평반영_민원반영영업점2"/>
      <sheetName val="Inv__LS1"/>
      <sheetName val="Actual_data1"/>
      <sheetName val="제품단가__1"/>
      <sheetName val="매__출1"/>
      <sheetName val="매출계획_작성_가이드1"/>
      <sheetName val="1_능률현황1"/>
      <sheetName val="2_호선별예상실적1"/>
      <sheetName val="2_대외공문1"/>
      <sheetName val="D1300_자삽1"/>
      <sheetName val="9_11"/>
      <sheetName val="조도계산서_(도서)1"/>
      <sheetName val="영업_일11"/>
      <sheetName val="재무_17_충당금_명세서1"/>
      <sheetName val="제품별_MC1"/>
      <sheetName val="Revised_PEGS981"/>
      <sheetName val="3_판관비명세서1"/>
      <sheetName val="매출현황(월별)__(2)1"/>
      <sheetName val="3'RD_Party1"/>
      <sheetName val="계수원본(99_2_28)3"/>
      <sheetName val="H_P견적(참조)3"/>
      <sheetName val="외상매출금현황-수정분_A23"/>
      <sheetName val="제조원가계산서_(2)3"/>
      <sheetName val="업무분장_3"/>
      <sheetName val="1_00매출액3"/>
      <sheetName val="예금미수_(2)3"/>
      <sheetName val="2_상각보정명세3"/>
      <sheetName val="지분법(AK)_(2)3"/>
      <sheetName val="한일자야(감액손실)_(2)3"/>
      <sheetName val="JOB_Assign3"/>
      <sheetName val="22_보증금(전화가입권)3"/>
      <sheetName val="24_보증금(전신전화가입권)3"/>
      <sheetName val="10_313"/>
      <sheetName val="Sheet1_(3)3"/>
      <sheetName val="4_경비_5_영업외수지3"/>
      <sheetName val="Publishing_Plan(Edit)3"/>
      <sheetName val="2_ABX개별3"/>
      <sheetName val="5_세운W-A3"/>
      <sheetName val="매출_물동명세3"/>
      <sheetName val="업체손실공수_xls3"/>
      <sheetName val="unit_43"/>
      <sheetName val="월제조(03_09월)3"/>
      <sheetName val="완성차_미수금3"/>
      <sheetName val="CaratPrévisions_3"/>
      <sheetName val="CaratRM99Division_3"/>
      <sheetName val="control_sheet3"/>
      <sheetName val="RPC연체_원본3"/>
      <sheetName val="재고_3"/>
      <sheetName val="Ship_Advice3"/>
      <sheetName val="FF시장분석_(3)3"/>
      <sheetName val="2-2_매출분석3"/>
      <sheetName val="기본_FACTOR3"/>
      <sheetName val="국문FS(제조원가_반영전)3"/>
      <sheetName val="97_사업추정(WEKI)3"/>
      <sheetName val="400H_가공,금형비2"/>
      <sheetName val="_견적서3"/>
      <sheetName val="Data_gathering2"/>
      <sheetName val="1_3_분기세부2"/>
      <sheetName val="3-4_변동내역2"/>
      <sheetName val="2004년하반기_경평반영_민원반영영업점3"/>
      <sheetName val="Inv__LS2"/>
      <sheetName val="Actual_data2"/>
      <sheetName val="제품단가__2"/>
      <sheetName val="매__출2"/>
      <sheetName val="매출계획_작성_가이드2"/>
      <sheetName val="1_능률현황2"/>
      <sheetName val="2_호선별예상실적2"/>
      <sheetName val="2_대외공문2"/>
      <sheetName val="D1300_자삽2"/>
      <sheetName val="9_12"/>
      <sheetName val="조도계산서_(도서)2"/>
      <sheetName val="영업_일12"/>
      <sheetName val="재무_17_충당금_명세서2"/>
      <sheetName val="제품별_MC2"/>
      <sheetName val="Revised_PEGS982"/>
      <sheetName val="3_판관비명세서2"/>
      <sheetName val="매출현황(월별)__(2)2"/>
      <sheetName val="3'RD_Party2"/>
      <sheetName val="계수원본(99_2_28)4"/>
      <sheetName val="H_P견적(참조)4"/>
      <sheetName val="외상매출금현황-수정분_A24"/>
      <sheetName val="제조원가계산서_(2)4"/>
      <sheetName val="업무분장_4"/>
      <sheetName val="1_00매출액4"/>
      <sheetName val="예금미수_(2)4"/>
      <sheetName val="2_상각보정명세4"/>
      <sheetName val="지분법(AK)_(2)4"/>
      <sheetName val="한일자야(감액손실)_(2)4"/>
      <sheetName val="JOB_Assign4"/>
      <sheetName val="22_보증금(전화가입권)4"/>
      <sheetName val="24_보증금(전신전화가입권)4"/>
      <sheetName val="10_314"/>
      <sheetName val="Sheet1_(3)4"/>
      <sheetName val="4_경비_5_영업외수지4"/>
      <sheetName val="Publishing_Plan(Edit)4"/>
      <sheetName val="2_ABX개별4"/>
      <sheetName val="5_세운W-A4"/>
      <sheetName val="매출_물동명세4"/>
      <sheetName val="업체손실공수_xls4"/>
      <sheetName val="unit_44"/>
      <sheetName val="월제조(03_09월)4"/>
      <sheetName val="완성차_미수금4"/>
      <sheetName val="CaratPrévisions_4"/>
      <sheetName val="CaratRM99Division_4"/>
      <sheetName val="control_sheet4"/>
      <sheetName val="RPC연체_원본4"/>
      <sheetName val="재고_4"/>
      <sheetName val="Ship_Advice4"/>
      <sheetName val="FF시장분석_(3)4"/>
      <sheetName val="2-2_매출분석4"/>
      <sheetName val="기본_FACTOR4"/>
      <sheetName val="국문FS(제조원가_반영전)4"/>
      <sheetName val="97_사업추정(WEKI)4"/>
      <sheetName val="400H_가공,금형비3"/>
      <sheetName val="_견적서4"/>
      <sheetName val="Data_gathering3"/>
      <sheetName val="1_3_분기세부3"/>
      <sheetName val="3-4_변동내역3"/>
      <sheetName val="2004년하반기_경평반영_민원반영영업점4"/>
      <sheetName val="Inv__LS3"/>
      <sheetName val="Actual_data3"/>
      <sheetName val="제품단가__3"/>
      <sheetName val="매__출3"/>
      <sheetName val="매출계획_작성_가이드3"/>
      <sheetName val="1_능률현황3"/>
      <sheetName val="2_호선별예상실적3"/>
      <sheetName val="2_대외공문3"/>
      <sheetName val="D1300_자삽3"/>
      <sheetName val="9_13"/>
      <sheetName val="조도계산서_(도서)3"/>
      <sheetName val="영업_일13"/>
      <sheetName val="재무_17_충당금_명세서3"/>
      <sheetName val="제품별_MC3"/>
      <sheetName val="Revised_PEGS983"/>
      <sheetName val="3_판관비명세서3"/>
      <sheetName val="매출현황(월별)__(2)3"/>
      <sheetName val="3'RD_Party3"/>
      <sheetName val="객석률"/>
      <sheetName val="사진"/>
      <sheetName val="Config"/>
      <sheetName val="이마트품목별"/>
      <sheetName val="INPUT"/>
      <sheetName val="소모품비_(2)"/>
      <sheetName val="메탈재고현황"/>
      <sheetName val="필름재고현황"/>
      <sheetName val="98 전망"/>
      <sheetName val="Page 1"/>
      <sheetName val="5.합병대차대조표"/>
      <sheetName val="M-5A"/>
      <sheetName val="企业表一"/>
      <sheetName val="M-5C"/>
      <sheetName val="VENDOR_LIST"/>
      <sheetName val="총괄갑_"/>
      <sheetName val="VENDOR_LIST1"/>
      <sheetName val="Sheet1_(2)1"/>
      <sheetName val="소모품비_(2)1"/>
      <sheetName val="총괄갑_1"/>
      <sheetName val="기술지표"/>
      <sheetName val="홍원식"/>
      <sheetName val="Stock Div Accural"/>
      <sheetName val="재고"/>
      <sheetName val="인력 계획"/>
      <sheetName val="매출원가및관리비"/>
      <sheetName val=""/>
      <sheetName val="Inventory overview"/>
      <sheetName val="장차입"/>
      <sheetName val="5.손익 2월"/>
      <sheetName val="부재료입고집계"/>
      <sheetName val="화폐별"/>
      <sheetName val="2.4인력운용"/>
      <sheetName val="상품입고집계"/>
      <sheetName val="借積IQ"/>
      <sheetName val="Krw"/>
      <sheetName val="2001생산"/>
      <sheetName val="2.개발부서별"/>
      <sheetName val="당좌차월"/>
      <sheetName val="JA"/>
      <sheetName val="TEMP"/>
      <sheetName val="2001Org"/>
      <sheetName val="납품"/>
      <sheetName val="예산내역서"/>
      <sheetName val="1월 생산,자공정 불량 현황"/>
      <sheetName val="유형자산LEAD"/>
      <sheetName val="2000년 충당금자료"/>
      <sheetName val="Range"/>
      <sheetName val="A5. Sales cut-off"/>
      <sheetName val="Cost center"/>
      <sheetName val="MAIN GATE HOUSE"/>
      <sheetName val="기초해지2"/>
      <sheetName val="????(99.2.28)"/>
      <sheetName val="참고"/>
      <sheetName val="Permanent info"/>
      <sheetName val="마감장"/>
      <sheetName val="General Info"/>
      <sheetName val="본사현황"/>
      <sheetName val="Ex_Calcul"/>
      <sheetName val="허들기준"/>
      <sheetName val="Building"/>
      <sheetName val="Machinery"/>
      <sheetName val="Office Equipment1"/>
      <sheetName val="Vehicle"/>
      <sheetName val="Movement"/>
      <sheetName val="Disclosure"/>
      <sheetName val="顺义项目上架计划"/>
      <sheetName val="물가지수!"/>
      <sheetName val="B1"/>
      <sheetName val="제품분류명"/>
      <sheetName val="Pg 26-30"/>
      <sheetName val="Pg 38"/>
      <sheetName val="Pg 8 (2)"/>
      <sheetName val="Inputs"/>
      <sheetName val="Staff List"/>
      <sheetName val="社員マスタ"/>
      <sheetName val="FHL D&amp;DL"/>
      <sheetName val="LBO"/>
      <sheetName val="Basic Rate"/>
      <sheetName val="변수"/>
      <sheetName val="미회수어음수표test"/>
      <sheetName val="간이세액표"/>
      <sheetName val="휴일check"/>
      <sheetName val="0405종란생산계획"/>
      <sheetName val="원본데이터"/>
      <sheetName val="대분류2206"/>
      <sheetName val="Spreadsheet Information"/>
      <sheetName val="Back Data_열량"/>
      <sheetName val="추가예산"/>
      <sheetName val="출자한도"/>
      <sheetName val="SCF"/>
      <sheetName val="검산금액"/>
      <sheetName val="선수보증금"/>
      <sheetName val="Sheet5"/>
      <sheetName val="연체일수"/>
      <sheetName val="잔가합계"/>
      <sheetName val="Sheet6"/>
      <sheetName val="중도해지진행업체"/>
      <sheetName val="상품구매(구매납품품목조회)"/>
      <sheetName val="수금"/>
      <sheetName val="리츠"/>
      <sheetName val="매출거래정리"/>
      <sheetName val="关联交易-存款"/>
      <sheetName val="INFORM"/>
      <sheetName val="리드14"/>
      <sheetName val="By brand"/>
      <sheetName val="신기술(비상장)0412"/>
      <sheetName val="리드"/>
      <sheetName val="후순위채05.01.20"/>
      <sheetName val="RR Allocation"/>
      <sheetName val="Int-Invst"/>
      <sheetName val="Select"/>
      <sheetName val="대구파크쿨링타워"/>
      <sheetName val="JT3.0견적-구1"/>
      <sheetName val="Sales"/>
      <sheetName val="Inventory"/>
      <sheetName val="Other Income"/>
      <sheetName val="FA Movement"/>
      <sheetName val="Selling Expense"/>
      <sheetName val="Manufacture Expense"/>
      <sheetName val="G&amp;A Expense"/>
      <sheetName val="시뮬레이션정보"/>
      <sheetName val="FINALPHP"/>
      <sheetName val="DB"/>
      <sheetName val="IDONG"/>
      <sheetName val="@공통코드"/>
      <sheetName val="제조원가명세서"/>
      <sheetName val="최종판매무_외매유"/>
      <sheetName val="11111111"/>
      <sheetName val="Prepaid expense Final-IDSL1"/>
      <sheetName val="계획"/>
      <sheetName val="재공품수불0"/>
      <sheetName val="매입매출(입력)"/>
    </sheetNames>
    <sheetDataSet>
      <sheetData sheetId="0" refreshError="1">
        <row r="13">
          <cell r="E13" t="str">
            <v>외상매출금</v>
          </cell>
          <cell r="F13">
            <v>5082464183</v>
          </cell>
          <cell r="G13">
            <v>0</v>
          </cell>
          <cell r="H13">
            <v>5944818452</v>
          </cell>
          <cell r="I13">
            <v>0</v>
          </cell>
          <cell r="J13">
            <v>0</v>
          </cell>
          <cell r="K13">
            <v>100000</v>
          </cell>
          <cell r="L13">
            <v>5944718452</v>
          </cell>
          <cell r="M13" t="str">
            <v/>
          </cell>
        </row>
        <row r="14">
          <cell r="E14" t="str">
            <v>대손충당금</v>
          </cell>
          <cell r="F14">
            <v>11994615</v>
          </cell>
          <cell r="G14">
            <v>5070469568</v>
          </cell>
          <cell r="H14">
            <v>23838721</v>
          </cell>
          <cell r="I14">
            <v>5920979731</v>
          </cell>
          <cell r="J14">
            <v>0</v>
          </cell>
          <cell r="K14">
            <v>0</v>
          </cell>
          <cell r="L14">
            <v>23838721</v>
          </cell>
          <cell r="M14">
            <v>5920879731</v>
          </cell>
        </row>
        <row r="15">
          <cell r="E15" t="str">
            <v>받을어음</v>
          </cell>
          <cell r="F15">
            <v>1742140994</v>
          </cell>
          <cell r="G15">
            <v>0</v>
          </cell>
          <cell r="H15">
            <v>1605855193</v>
          </cell>
          <cell r="I15">
            <v>0</v>
          </cell>
          <cell r="J15">
            <v>0</v>
          </cell>
          <cell r="K15">
            <v>0</v>
          </cell>
          <cell r="L15">
            <v>1605855193</v>
          </cell>
          <cell r="M15" t="str">
            <v/>
          </cell>
        </row>
        <row r="16">
          <cell r="E16" t="str">
            <v>대손충당금</v>
          </cell>
          <cell r="F16">
            <v>4111452</v>
          </cell>
          <cell r="G16">
            <v>1738029542</v>
          </cell>
          <cell r="H16">
            <v>6439479</v>
          </cell>
          <cell r="I16">
            <v>1599415714</v>
          </cell>
          <cell r="J16">
            <v>0</v>
          </cell>
          <cell r="K16">
            <v>0</v>
          </cell>
          <cell r="L16">
            <v>6439479</v>
          </cell>
          <cell r="M16">
            <v>1599415714</v>
          </cell>
        </row>
      </sheetData>
      <sheetData sheetId="1">
        <row r="13">
          <cell r="E13" t="str">
            <v>외상매출금</v>
          </cell>
        </row>
      </sheetData>
      <sheetData sheetId="2">
        <row r="13">
          <cell r="E13" t="str">
            <v>외상매출금</v>
          </cell>
        </row>
      </sheetData>
      <sheetData sheetId="3">
        <row r="13">
          <cell r="E13" t="str">
            <v>외상매출금</v>
          </cell>
        </row>
      </sheetData>
      <sheetData sheetId="4">
        <row r="13">
          <cell r="E13" t="str">
            <v>외상매출금</v>
          </cell>
        </row>
      </sheetData>
      <sheetData sheetId="5">
        <row r="13">
          <cell r="E13" t="str">
            <v>외상매출금</v>
          </cell>
        </row>
      </sheetData>
      <sheetData sheetId="6">
        <row r="13">
          <cell r="E13" t="str">
            <v>외상매출금</v>
          </cell>
        </row>
      </sheetData>
      <sheetData sheetId="7">
        <row r="13">
          <cell r="E13" t="str">
            <v>외상매출금</v>
          </cell>
        </row>
      </sheetData>
      <sheetData sheetId="8">
        <row r="13">
          <cell r="E13" t="str">
            <v>외상매출금</v>
          </cell>
        </row>
      </sheetData>
      <sheetData sheetId="9">
        <row r="13">
          <cell r="E13" t="str">
            <v>외상매출금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/>
      <sheetData sheetId="520">
        <row r="13">
          <cell r="E13">
            <v>0</v>
          </cell>
        </row>
      </sheetData>
      <sheetData sheetId="521">
        <row r="13">
          <cell r="E13">
            <v>0</v>
          </cell>
        </row>
      </sheetData>
      <sheetData sheetId="522">
        <row r="13">
          <cell r="E13">
            <v>0</v>
          </cell>
        </row>
      </sheetData>
      <sheetData sheetId="523"/>
      <sheetData sheetId="524">
        <row r="13">
          <cell r="E13">
            <v>0</v>
          </cell>
        </row>
      </sheetData>
      <sheetData sheetId="525"/>
      <sheetData sheetId="526">
        <row r="13">
          <cell r="E13">
            <v>0</v>
          </cell>
        </row>
      </sheetData>
      <sheetData sheetId="527">
        <row r="13">
          <cell r="E13">
            <v>0</v>
          </cell>
        </row>
      </sheetData>
      <sheetData sheetId="528">
        <row r="13">
          <cell r="E13">
            <v>0</v>
          </cell>
        </row>
      </sheetData>
      <sheetData sheetId="529">
        <row r="13">
          <cell r="E13">
            <v>0</v>
          </cell>
        </row>
      </sheetData>
      <sheetData sheetId="530"/>
      <sheetData sheetId="531">
        <row r="13">
          <cell r="E13">
            <v>0</v>
          </cell>
        </row>
      </sheetData>
      <sheetData sheetId="532">
        <row r="13">
          <cell r="E13">
            <v>0</v>
          </cell>
        </row>
      </sheetData>
      <sheetData sheetId="533"/>
      <sheetData sheetId="534">
        <row r="13">
          <cell r="E13">
            <v>0</v>
          </cell>
        </row>
      </sheetData>
      <sheetData sheetId="535"/>
      <sheetData sheetId="536"/>
      <sheetData sheetId="537">
        <row r="13">
          <cell r="E13">
            <v>0</v>
          </cell>
        </row>
      </sheetData>
      <sheetData sheetId="538">
        <row r="13">
          <cell r="E13">
            <v>0</v>
          </cell>
        </row>
      </sheetData>
      <sheetData sheetId="539"/>
      <sheetData sheetId="540"/>
      <sheetData sheetId="541">
        <row r="13">
          <cell r="E13">
            <v>0</v>
          </cell>
        </row>
      </sheetData>
      <sheetData sheetId="542"/>
      <sheetData sheetId="543"/>
      <sheetData sheetId="544"/>
      <sheetData sheetId="545"/>
      <sheetData sheetId="546">
        <row r="13">
          <cell r="E13">
            <v>0</v>
          </cell>
        </row>
      </sheetData>
      <sheetData sheetId="547">
        <row r="13">
          <cell r="E13">
            <v>0</v>
          </cell>
        </row>
      </sheetData>
      <sheetData sheetId="548"/>
      <sheetData sheetId="549">
        <row r="13">
          <cell r="E13">
            <v>0</v>
          </cell>
        </row>
      </sheetData>
      <sheetData sheetId="550">
        <row r="13">
          <cell r="E13">
            <v>0</v>
          </cell>
        </row>
      </sheetData>
      <sheetData sheetId="551"/>
      <sheetData sheetId="552"/>
      <sheetData sheetId="553"/>
      <sheetData sheetId="554"/>
      <sheetData sheetId="555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>
        <row r="13">
          <cell r="E13">
            <v>0</v>
          </cell>
        </row>
      </sheetData>
      <sheetData sheetId="630">
        <row r="13">
          <cell r="E13">
            <v>0</v>
          </cell>
        </row>
      </sheetData>
      <sheetData sheetId="631">
        <row r="13">
          <cell r="E13">
            <v>0</v>
          </cell>
        </row>
      </sheetData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>
        <row r="13">
          <cell r="E13">
            <v>0</v>
          </cell>
        </row>
      </sheetData>
      <sheetData sheetId="648"/>
      <sheetData sheetId="649">
        <row r="13">
          <cell r="E13">
            <v>0</v>
          </cell>
        </row>
      </sheetData>
      <sheetData sheetId="650">
        <row r="13">
          <cell r="E13">
            <v>0</v>
          </cell>
        </row>
      </sheetData>
      <sheetData sheetId="651">
        <row r="13">
          <cell r="E13">
            <v>0</v>
          </cell>
        </row>
      </sheetData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>
        <row r="13">
          <cell r="E13">
            <v>0</v>
          </cell>
        </row>
      </sheetData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>
        <row r="13">
          <cell r="E13">
            <v>0</v>
          </cell>
        </row>
      </sheetData>
      <sheetData sheetId="696">
        <row r="13">
          <cell r="E13">
            <v>0</v>
          </cell>
        </row>
      </sheetData>
      <sheetData sheetId="697">
        <row r="13">
          <cell r="E13">
            <v>0</v>
          </cell>
        </row>
      </sheetData>
      <sheetData sheetId="698">
        <row r="13">
          <cell r="E13">
            <v>0</v>
          </cell>
        </row>
      </sheetData>
      <sheetData sheetId="699">
        <row r="13">
          <cell r="E13">
            <v>0</v>
          </cell>
        </row>
      </sheetData>
      <sheetData sheetId="700">
        <row r="13">
          <cell r="E13">
            <v>0</v>
          </cell>
        </row>
      </sheetData>
      <sheetData sheetId="701">
        <row r="13">
          <cell r="E13">
            <v>0</v>
          </cell>
        </row>
      </sheetData>
      <sheetData sheetId="702">
        <row r="13">
          <cell r="E13">
            <v>0</v>
          </cell>
        </row>
      </sheetData>
      <sheetData sheetId="703">
        <row r="13">
          <cell r="E13">
            <v>0</v>
          </cell>
        </row>
      </sheetData>
      <sheetData sheetId="704">
        <row r="13">
          <cell r="E13">
            <v>0</v>
          </cell>
        </row>
      </sheetData>
      <sheetData sheetId="705">
        <row r="13">
          <cell r="E13">
            <v>0</v>
          </cell>
        </row>
      </sheetData>
      <sheetData sheetId="706">
        <row r="13">
          <cell r="E13">
            <v>0</v>
          </cell>
        </row>
      </sheetData>
      <sheetData sheetId="707">
        <row r="13">
          <cell r="E13">
            <v>0</v>
          </cell>
        </row>
      </sheetData>
      <sheetData sheetId="708">
        <row r="13">
          <cell r="E13">
            <v>0</v>
          </cell>
        </row>
      </sheetData>
      <sheetData sheetId="709"/>
      <sheetData sheetId="710"/>
      <sheetData sheetId="711"/>
      <sheetData sheetId="712">
        <row r="13">
          <cell r="E13">
            <v>0</v>
          </cell>
        </row>
      </sheetData>
      <sheetData sheetId="713"/>
      <sheetData sheetId="714"/>
      <sheetData sheetId="715"/>
      <sheetData sheetId="716">
        <row r="13">
          <cell r="E13">
            <v>0</v>
          </cell>
        </row>
      </sheetData>
      <sheetData sheetId="717"/>
      <sheetData sheetId="718"/>
      <sheetData sheetId="719">
        <row r="13">
          <cell r="E13">
            <v>0</v>
          </cell>
        </row>
      </sheetData>
      <sheetData sheetId="720"/>
      <sheetData sheetId="721"/>
      <sheetData sheetId="722"/>
      <sheetData sheetId="723">
        <row r="13">
          <cell r="E13">
            <v>0</v>
          </cell>
        </row>
      </sheetData>
      <sheetData sheetId="724">
        <row r="13">
          <cell r="E13">
            <v>0</v>
          </cell>
        </row>
      </sheetData>
      <sheetData sheetId="725"/>
      <sheetData sheetId="726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/>
      <sheetData sheetId="745"/>
      <sheetData sheetId="746"/>
      <sheetData sheetId="747">
        <row r="13">
          <cell r="E13">
            <v>0</v>
          </cell>
        </row>
      </sheetData>
      <sheetData sheetId="748"/>
      <sheetData sheetId="749"/>
      <sheetData sheetId="750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>
        <row r="13">
          <cell r="E13">
            <v>0</v>
          </cell>
        </row>
      </sheetData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>
        <row r="13">
          <cell r="E13">
            <v>0</v>
          </cell>
        </row>
      </sheetData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>
        <row r="13">
          <cell r="E13">
            <v>0</v>
          </cell>
        </row>
      </sheetData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>
        <row r="13">
          <cell r="E13">
            <v>0</v>
          </cell>
        </row>
      </sheetData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>
        <row r="13">
          <cell r="E13">
            <v>0</v>
          </cell>
        </row>
      </sheetData>
      <sheetData sheetId="869">
        <row r="13">
          <cell r="E13">
            <v>0</v>
          </cell>
        </row>
      </sheetData>
      <sheetData sheetId="870"/>
      <sheetData sheetId="871"/>
      <sheetData sheetId="872"/>
      <sheetData sheetId="873"/>
      <sheetData sheetId="874"/>
      <sheetData sheetId="875">
        <row r="13">
          <cell r="E13">
            <v>0</v>
          </cell>
        </row>
      </sheetData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>
        <row r="13">
          <cell r="E13">
            <v>0</v>
          </cell>
        </row>
      </sheetData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>
        <row r="13">
          <cell r="E13">
            <v>0</v>
          </cell>
        </row>
      </sheetData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/>
      <sheetData sheetId="1115"/>
      <sheetData sheetId="1116"/>
      <sheetData sheetId="1117"/>
      <sheetData sheetId="1118"/>
      <sheetData sheetId="1119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오류검사조건"/>
      <sheetName val="오류검사결과"/>
      <sheetName val="Config"/>
      <sheetName val="M_main"/>
      <sheetName val="초화면"/>
      <sheetName val="대차대조표"/>
      <sheetName val="손익계산서"/>
      <sheetName val="현금흐름표"/>
      <sheetName val="현금흐름표주석사항"/>
      <sheetName val="매출원가명세서"/>
      <sheetName val="이익잉여금처분계산서"/>
      <sheetName val="fdmm1000"/>
    </sheetNames>
    <definedNames>
      <definedName name="버튼_공통"/>
    </definedNames>
    <sheetDataSet>
      <sheetData sheetId="0" refreshError="1"/>
      <sheetData sheetId="1" refreshError="1"/>
      <sheetData sheetId="2" refreshError="1">
        <row r="10">
          <cell r="P10" t="str">
            <v>회계년도 : 1998.12.31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총괄표"/>
      <sheetName val="조회서"/>
      <sheetName val="주소"/>
      <sheetName val="사용설명서"/>
      <sheetName val="Module1"/>
      <sheetName val="Module2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Module3"/>
    </sheetNames>
    <sheetDataSet>
      <sheetData sheetId="0" refreshError="1">
        <row r="7">
          <cell r="E7" t="str">
            <v>외상매출금(￦)</v>
          </cell>
          <cell r="F7" t="str">
            <v>외화외상매출금</v>
          </cell>
          <cell r="G7" t="str">
            <v>외화외상매출금</v>
          </cell>
          <cell r="J7" t="str">
            <v>외상매입금</v>
          </cell>
          <cell r="K7" t="str">
            <v>지급어음</v>
          </cell>
          <cell r="L7" t="str">
            <v>선수금</v>
          </cell>
          <cell r="M7" t="str">
            <v>미지급금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계정과목"/>
      <sheetName val="시산표"/>
    </sheetNames>
    <sheetDataSet>
      <sheetData sheetId="0" refreshError="1"/>
      <sheetData sheetId="1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환"/>
      <sheetName val="프로젝트 "/>
      <sheetName val="단위사업"/>
      <sheetName val="산청"/>
      <sheetName val="양양"/>
      <sheetName val="청송"/>
      <sheetName val="태안"/>
      <sheetName val="당1"/>
      <sheetName val="당3"/>
      <sheetName val="영흥"/>
      <sheetName val="하3"/>
      <sheetName val="하5"/>
      <sheetName val="동해"/>
      <sheetName val="북제주"/>
      <sheetName val="보령"/>
      <sheetName val="부산"/>
      <sheetName val="군장"/>
      <sheetName val="Module1"/>
      <sheetName val="환율"/>
      <sheetName val="rate"/>
      <sheetName val="#REF"/>
      <sheetName val="임차비용"/>
      <sheetName val="환율시트"/>
      <sheetName val="정산표"/>
      <sheetName val="노임단가"/>
      <sheetName val="제경비율"/>
      <sheetName val="낙찰표"/>
      <sheetName val="시산표"/>
    </sheetNames>
    <sheetDataSet>
      <sheetData sheetId="0" refreshError="1">
        <row r="1">
          <cell r="B1">
            <v>1300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외화계약"/>
      <sheetName val="다대공사"/>
      <sheetName val="건설"/>
      <sheetName val="수리선"/>
      <sheetName val="실적"/>
      <sheetName val="분석"/>
      <sheetName val="계획"/>
      <sheetName val="SERIES"/>
      <sheetName val="선물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FD371"/>
  <sheetViews>
    <sheetView view="pageBreakPreview" topLeftCell="A13" zoomScale="85" zoomScaleNormal="85" zoomScaleSheetLayoutView="85" workbookViewId="0">
      <selection activeCell="D21" sqref="D21"/>
    </sheetView>
  </sheetViews>
  <sheetFormatPr defaultColWidth="9" defaultRowHeight="16.5" x14ac:dyDescent="0.3"/>
  <cols>
    <col min="1" max="1" width="32.875" style="116" customWidth="1"/>
    <col min="2" max="2" width="40.25" style="116" customWidth="1"/>
    <col min="3" max="3" width="45" style="116" customWidth="1"/>
    <col min="4" max="4" width="33.25" style="116" customWidth="1"/>
    <col min="5" max="5" width="9" style="116"/>
    <col min="6" max="6" width="40.875" style="116" bestFit="1" customWidth="1"/>
    <col min="7" max="7" width="25" style="116" customWidth="1"/>
    <col min="8" max="8" width="22.875" style="117" customWidth="1"/>
    <col min="9" max="9" width="17.625" style="116" bestFit="1" customWidth="1"/>
    <col min="10" max="10" width="13.625" style="116" bestFit="1" customWidth="1"/>
    <col min="11" max="11" width="22.125" style="116" bestFit="1" customWidth="1"/>
    <col min="12" max="12" width="18.875" style="116" bestFit="1" customWidth="1"/>
    <col min="13" max="13" width="8.125" style="116" bestFit="1" customWidth="1"/>
    <col min="14" max="14" width="22.125" style="116" bestFit="1" customWidth="1"/>
    <col min="15" max="15" width="18.875" style="116" bestFit="1" customWidth="1"/>
    <col min="16" max="16384" width="9" style="116"/>
  </cols>
  <sheetData>
    <row r="1" spans="1:15" ht="39" thickBot="1" x14ac:dyDescent="0.35">
      <c r="A1" s="411" t="s">
        <v>4</v>
      </c>
      <c r="B1" s="411"/>
      <c r="C1" s="411"/>
      <c r="D1" s="411"/>
      <c r="F1" s="263"/>
    </row>
    <row r="2" spans="1:15" ht="17.25" thickBot="1" x14ac:dyDescent="0.35">
      <c r="A2" s="208" t="s">
        <v>302</v>
      </c>
      <c r="B2" s="207" t="s">
        <v>433</v>
      </c>
      <c r="C2" s="206" t="s">
        <v>304</v>
      </c>
      <c r="D2" s="205" t="s">
        <v>303</v>
      </c>
      <c r="E2" s="116" t="s">
        <v>578</v>
      </c>
      <c r="G2" s="175" t="s">
        <v>572</v>
      </c>
      <c r="H2" s="264">
        <v>2023</v>
      </c>
      <c r="I2" s="175">
        <v>2022</v>
      </c>
      <c r="J2" s="204"/>
      <c r="K2" s="204"/>
      <c r="L2" s="204"/>
      <c r="M2" s="204"/>
      <c r="N2" s="204"/>
      <c r="O2" s="204"/>
    </row>
    <row r="3" spans="1:15" ht="23.1" customHeight="1" x14ac:dyDescent="0.3">
      <c r="A3" s="152">
        <f>A4+A81</f>
        <v>634283639310</v>
      </c>
      <c r="B3" s="151" t="s">
        <v>300</v>
      </c>
      <c r="C3" s="171" t="s">
        <v>300</v>
      </c>
      <c r="D3" s="170">
        <f>D4+D81</f>
        <v>634283639310</v>
      </c>
      <c r="E3" s="116" t="s">
        <v>577</v>
      </c>
      <c r="G3" s="175" t="s">
        <v>573</v>
      </c>
      <c r="H3" s="175">
        <v>12</v>
      </c>
      <c r="I3" s="175">
        <v>12</v>
      </c>
      <c r="J3" s="204"/>
      <c r="K3" s="204"/>
      <c r="L3" s="204"/>
      <c r="M3" s="204"/>
      <c r="N3" s="204"/>
      <c r="O3" s="204"/>
    </row>
    <row r="4" spans="1:15" ht="23.1" customHeight="1" x14ac:dyDescent="0.3">
      <c r="A4" s="131">
        <f>A5+A48+A50+A52+A57+A64+A66+A68+A71+A74+A78</f>
        <v>550079047284</v>
      </c>
      <c r="B4" s="130" t="s">
        <v>305</v>
      </c>
      <c r="C4" s="166" t="s">
        <v>305</v>
      </c>
      <c r="D4" s="203">
        <f>D5+D48+D50+D52+D57+D64+D66+D68+D71+D74+D78</f>
        <v>550079047284</v>
      </c>
      <c r="E4" s="116" t="s">
        <v>577</v>
      </c>
      <c r="G4" s="174" t="s">
        <v>570</v>
      </c>
      <c r="H4" s="21">
        <v>394486961844</v>
      </c>
    </row>
    <row r="5" spans="1:15" ht="23.1" customHeight="1" x14ac:dyDescent="0.3">
      <c r="A5" s="202">
        <f>A6+A9+A11+A35+A39+A37</f>
        <v>451245938044</v>
      </c>
      <c r="B5" s="130" t="s">
        <v>187</v>
      </c>
      <c r="C5" s="166" t="s">
        <v>187</v>
      </c>
      <c r="D5" s="165">
        <f>D6+D9+D11+D35+D39+D37</f>
        <v>451245938044</v>
      </c>
      <c r="E5" s="116" t="s">
        <v>577</v>
      </c>
      <c r="G5" s="174" t="s">
        <v>255</v>
      </c>
      <c r="H5" s="21">
        <v>-394107381566</v>
      </c>
      <c r="I5" s="117">
        <v>-364507122103</v>
      </c>
    </row>
    <row r="6" spans="1:15" ht="23.1" customHeight="1" x14ac:dyDescent="0.3">
      <c r="A6" s="202">
        <f>SUM(A7:A8)</f>
        <v>4525945280</v>
      </c>
      <c r="B6" s="130" t="s">
        <v>82</v>
      </c>
      <c r="C6" s="166" t="s">
        <v>82</v>
      </c>
      <c r="D6" s="165">
        <f>D7+D8</f>
        <v>4525945280</v>
      </c>
      <c r="E6" s="116" t="s">
        <v>577</v>
      </c>
      <c r="F6" s="119"/>
      <c r="G6" s="174" t="s">
        <v>571</v>
      </c>
      <c r="H6" s="117">
        <f>-H5-H7</f>
        <v>394107381566</v>
      </c>
      <c r="I6" s="117">
        <v>364507122103</v>
      </c>
    </row>
    <row r="7" spans="1:15" ht="23.1" customHeight="1" x14ac:dyDescent="0.3">
      <c r="A7" s="290">
        <v>2335050000</v>
      </c>
      <c r="B7" s="133" t="s">
        <v>186</v>
      </c>
      <c r="C7" s="169" t="s">
        <v>7</v>
      </c>
      <c r="D7" s="140">
        <f>A7</f>
        <v>2335050000</v>
      </c>
      <c r="E7" s="116" t="s">
        <v>577</v>
      </c>
      <c r="F7" s="119"/>
      <c r="G7" s="234" t="s">
        <v>537</v>
      </c>
      <c r="H7" s="235"/>
      <c r="I7" s="235"/>
    </row>
    <row r="8" spans="1:15" ht="23.1" customHeight="1" x14ac:dyDescent="0.3">
      <c r="A8" s="290">
        <v>2190895280</v>
      </c>
      <c r="B8" s="134" t="s">
        <v>9</v>
      </c>
      <c r="C8" s="116" t="s">
        <v>9</v>
      </c>
      <c r="D8" s="140">
        <f>A8</f>
        <v>2190895280</v>
      </c>
      <c r="E8" s="116" t="s">
        <v>577</v>
      </c>
      <c r="G8" s="175"/>
      <c r="I8" s="117"/>
      <c r="J8" s="175"/>
    </row>
    <row r="9" spans="1:15" ht="23.1" customHeight="1" x14ac:dyDescent="0.3">
      <c r="A9" s="131">
        <f>SUM(A10:A10)</f>
        <v>15858148333</v>
      </c>
      <c r="B9" s="183" t="s">
        <v>79</v>
      </c>
      <c r="C9" s="166" t="s">
        <v>79</v>
      </c>
      <c r="D9" s="165">
        <f>D10</f>
        <v>15858148333</v>
      </c>
      <c r="E9" s="116" t="s">
        <v>577</v>
      </c>
      <c r="G9" s="236" t="s">
        <v>538</v>
      </c>
      <c r="I9" s="117"/>
      <c r="J9" s="191"/>
    </row>
    <row r="10" spans="1:15" ht="23.1" customHeight="1" x14ac:dyDescent="0.3">
      <c r="A10" s="290">
        <v>15858148333</v>
      </c>
      <c r="B10" s="133" t="s">
        <v>192</v>
      </c>
      <c r="C10" s="169" t="s">
        <v>192</v>
      </c>
      <c r="D10" s="140">
        <f>A10</f>
        <v>15858148333</v>
      </c>
      <c r="E10" s="116" t="s">
        <v>577</v>
      </c>
      <c r="G10" s="236">
        <v>0.6</v>
      </c>
      <c r="I10" s="117"/>
      <c r="J10" s="191"/>
    </row>
    <row r="11" spans="1:15" ht="23.1" customHeight="1" x14ac:dyDescent="0.3">
      <c r="A11" s="131">
        <f>SUM(A12:A34)</f>
        <v>530649313447</v>
      </c>
      <c r="B11" s="183" t="s">
        <v>185</v>
      </c>
      <c r="C11" s="166" t="s">
        <v>177</v>
      </c>
      <c r="D11" s="165">
        <f>SUM(D12:D34)</f>
        <v>530649313447</v>
      </c>
      <c r="E11" s="116" t="s">
        <v>577</v>
      </c>
      <c r="G11" s="175"/>
      <c r="I11" s="192"/>
      <c r="J11" s="191"/>
    </row>
    <row r="12" spans="1:15" ht="23.1" customHeight="1" x14ac:dyDescent="0.3">
      <c r="A12" s="301">
        <v>0</v>
      </c>
      <c r="B12" s="133" t="s">
        <v>1</v>
      </c>
      <c r="C12" s="169" t="s">
        <v>1</v>
      </c>
      <c r="D12" s="167">
        <f t="shared" ref="D12:D32" si="0">A12</f>
        <v>0</v>
      </c>
      <c r="E12" s="116" t="s">
        <v>577</v>
      </c>
      <c r="G12" s="175"/>
      <c r="I12" s="192"/>
      <c r="J12" s="191"/>
    </row>
    <row r="13" spans="1:15" ht="23.1" customHeight="1" x14ac:dyDescent="0.3">
      <c r="A13" s="301">
        <v>0</v>
      </c>
      <c r="B13" s="133" t="s">
        <v>617</v>
      </c>
      <c r="C13" s="169" t="s">
        <v>618</v>
      </c>
      <c r="D13" s="167">
        <f t="shared" si="0"/>
        <v>0</v>
      </c>
      <c r="E13" s="116" t="s">
        <v>577</v>
      </c>
      <c r="G13" s="175"/>
      <c r="I13" s="192"/>
      <c r="J13" s="191"/>
    </row>
    <row r="14" spans="1:15" ht="23.1" customHeight="1" x14ac:dyDescent="0.3">
      <c r="A14" s="301">
        <v>0</v>
      </c>
      <c r="B14" s="133" t="s">
        <v>17</v>
      </c>
      <c r="C14" s="169" t="s">
        <v>17</v>
      </c>
      <c r="D14" s="167">
        <f t="shared" si="0"/>
        <v>0</v>
      </c>
      <c r="E14" s="116" t="s">
        <v>577</v>
      </c>
      <c r="G14" s="175"/>
      <c r="I14" s="192"/>
      <c r="J14" s="191"/>
    </row>
    <row r="15" spans="1:15" ht="23.1" customHeight="1" x14ac:dyDescent="0.3">
      <c r="A15" s="301">
        <v>0</v>
      </c>
      <c r="B15" s="133" t="s">
        <v>528</v>
      </c>
      <c r="C15" s="133" t="s">
        <v>528</v>
      </c>
      <c r="D15" s="167">
        <f t="shared" si="0"/>
        <v>0</v>
      </c>
      <c r="E15" s="116" t="s">
        <v>577</v>
      </c>
      <c r="G15" s="175"/>
      <c r="I15" s="192"/>
      <c r="J15" s="191"/>
    </row>
    <row r="16" spans="1:15" ht="23.1" customHeight="1" x14ac:dyDescent="0.3">
      <c r="A16" s="301">
        <v>0</v>
      </c>
      <c r="B16" s="133" t="s">
        <v>348</v>
      </c>
      <c r="C16" s="201" t="s">
        <v>348</v>
      </c>
      <c r="D16" s="167">
        <f t="shared" si="0"/>
        <v>0</v>
      </c>
      <c r="E16" s="116" t="s">
        <v>577</v>
      </c>
      <c r="G16" s="175"/>
      <c r="I16" s="200"/>
    </row>
    <row r="17" spans="1:9" ht="23.1" customHeight="1" x14ac:dyDescent="0.3">
      <c r="A17" s="301">
        <v>21840567410</v>
      </c>
      <c r="B17" s="133" t="s">
        <v>346</v>
      </c>
      <c r="C17" s="169" t="s">
        <v>342</v>
      </c>
      <c r="D17" s="167">
        <f t="shared" ref="D17" si="1">A17</f>
        <v>21840567410</v>
      </c>
      <c r="E17" s="116" t="s">
        <v>577</v>
      </c>
      <c r="I17" s="200"/>
    </row>
    <row r="18" spans="1:9" ht="23.1" customHeight="1" x14ac:dyDescent="0.3">
      <c r="A18" s="301">
        <v>0</v>
      </c>
      <c r="B18" s="133" t="s">
        <v>20</v>
      </c>
      <c r="C18" s="169" t="s">
        <v>342</v>
      </c>
      <c r="D18" s="167" t="s">
        <v>568</v>
      </c>
      <c r="E18" s="116" t="s">
        <v>577</v>
      </c>
      <c r="G18" s="174" t="s">
        <v>290</v>
      </c>
      <c r="H18" s="141">
        <v>0</v>
      </c>
      <c r="I18" s="116" t="s">
        <v>620</v>
      </c>
    </row>
    <row r="19" spans="1:9" ht="23.1" customHeight="1" x14ac:dyDescent="0.3">
      <c r="A19" s="301">
        <v>24035147407</v>
      </c>
      <c r="B19" s="133" t="s">
        <v>347</v>
      </c>
      <c r="C19" s="169" t="s">
        <v>342</v>
      </c>
      <c r="D19" s="167">
        <f t="shared" ref="D19" si="2">A19</f>
        <v>24035147407</v>
      </c>
      <c r="E19" s="116" t="s">
        <v>577</v>
      </c>
      <c r="G19" s="309"/>
      <c r="H19" s="141"/>
    </row>
    <row r="20" spans="1:9" ht="23.1" customHeight="1" x14ac:dyDescent="0.3">
      <c r="A20" s="301">
        <v>14980229991</v>
      </c>
      <c r="B20" s="133" t="s">
        <v>344</v>
      </c>
      <c r="C20" s="169" t="s">
        <v>342</v>
      </c>
      <c r="D20" s="167">
        <f t="shared" ref="D20" si="3">A20</f>
        <v>14980229991</v>
      </c>
      <c r="E20" s="116" t="s">
        <v>577</v>
      </c>
      <c r="G20" s="175"/>
    </row>
    <row r="21" spans="1:9" ht="23.1" customHeight="1" x14ac:dyDescent="0.3">
      <c r="A21" s="301">
        <v>0</v>
      </c>
      <c r="B21" s="133" t="s">
        <v>497</v>
      </c>
      <c r="C21" s="169" t="s">
        <v>342</v>
      </c>
      <c r="D21" s="167">
        <f t="shared" si="0"/>
        <v>0</v>
      </c>
      <c r="E21" s="116" t="s">
        <v>577</v>
      </c>
      <c r="G21" s="291"/>
    </row>
    <row r="22" spans="1:9" ht="23.1" customHeight="1" x14ac:dyDescent="0.3">
      <c r="A22" s="301">
        <v>133661832440</v>
      </c>
      <c r="B22" s="134" t="s">
        <v>0</v>
      </c>
      <c r="C22" s="116" t="s">
        <v>0</v>
      </c>
      <c r="D22" s="167">
        <f t="shared" si="0"/>
        <v>133661832440</v>
      </c>
      <c r="E22" s="116" t="s">
        <v>577</v>
      </c>
      <c r="G22" s="291"/>
    </row>
    <row r="23" spans="1:9" ht="23.1" customHeight="1" x14ac:dyDescent="0.3">
      <c r="A23" s="301">
        <v>0</v>
      </c>
      <c r="B23" s="133" t="s">
        <v>522</v>
      </c>
      <c r="C23" s="169"/>
      <c r="D23" s="167">
        <f t="shared" si="0"/>
        <v>0</v>
      </c>
      <c r="E23" s="116" t="s">
        <v>577</v>
      </c>
      <c r="G23" s="291"/>
    </row>
    <row r="24" spans="1:9" ht="23.1" customHeight="1" x14ac:dyDescent="0.3">
      <c r="A24" s="301">
        <v>60140288045</v>
      </c>
      <c r="B24" s="133" t="s">
        <v>523</v>
      </c>
      <c r="C24" s="133" t="s">
        <v>523</v>
      </c>
      <c r="D24" s="167">
        <f t="shared" si="0"/>
        <v>60140288045</v>
      </c>
      <c r="E24" s="116" t="s">
        <v>577</v>
      </c>
      <c r="G24" s="291"/>
    </row>
    <row r="25" spans="1:9" ht="23.1" customHeight="1" x14ac:dyDescent="0.3">
      <c r="A25" s="301">
        <v>30126139043</v>
      </c>
      <c r="B25" s="133" t="s">
        <v>524</v>
      </c>
      <c r="C25" s="133" t="s">
        <v>524</v>
      </c>
      <c r="D25" s="167">
        <f t="shared" si="0"/>
        <v>30126139043</v>
      </c>
      <c r="E25" s="116" t="s">
        <v>577</v>
      </c>
      <c r="G25" s="291"/>
    </row>
    <row r="26" spans="1:9" ht="23.1" customHeight="1" x14ac:dyDescent="0.3">
      <c r="A26" s="301">
        <v>26423717074</v>
      </c>
      <c r="B26" s="133" t="s">
        <v>547</v>
      </c>
      <c r="C26" s="133" t="s">
        <v>547</v>
      </c>
      <c r="D26" s="167">
        <f t="shared" ref="D26" si="4">A26</f>
        <v>26423717074</v>
      </c>
      <c r="E26" s="116" t="s">
        <v>577</v>
      </c>
      <c r="G26" s="291"/>
    </row>
    <row r="27" spans="1:9" ht="23.1" customHeight="1" x14ac:dyDescent="0.3">
      <c r="A27" s="301">
        <v>10514700273</v>
      </c>
      <c r="B27" s="133" t="s">
        <v>525</v>
      </c>
      <c r="C27" s="133" t="s">
        <v>525</v>
      </c>
      <c r="D27" s="167">
        <f t="shared" si="0"/>
        <v>10514700273</v>
      </c>
      <c r="E27" s="116" t="s">
        <v>577</v>
      </c>
    </row>
    <row r="28" spans="1:9" ht="23.1" customHeight="1" x14ac:dyDescent="0.3">
      <c r="A28" s="301">
        <v>22262110827</v>
      </c>
      <c r="B28" s="133" t="s">
        <v>536</v>
      </c>
      <c r="C28" s="133" t="s">
        <v>536</v>
      </c>
      <c r="D28" s="167">
        <f t="shared" si="0"/>
        <v>22262110827</v>
      </c>
      <c r="E28" s="116" t="s">
        <v>577</v>
      </c>
    </row>
    <row r="29" spans="1:9" ht="22.5" customHeight="1" x14ac:dyDescent="0.3">
      <c r="A29" s="301">
        <v>16786541191</v>
      </c>
      <c r="B29" s="133" t="s">
        <v>526</v>
      </c>
      <c r="C29" s="133" t="s">
        <v>526</v>
      </c>
      <c r="D29" s="167">
        <f t="shared" si="0"/>
        <v>16786541191</v>
      </c>
      <c r="E29" s="116" t="s">
        <v>577</v>
      </c>
    </row>
    <row r="30" spans="1:9" ht="22.5" customHeight="1" x14ac:dyDescent="0.3">
      <c r="A30" s="301">
        <v>95941927873</v>
      </c>
      <c r="B30" s="133" t="s">
        <v>535</v>
      </c>
      <c r="C30" s="133" t="s">
        <v>535</v>
      </c>
      <c r="D30" s="167">
        <f t="shared" si="0"/>
        <v>95941927873</v>
      </c>
      <c r="E30" s="116" t="s">
        <v>577</v>
      </c>
    </row>
    <row r="31" spans="1:9" ht="22.5" customHeight="1" x14ac:dyDescent="0.3">
      <c r="A31" s="301">
        <v>1710830155</v>
      </c>
      <c r="B31" s="133" t="s">
        <v>548</v>
      </c>
      <c r="C31" s="133" t="s">
        <v>548</v>
      </c>
      <c r="D31" s="167">
        <f t="shared" si="0"/>
        <v>1710830155</v>
      </c>
      <c r="E31" s="116" t="s">
        <v>577</v>
      </c>
    </row>
    <row r="32" spans="1:9" ht="22.5" customHeight="1" x14ac:dyDescent="0.3">
      <c r="A32" s="301">
        <v>57097645689</v>
      </c>
      <c r="B32" s="133" t="s">
        <v>566</v>
      </c>
      <c r="C32" s="133" t="s">
        <v>566</v>
      </c>
      <c r="D32" s="167">
        <f t="shared" si="0"/>
        <v>57097645689</v>
      </c>
      <c r="E32" s="116" t="s">
        <v>577</v>
      </c>
    </row>
    <row r="33" spans="1:15" ht="22.5" customHeight="1" x14ac:dyDescent="0.3">
      <c r="A33" s="301">
        <v>9365996271</v>
      </c>
      <c r="B33" s="133" t="s">
        <v>569</v>
      </c>
      <c r="C33" s="133" t="s">
        <v>569</v>
      </c>
      <c r="D33" s="167">
        <f>A33</f>
        <v>9365996271</v>
      </c>
      <c r="E33" s="116" t="s">
        <v>577</v>
      </c>
    </row>
    <row r="34" spans="1:15" ht="22.5" customHeight="1" x14ac:dyDescent="0.3">
      <c r="A34" s="301">
        <v>5761639758</v>
      </c>
      <c r="B34" s="133" t="s">
        <v>622</v>
      </c>
      <c r="C34" s="133" t="s">
        <v>621</v>
      </c>
      <c r="D34" s="167">
        <f t="shared" ref="D34" si="5">A34</f>
        <v>5761639758</v>
      </c>
      <c r="E34" s="116" t="s">
        <v>577</v>
      </c>
    </row>
    <row r="35" spans="1:15" ht="23.1" customHeight="1" x14ac:dyDescent="0.3">
      <c r="A35" s="131">
        <f>SUM(A36)</f>
        <v>-92047422948</v>
      </c>
      <c r="B35" s="130" t="s">
        <v>343</v>
      </c>
      <c r="C35" s="166" t="s">
        <v>343</v>
      </c>
      <c r="D35" s="165">
        <f>SUM(D36:D36)</f>
        <v>-92047422948</v>
      </c>
      <c r="E35" s="116" t="s">
        <v>577</v>
      </c>
    </row>
    <row r="36" spans="1:15" ht="23.1" customHeight="1" x14ac:dyDescent="0.3">
      <c r="A36" s="290">
        <v>-92047422948</v>
      </c>
      <c r="B36" s="133" t="s">
        <v>18</v>
      </c>
      <c r="C36" s="169" t="s">
        <v>342</v>
      </c>
      <c r="D36" s="140">
        <f>A36</f>
        <v>-92047422948</v>
      </c>
      <c r="E36" s="116" t="s">
        <v>577</v>
      </c>
    </row>
    <row r="37" spans="1:15" ht="23.1" customHeight="1" x14ac:dyDescent="0.3">
      <c r="A37" s="131">
        <f>SUM(A38)</f>
        <v>-831504818</v>
      </c>
      <c r="B37" s="130" t="s">
        <v>501</v>
      </c>
      <c r="C37" s="166" t="s">
        <v>501</v>
      </c>
      <c r="D37" s="165">
        <f>SUM(D38)</f>
        <v>-831504818</v>
      </c>
      <c r="E37" s="116" t="s">
        <v>577</v>
      </c>
    </row>
    <row r="38" spans="1:15" ht="23.1" customHeight="1" x14ac:dyDescent="0.3">
      <c r="A38" s="290">
        <v>-831504818</v>
      </c>
      <c r="B38" s="133" t="s">
        <v>294</v>
      </c>
      <c r="C38" s="169" t="s">
        <v>502</v>
      </c>
      <c r="D38" s="140">
        <f>A38</f>
        <v>-831504818</v>
      </c>
      <c r="E38" s="116" t="s">
        <v>577</v>
      </c>
    </row>
    <row r="39" spans="1:15" ht="23.1" customHeight="1" x14ac:dyDescent="0.3">
      <c r="A39" s="131">
        <f>SUM(A40:A47)</f>
        <v>-6908541250</v>
      </c>
      <c r="B39" s="130" t="s">
        <v>156</v>
      </c>
      <c r="C39" s="166" t="s">
        <v>156</v>
      </c>
      <c r="D39" s="165">
        <f>SUM(D40:D47)</f>
        <v>-6908541250</v>
      </c>
      <c r="E39" s="116" t="s">
        <v>577</v>
      </c>
      <c r="I39" s="200"/>
      <c r="J39" s="200"/>
      <c r="K39" s="200"/>
      <c r="L39" s="200"/>
      <c r="M39" s="200"/>
      <c r="N39" s="200"/>
      <c r="O39" s="200"/>
    </row>
    <row r="40" spans="1:15" ht="23.1" customHeight="1" x14ac:dyDescent="0.3">
      <c r="A40" s="301">
        <v>19877587</v>
      </c>
      <c r="B40" s="133" t="s">
        <v>350</v>
      </c>
      <c r="C40" s="169" t="s">
        <v>345</v>
      </c>
      <c r="D40" s="140">
        <f t="shared" ref="D40:D46" si="6">A40</f>
        <v>19877587</v>
      </c>
      <c r="E40" s="116" t="s">
        <v>577</v>
      </c>
    </row>
    <row r="41" spans="1:15" ht="23.1" customHeight="1" x14ac:dyDescent="0.3">
      <c r="A41" s="301">
        <v>-29696063</v>
      </c>
      <c r="B41" s="133" t="s">
        <v>529</v>
      </c>
      <c r="C41" s="169" t="s">
        <v>345</v>
      </c>
      <c r="D41" s="140">
        <f t="shared" si="6"/>
        <v>-29696063</v>
      </c>
      <c r="E41" s="116" t="s">
        <v>577</v>
      </c>
    </row>
    <row r="42" spans="1:15" ht="23.1" customHeight="1" x14ac:dyDescent="0.3">
      <c r="A42" s="301">
        <v>-6682672507</v>
      </c>
      <c r="B42" s="133" t="s">
        <v>530</v>
      </c>
      <c r="C42" s="169" t="s">
        <v>345</v>
      </c>
      <c r="D42" s="140">
        <f t="shared" si="6"/>
        <v>-6682672507</v>
      </c>
      <c r="E42" s="116" t="s">
        <v>577</v>
      </c>
    </row>
    <row r="43" spans="1:15" ht="23.1" customHeight="1" x14ac:dyDescent="0.3">
      <c r="A43" s="302">
        <v>-5167006</v>
      </c>
      <c r="B43" s="133" t="s">
        <v>381</v>
      </c>
      <c r="C43" s="169" t="s">
        <v>345</v>
      </c>
      <c r="D43" s="140">
        <f>A43</f>
        <v>-5167006</v>
      </c>
      <c r="E43" s="116" t="s">
        <v>577</v>
      </c>
    </row>
    <row r="44" spans="1:15" ht="23.1" customHeight="1" x14ac:dyDescent="0.3">
      <c r="A44" s="301">
        <v>-47445866</v>
      </c>
      <c r="B44" s="133" t="s">
        <v>498</v>
      </c>
      <c r="C44" s="169" t="s">
        <v>345</v>
      </c>
      <c r="D44" s="140">
        <f t="shared" si="6"/>
        <v>-47445866</v>
      </c>
      <c r="E44" s="116" t="s">
        <v>577</v>
      </c>
    </row>
    <row r="45" spans="1:15" ht="23.1" customHeight="1" x14ac:dyDescent="0.3">
      <c r="A45" s="301">
        <v>-378846760</v>
      </c>
      <c r="B45" s="133" t="s">
        <v>533</v>
      </c>
      <c r="C45" s="169" t="s">
        <v>345</v>
      </c>
      <c r="D45" s="140">
        <f t="shared" si="6"/>
        <v>-378846760</v>
      </c>
      <c r="E45" s="116" t="s">
        <v>577</v>
      </c>
    </row>
    <row r="46" spans="1:15" ht="23.1" customHeight="1" x14ac:dyDescent="0.3">
      <c r="A46" s="301">
        <v>-149861041</v>
      </c>
      <c r="B46" s="133" t="s">
        <v>534</v>
      </c>
      <c r="C46" s="169" t="s">
        <v>345</v>
      </c>
      <c r="D46" s="140">
        <f t="shared" si="6"/>
        <v>-149861041</v>
      </c>
      <c r="E46" s="116" t="s">
        <v>577</v>
      </c>
    </row>
    <row r="47" spans="1:15" ht="23.1" customHeight="1" x14ac:dyDescent="0.3">
      <c r="A47" s="301">
        <v>365270406</v>
      </c>
      <c r="B47" s="133" t="s">
        <v>559</v>
      </c>
      <c r="C47" s="169" t="s">
        <v>345</v>
      </c>
      <c r="D47" s="140">
        <f>A47</f>
        <v>365270406</v>
      </c>
      <c r="E47" s="116" t="s">
        <v>577</v>
      </c>
    </row>
    <row r="48" spans="1:15" ht="23.1" customHeight="1" x14ac:dyDescent="0.3">
      <c r="A48" s="131">
        <f>A49</f>
        <v>0</v>
      </c>
      <c r="B48" s="130" t="s">
        <v>176</v>
      </c>
      <c r="C48" s="166" t="s">
        <v>176</v>
      </c>
      <c r="D48" s="165">
        <f>D49</f>
        <v>0</v>
      </c>
      <c r="E48" s="116" t="s">
        <v>577</v>
      </c>
    </row>
    <row r="49" spans="1:7" ht="23.1" customHeight="1" x14ac:dyDescent="0.3">
      <c r="A49" s="140">
        <v>0</v>
      </c>
      <c r="B49" s="133" t="s">
        <v>12</v>
      </c>
      <c r="C49" s="169" t="s">
        <v>12</v>
      </c>
      <c r="D49" s="140">
        <f>A49</f>
        <v>0</v>
      </c>
      <c r="E49" s="116" t="s">
        <v>577</v>
      </c>
    </row>
    <row r="50" spans="1:7" ht="23.1" customHeight="1" x14ac:dyDescent="0.3">
      <c r="A50" s="131">
        <f>A51</f>
        <v>1224834050</v>
      </c>
      <c r="B50" s="130" t="s">
        <v>72</v>
      </c>
      <c r="C50" s="166" t="s">
        <v>72</v>
      </c>
      <c r="D50" s="165">
        <f>D51</f>
        <v>1224834050</v>
      </c>
      <c r="E50" s="116" t="s">
        <v>577</v>
      </c>
    </row>
    <row r="51" spans="1:7" ht="23.1" customHeight="1" x14ac:dyDescent="0.3">
      <c r="A51" s="290">
        <v>1224834050</v>
      </c>
      <c r="B51" s="134" t="s">
        <v>154</v>
      </c>
      <c r="C51" s="116" t="s">
        <v>154</v>
      </c>
      <c r="D51" s="140">
        <f>A51</f>
        <v>1224834050</v>
      </c>
      <c r="E51" s="116" t="s">
        <v>577</v>
      </c>
    </row>
    <row r="52" spans="1:7" ht="23.1" customHeight="1" x14ac:dyDescent="0.3">
      <c r="A52" s="131">
        <f>A53+A55</f>
        <v>89377435854</v>
      </c>
      <c r="B52" s="183" t="str">
        <f>C52</f>
        <v>　     (4) 매출채권</v>
      </c>
      <c r="C52" s="166" t="s">
        <v>71</v>
      </c>
      <c r="D52" s="165">
        <f>D53+D55</f>
        <v>89377435854</v>
      </c>
      <c r="E52" s="116" t="s">
        <v>577</v>
      </c>
    </row>
    <row r="53" spans="1:7" ht="23.1" customHeight="1" x14ac:dyDescent="0.3">
      <c r="A53" s="131">
        <f>A54</f>
        <v>118402009024</v>
      </c>
      <c r="B53" s="183" t="str">
        <f>C53</f>
        <v>　        ① 외상매출금</v>
      </c>
      <c r="C53" s="166" t="s">
        <v>188</v>
      </c>
      <c r="D53" s="165">
        <f>D54</f>
        <v>118402009024</v>
      </c>
      <c r="E53" s="116" t="s">
        <v>577</v>
      </c>
    </row>
    <row r="54" spans="1:7" ht="23.1" customHeight="1" x14ac:dyDescent="0.3">
      <c r="A54" s="290">
        <v>118402009024</v>
      </c>
      <c r="B54" s="134" t="s">
        <v>155</v>
      </c>
      <c r="C54" s="116" t="s">
        <v>155</v>
      </c>
      <c r="D54" s="140">
        <f>A54+F56</f>
        <v>118402009024</v>
      </c>
      <c r="E54" s="116" t="s">
        <v>577</v>
      </c>
    </row>
    <row r="55" spans="1:7" ht="23.1" customHeight="1" x14ac:dyDescent="0.3">
      <c r="A55" s="131">
        <f>A56</f>
        <v>-29024573170</v>
      </c>
      <c r="B55" s="183" t="str">
        <f>C55</f>
        <v>　         (매출채권대손충당금)</v>
      </c>
      <c r="C55" s="166" t="s">
        <v>8</v>
      </c>
      <c r="D55" s="165">
        <f>D56</f>
        <v>-29024573170</v>
      </c>
      <c r="E55" s="116" t="s">
        <v>577</v>
      </c>
    </row>
    <row r="56" spans="1:7" ht="23.1" customHeight="1" x14ac:dyDescent="0.3">
      <c r="A56" s="290">
        <v>-29024573170</v>
      </c>
      <c r="B56" s="134" t="s">
        <v>14</v>
      </c>
      <c r="C56" s="116" t="s">
        <v>14</v>
      </c>
      <c r="D56" s="140">
        <f>A56</f>
        <v>-29024573170</v>
      </c>
      <c r="E56" s="116" t="s">
        <v>577</v>
      </c>
    </row>
    <row r="57" spans="1:7" ht="23.1" customHeight="1" x14ac:dyDescent="0.3">
      <c r="A57" s="131">
        <f>A58+A62</f>
        <v>3132796969</v>
      </c>
      <c r="B57" s="183" t="str">
        <f>C57</f>
        <v>　     (5) 미수금</v>
      </c>
      <c r="C57" s="166" t="s">
        <v>73</v>
      </c>
      <c r="D57" s="165">
        <f>D58+D62</f>
        <v>3132796969</v>
      </c>
      <c r="E57" s="116" t="s">
        <v>577</v>
      </c>
    </row>
    <row r="58" spans="1:7" ht="23.1" customHeight="1" x14ac:dyDescent="0.3">
      <c r="A58" s="131">
        <f>A59+A60+A61</f>
        <v>37217687792</v>
      </c>
      <c r="B58" s="183" t="str">
        <f>C58</f>
        <v>　        ① 미수금</v>
      </c>
      <c r="C58" s="166" t="s">
        <v>77</v>
      </c>
      <c r="D58" s="165">
        <f>SUM(D59:D61)</f>
        <v>37217687792</v>
      </c>
      <c r="E58" s="116" t="s">
        <v>577</v>
      </c>
    </row>
    <row r="59" spans="1:7" ht="23.1" customHeight="1" x14ac:dyDescent="0.3">
      <c r="A59" s="290">
        <v>35943138890</v>
      </c>
      <c r="B59" s="133" t="s">
        <v>3</v>
      </c>
      <c r="C59" s="169" t="s">
        <v>3</v>
      </c>
      <c r="D59" s="167">
        <f>A59</f>
        <v>35943138890</v>
      </c>
      <c r="E59" s="116" t="s">
        <v>577</v>
      </c>
      <c r="G59" s="175"/>
    </row>
    <row r="60" spans="1:7" ht="23.1" customHeight="1" x14ac:dyDescent="0.3">
      <c r="A60" s="290">
        <v>228156258</v>
      </c>
      <c r="B60" s="133" t="s">
        <v>349</v>
      </c>
      <c r="C60" s="169" t="s">
        <v>349</v>
      </c>
      <c r="D60" s="167">
        <f>A60</f>
        <v>228156258</v>
      </c>
      <c r="E60" s="116" t="s">
        <v>577</v>
      </c>
    </row>
    <row r="61" spans="1:7" ht="23.1" customHeight="1" x14ac:dyDescent="0.3">
      <c r="A61" s="290">
        <v>1046392644</v>
      </c>
      <c r="B61" s="134" t="s">
        <v>5</v>
      </c>
      <c r="C61" s="116" t="s">
        <v>5</v>
      </c>
      <c r="D61" s="167">
        <f>A61</f>
        <v>1046392644</v>
      </c>
      <c r="E61" s="116" t="s">
        <v>577</v>
      </c>
    </row>
    <row r="62" spans="1:7" ht="23.1" customHeight="1" x14ac:dyDescent="0.3">
      <c r="A62" s="131">
        <f>A63</f>
        <v>-34084890823</v>
      </c>
      <c r="B62" s="183" t="str">
        <f>C62</f>
        <v>　         (미수금대손충당금)</v>
      </c>
      <c r="C62" s="166" t="s">
        <v>6</v>
      </c>
      <c r="D62" s="165">
        <f>D63</f>
        <v>-34084890823</v>
      </c>
      <c r="E62" s="116" t="s">
        <v>577</v>
      </c>
    </row>
    <row r="63" spans="1:7" ht="23.1" customHeight="1" x14ac:dyDescent="0.3">
      <c r="A63" s="290">
        <v>-34084890823</v>
      </c>
      <c r="B63" s="134" t="s">
        <v>11</v>
      </c>
      <c r="C63" s="116" t="s">
        <v>15</v>
      </c>
      <c r="D63" s="140">
        <f>A63</f>
        <v>-34084890823</v>
      </c>
      <c r="E63" s="116" t="s">
        <v>577</v>
      </c>
    </row>
    <row r="64" spans="1:7" ht="23.1" customHeight="1" x14ac:dyDescent="0.3">
      <c r="A64" s="131">
        <f>A65</f>
        <v>333053762</v>
      </c>
      <c r="B64" s="183" t="str">
        <f>C64</f>
        <v>　     (6) 미수수익</v>
      </c>
      <c r="C64" s="166" t="s">
        <v>81</v>
      </c>
      <c r="D64" s="165">
        <f>D65</f>
        <v>333053762</v>
      </c>
      <c r="E64" s="116" t="s">
        <v>577</v>
      </c>
    </row>
    <row r="65" spans="1:7" ht="23.1" customHeight="1" x14ac:dyDescent="0.3">
      <c r="A65" s="290">
        <v>333053762</v>
      </c>
      <c r="B65" s="134" t="s">
        <v>19</v>
      </c>
      <c r="C65" s="116" t="s">
        <v>19</v>
      </c>
      <c r="D65" s="140">
        <f>A65</f>
        <v>333053762</v>
      </c>
      <c r="E65" s="116" t="s">
        <v>577</v>
      </c>
    </row>
    <row r="66" spans="1:7" ht="23.1" customHeight="1" x14ac:dyDescent="0.3">
      <c r="A66" s="131">
        <f>A67</f>
        <v>379580278</v>
      </c>
      <c r="B66" s="183" t="str">
        <f>C66</f>
        <v>　     (7) 선급금</v>
      </c>
      <c r="C66" s="166" t="s">
        <v>74</v>
      </c>
      <c r="D66" s="165">
        <f>D67</f>
        <v>379580278</v>
      </c>
      <c r="E66" s="116" t="s">
        <v>577</v>
      </c>
    </row>
    <row r="67" spans="1:7" ht="23.1" customHeight="1" x14ac:dyDescent="0.3">
      <c r="A67" s="303">
        <f>H4+H5</f>
        <v>379580278</v>
      </c>
      <c r="B67" s="185" t="s">
        <v>83</v>
      </c>
      <c r="C67" s="116" t="s">
        <v>86</v>
      </c>
      <c r="D67" s="140">
        <f>A67</f>
        <v>379580278</v>
      </c>
      <c r="E67" s="116" t="s">
        <v>577</v>
      </c>
      <c r="G67" s="175"/>
    </row>
    <row r="68" spans="1:7" ht="23.1" customHeight="1" x14ac:dyDescent="0.3">
      <c r="A68" s="131">
        <f>A69+A70</f>
        <v>1338952922</v>
      </c>
      <c r="B68" s="183" t="str">
        <f>C68</f>
        <v>　     (8) 선급비용</v>
      </c>
      <c r="C68" s="166" t="s">
        <v>127</v>
      </c>
      <c r="D68" s="165">
        <f>SUM(D69:D70)</f>
        <v>1338952922</v>
      </c>
      <c r="E68" s="116" t="s">
        <v>577</v>
      </c>
    </row>
    <row r="69" spans="1:7" ht="23.1" customHeight="1" x14ac:dyDescent="0.3">
      <c r="A69" s="290">
        <v>1186112964</v>
      </c>
      <c r="B69" s="133" t="s">
        <v>21</v>
      </c>
      <c r="C69" s="169" t="s">
        <v>22</v>
      </c>
      <c r="D69" s="167">
        <f>A69</f>
        <v>1186112964</v>
      </c>
      <c r="E69" s="116" t="s">
        <v>577</v>
      </c>
    </row>
    <row r="70" spans="1:7" ht="23.1" customHeight="1" x14ac:dyDescent="0.3">
      <c r="A70" s="290">
        <v>152839958</v>
      </c>
      <c r="B70" s="134" t="s">
        <v>189</v>
      </c>
      <c r="C70" s="116" t="s">
        <v>190</v>
      </c>
      <c r="D70" s="167">
        <f>A70</f>
        <v>152839958</v>
      </c>
      <c r="E70" s="116" t="s">
        <v>577</v>
      </c>
    </row>
    <row r="71" spans="1:7" ht="23.1" customHeight="1" x14ac:dyDescent="0.3">
      <c r="A71" s="131">
        <f>A72+A73</f>
        <v>1936221045</v>
      </c>
      <c r="B71" s="183" t="str">
        <f>C71</f>
        <v>　     (9) 당기법인세자산</v>
      </c>
      <c r="C71" s="166" t="s">
        <v>163</v>
      </c>
      <c r="D71" s="165">
        <f>SUM(D72:D73)</f>
        <v>1936221045</v>
      </c>
      <c r="E71" s="116" t="s">
        <v>577</v>
      </c>
    </row>
    <row r="72" spans="1:7" ht="23.1" customHeight="1" x14ac:dyDescent="0.3">
      <c r="A72" s="290">
        <v>1762226874</v>
      </c>
      <c r="B72" s="133" t="s">
        <v>191</v>
      </c>
      <c r="C72" s="169" t="s">
        <v>172</v>
      </c>
      <c r="D72" s="167">
        <f t="shared" ref="D72:D77" si="7">A72</f>
        <v>1762226874</v>
      </c>
      <c r="E72" s="116" t="s">
        <v>577</v>
      </c>
    </row>
    <row r="73" spans="1:7" ht="23.1" customHeight="1" x14ac:dyDescent="0.3">
      <c r="A73" s="290">
        <v>173994171</v>
      </c>
      <c r="B73" s="133" t="s">
        <v>194</v>
      </c>
      <c r="C73" s="169" t="s">
        <v>196</v>
      </c>
      <c r="D73" s="167">
        <f t="shared" si="7"/>
        <v>173994171</v>
      </c>
      <c r="E73" s="116" t="s">
        <v>577</v>
      </c>
    </row>
    <row r="74" spans="1:7" ht="23.1" customHeight="1" x14ac:dyDescent="0.3">
      <c r="A74" s="131">
        <f>SUM(A75:A77)</f>
        <v>0</v>
      </c>
      <c r="B74" s="183" t="str">
        <f>C74</f>
        <v>　     (10) 선급부가세</v>
      </c>
      <c r="C74" s="166" t="s">
        <v>165</v>
      </c>
      <c r="D74" s="165">
        <f t="shared" si="7"/>
        <v>0</v>
      </c>
      <c r="E74" s="116" t="s">
        <v>577</v>
      </c>
    </row>
    <row r="75" spans="1:7" ht="23.1" customHeight="1" x14ac:dyDescent="0.3">
      <c r="A75" s="290">
        <v>0</v>
      </c>
      <c r="B75" s="133" t="s">
        <v>197</v>
      </c>
      <c r="C75" s="169" t="s">
        <v>197</v>
      </c>
      <c r="D75" s="167">
        <f t="shared" si="7"/>
        <v>0</v>
      </c>
      <c r="E75" s="116" t="s">
        <v>577</v>
      </c>
      <c r="F75" s="116" t="s">
        <v>550</v>
      </c>
    </row>
    <row r="76" spans="1:7" ht="23.1" customHeight="1" x14ac:dyDescent="0.3">
      <c r="A76" s="290">
        <v>0</v>
      </c>
      <c r="B76" s="133" t="s">
        <v>557</v>
      </c>
      <c r="C76" s="169" t="str">
        <f>B76</f>
        <v>　            국고부가세/철스크랩</v>
      </c>
      <c r="D76" s="167">
        <f t="shared" si="7"/>
        <v>0</v>
      </c>
      <c r="E76" s="116" t="s">
        <v>577</v>
      </c>
    </row>
    <row r="77" spans="1:7" ht="23.1" customHeight="1" x14ac:dyDescent="0.3">
      <c r="A77" s="290">
        <v>0</v>
      </c>
      <c r="B77" s="133" t="s">
        <v>10</v>
      </c>
      <c r="C77" s="169" t="s">
        <v>10</v>
      </c>
      <c r="D77" s="167">
        <f t="shared" si="7"/>
        <v>0</v>
      </c>
      <c r="E77" s="116" t="s">
        <v>577</v>
      </c>
    </row>
    <row r="78" spans="1:7" ht="23.1" customHeight="1" x14ac:dyDescent="0.3">
      <c r="A78" s="131">
        <f>A79+A80</f>
        <v>1110234360</v>
      </c>
      <c r="B78" s="130" t="str">
        <f>C78</f>
        <v>　     (11) 기타의당좌자산</v>
      </c>
      <c r="C78" s="166" t="s">
        <v>167</v>
      </c>
      <c r="D78" s="165">
        <f>D79+D80</f>
        <v>1110234360</v>
      </c>
      <c r="E78" s="116" t="s">
        <v>577</v>
      </c>
    </row>
    <row r="79" spans="1:7" ht="23.1" customHeight="1" x14ac:dyDescent="0.3">
      <c r="A79" s="140"/>
      <c r="B79" s="133" t="s">
        <v>23</v>
      </c>
      <c r="C79" s="169" t="s">
        <v>23</v>
      </c>
      <c r="D79" s="140">
        <f>A79</f>
        <v>0</v>
      </c>
      <c r="E79" s="116" t="s">
        <v>577</v>
      </c>
    </row>
    <row r="80" spans="1:7" ht="23.1" customHeight="1" x14ac:dyDescent="0.3">
      <c r="A80" s="290">
        <v>1110234360</v>
      </c>
      <c r="B80" s="133" t="s">
        <v>351</v>
      </c>
      <c r="C80" s="169" t="s">
        <v>351</v>
      </c>
      <c r="D80" s="140">
        <f>A80</f>
        <v>1110234360</v>
      </c>
      <c r="E80" s="116" t="s">
        <v>577</v>
      </c>
    </row>
    <row r="81" spans="1:9" ht="23.1" customHeight="1" x14ac:dyDescent="0.3">
      <c r="A81" s="131">
        <f>A82+A84</f>
        <v>84204592026</v>
      </c>
      <c r="B81" s="183" t="str">
        <f>C81</f>
        <v>　  2. 재고자산</v>
      </c>
      <c r="C81" s="166" t="s">
        <v>308</v>
      </c>
      <c r="D81" s="165">
        <f>D82+D84</f>
        <v>84204592026</v>
      </c>
      <c r="E81" s="116" t="s">
        <v>577</v>
      </c>
    </row>
    <row r="82" spans="1:9" ht="23.1" customHeight="1" x14ac:dyDescent="0.3">
      <c r="A82" s="131">
        <f>A83</f>
        <v>83379199213</v>
      </c>
      <c r="B82" s="183" t="str">
        <f>C82</f>
        <v>　     (1) 저장품</v>
      </c>
      <c r="C82" s="166" t="s">
        <v>84</v>
      </c>
      <c r="D82" s="165">
        <f>SUM(D83:D83)</f>
        <v>83379199213</v>
      </c>
      <c r="E82" s="116" t="s">
        <v>577</v>
      </c>
    </row>
    <row r="83" spans="1:9" ht="23.1" customHeight="1" x14ac:dyDescent="0.3">
      <c r="A83" s="290">
        <v>83379199213</v>
      </c>
      <c r="B83" s="134" t="s">
        <v>85</v>
      </c>
      <c r="C83" s="116" t="s">
        <v>85</v>
      </c>
      <c r="D83" s="167">
        <f>A83</f>
        <v>83379199213</v>
      </c>
      <c r="E83" s="116" t="s">
        <v>577</v>
      </c>
    </row>
    <row r="84" spans="1:9" ht="23.1" customHeight="1" x14ac:dyDescent="0.3">
      <c r="A84" s="131">
        <f>A85</f>
        <v>825392813</v>
      </c>
      <c r="B84" s="183" t="str">
        <f>C84</f>
        <v>　     (2) 미착품</v>
      </c>
      <c r="C84" s="166" t="s">
        <v>75</v>
      </c>
      <c r="D84" s="165">
        <f>D85</f>
        <v>825392813</v>
      </c>
      <c r="E84" s="116" t="s">
        <v>577</v>
      </c>
    </row>
    <row r="85" spans="1:9" ht="23.1" customHeight="1" thickBot="1" x14ac:dyDescent="0.35">
      <c r="A85" s="290">
        <v>825392813</v>
      </c>
      <c r="B85" s="173" t="s">
        <v>70</v>
      </c>
      <c r="C85" s="199" t="s">
        <v>70</v>
      </c>
      <c r="D85" s="198">
        <f>A85</f>
        <v>825392813</v>
      </c>
      <c r="E85" s="116" t="s">
        <v>577</v>
      </c>
    </row>
    <row r="86" spans="1:9" ht="23.1" customHeight="1" x14ac:dyDescent="0.3">
      <c r="A86" s="152">
        <f>A87+A94+A222+A244</f>
        <v>15033291613809</v>
      </c>
      <c r="B86" s="197" t="str">
        <f>C86</f>
        <v>　Ⅱ.비유동자산</v>
      </c>
      <c r="C86" s="171" t="s">
        <v>309</v>
      </c>
      <c r="D86" s="170">
        <f>D87+D94+D222+D244</f>
        <v>15033291613809</v>
      </c>
      <c r="E86" s="116" t="s">
        <v>577</v>
      </c>
    </row>
    <row r="87" spans="1:9" ht="23.1" customHeight="1" x14ac:dyDescent="0.3">
      <c r="A87" s="131">
        <f>A88+A90+A92</f>
        <v>93430804361</v>
      </c>
      <c r="B87" s="183" t="str">
        <f>C87</f>
        <v>　  1. 투자자산</v>
      </c>
      <c r="C87" s="166" t="s">
        <v>306</v>
      </c>
      <c r="D87" s="165">
        <f>D88+D90+D92</f>
        <v>93430804361</v>
      </c>
      <c r="E87" s="116" t="s">
        <v>577</v>
      </c>
    </row>
    <row r="88" spans="1:9" ht="23.1" customHeight="1" x14ac:dyDescent="0.3">
      <c r="A88" s="131">
        <f>A89</f>
        <v>503257100</v>
      </c>
      <c r="B88" s="183" t="str">
        <f>C88</f>
        <v>　     (1) 장기금융상품</v>
      </c>
      <c r="C88" s="166" t="s">
        <v>178</v>
      </c>
      <c r="D88" s="165">
        <f>D89</f>
        <v>503257100</v>
      </c>
      <c r="E88" s="116" t="s">
        <v>577</v>
      </c>
    </row>
    <row r="89" spans="1:9" ht="23.1" customHeight="1" x14ac:dyDescent="0.3">
      <c r="A89" s="299">
        <v>503257100</v>
      </c>
      <c r="B89" s="134" t="s">
        <v>352</v>
      </c>
      <c r="C89" s="116" t="s">
        <v>13</v>
      </c>
      <c r="D89" s="140">
        <f>A89</f>
        <v>503257100</v>
      </c>
      <c r="E89" s="116" t="s">
        <v>577</v>
      </c>
    </row>
    <row r="90" spans="1:9" ht="23.1" customHeight="1" x14ac:dyDescent="0.3">
      <c r="A90" s="131">
        <f>A91</f>
        <v>49850573827</v>
      </c>
      <c r="B90" s="183" t="str">
        <f>C90</f>
        <v>　     (2) 장기대여금</v>
      </c>
      <c r="C90" s="166" t="s">
        <v>76</v>
      </c>
      <c r="D90" s="165">
        <f>D91</f>
        <v>49850573827</v>
      </c>
      <c r="E90" s="116" t="s">
        <v>577</v>
      </c>
    </row>
    <row r="91" spans="1:9" ht="23.1" customHeight="1" x14ac:dyDescent="0.3">
      <c r="A91" s="290">
        <v>49850573827</v>
      </c>
      <c r="B91" s="134" t="s">
        <v>2</v>
      </c>
      <c r="C91" s="116" t="s">
        <v>2</v>
      </c>
      <c r="D91" s="140">
        <f>A91</f>
        <v>49850573827</v>
      </c>
      <c r="E91" s="116" t="s">
        <v>577</v>
      </c>
    </row>
    <row r="92" spans="1:9" ht="23.1" customHeight="1" x14ac:dyDescent="0.3">
      <c r="A92" s="131">
        <f>A93</f>
        <v>43076973434</v>
      </c>
      <c r="B92" s="183" t="str">
        <f>C92</f>
        <v>　     (3) 지분법적용투자주식</v>
      </c>
      <c r="C92" s="166" t="s">
        <v>193</v>
      </c>
      <c r="D92" s="165">
        <f>D93</f>
        <v>43076973434</v>
      </c>
      <c r="E92" s="116" t="s">
        <v>577</v>
      </c>
    </row>
    <row r="93" spans="1:9" ht="23.1" customHeight="1" x14ac:dyDescent="0.3">
      <c r="A93" s="300">
        <v>43076973434</v>
      </c>
      <c r="B93" s="134" t="s">
        <v>16</v>
      </c>
      <c r="C93" s="116" t="s">
        <v>16</v>
      </c>
      <c r="D93" s="140">
        <f>A93</f>
        <v>43076973434</v>
      </c>
      <c r="E93" s="116" t="s">
        <v>577</v>
      </c>
      <c r="G93" s="275"/>
      <c r="H93" s="276"/>
      <c r="I93" s="277"/>
    </row>
    <row r="94" spans="1:9" ht="23.1" customHeight="1" x14ac:dyDescent="0.3">
      <c r="A94" s="131">
        <f>A95+A97+A106+A115+A128+A141+A156+A169+A182+A187+A193</f>
        <v>14808202023897</v>
      </c>
      <c r="B94" s="183" t="str">
        <f>C94</f>
        <v>　  2. 유형자산</v>
      </c>
      <c r="C94" s="166" t="s">
        <v>307</v>
      </c>
      <c r="D94" s="165">
        <f>D95+D97+D106+D115+D128+D141+D156+D169+D182+D187+D193</f>
        <v>14808202023897</v>
      </c>
      <c r="E94" s="116" t="s">
        <v>577</v>
      </c>
      <c r="G94" s="275"/>
      <c r="H94" s="278"/>
      <c r="I94" s="277"/>
    </row>
    <row r="95" spans="1:9" ht="23.1" customHeight="1" x14ac:dyDescent="0.3">
      <c r="A95" s="131">
        <f>A96</f>
        <v>4859347139849</v>
      </c>
      <c r="B95" s="183" t="str">
        <f>C95</f>
        <v>　     (1) 토지</v>
      </c>
      <c r="C95" s="166" t="s">
        <v>78</v>
      </c>
      <c r="D95" s="165">
        <f>D96</f>
        <v>4859347139849</v>
      </c>
      <c r="E95" s="116" t="s">
        <v>577</v>
      </c>
      <c r="G95" s="279"/>
      <c r="H95" s="278"/>
      <c r="I95" s="280"/>
    </row>
    <row r="96" spans="1:9" ht="23.1" customHeight="1" x14ac:dyDescent="0.3">
      <c r="A96" s="299">
        <v>4859347139849</v>
      </c>
      <c r="B96" s="134" t="s">
        <v>87</v>
      </c>
      <c r="C96" s="116" t="s">
        <v>87</v>
      </c>
      <c r="D96" s="140">
        <f>A96</f>
        <v>4859347139849</v>
      </c>
      <c r="E96" s="116" t="s">
        <v>577</v>
      </c>
      <c r="G96" s="277"/>
      <c r="H96" s="278"/>
      <c r="I96" s="277"/>
    </row>
    <row r="97" spans="1:6" ht="23.1" customHeight="1" x14ac:dyDescent="0.3">
      <c r="A97" s="131">
        <f>A98+A100+A102+A104</f>
        <v>174661167194</v>
      </c>
      <c r="B97" s="183" t="str">
        <f>C97</f>
        <v>　     (2) 건물</v>
      </c>
      <c r="C97" s="166" t="s">
        <v>69</v>
      </c>
      <c r="D97" s="165">
        <f>D98+D100+D102+D104</f>
        <v>174661167194</v>
      </c>
      <c r="E97" s="116" t="s">
        <v>577</v>
      </c>
    </row>
    <row r="98" spans="1:6" ht="23.1" customHeight="1" x14ac:dyDescent="0.3">
      <c r="A98" s="131">
        <f>A99</f>
        <v>512305191446</v>
      </c>
      <c r="B98" s="183" t="str">
        <f>C98</f>
        <v>　        ① 건물</v>
      </c>
      <c r="C98" s="166" t="s">
        <v>100</v>
      </c>
      <c r="D98" s="165">
        <f>D99</f>
        <v>512305191446</v>
      </c>
      <c r="E98" s="116" t="s">
        <v>577</v>
      </c>
    </row>
    <row r="99" spans="1:6" ht="23.1" customHeight="1" x14ac:dyDescent="0.3">
      <c r="A99" s="290">
        <v>512305191446</v>
      </c>
      <c r="B99" s="134" t="s">
        <v>102</v>
      </c>
      <c r="C99" s="116" t="s">
        <v>102</v>
      </c>
      <c r="D99" s="140">
        <f>A99</f>
        <v>512305191446</v>
      </c>
      <c r="E99" s="116" t="s">
        <v>577</v>
      </c>
    </row>
    <row r="100" spans="1:6" ht="23.1" customHeight="1" x14ac:dyDescent="0.3">
      <c r="A100" s="131">
        <f>A101</f>
        <v>-336807939016</v>
      </c>
      <c r="B100" s="183" t="str">
        <f>C100</f>
        <v>　        ② (감가상각누계액)</v>
      </c>
      <c r="C100" s="166" t="s">
        <v>31</v>
      </c>
      <c r="D100" s="165">
        <f>D101</f>
        <v>-336807939016</v>
      </c>
      <c r="E100" s="116" t="s">
        <v>577</v>
      </c>
    </row>
    <row r="101" spans="1:6" ht="22.5" customHeight="1" x14ac:dyDescent="0.3">
      <c r="A101" s="290">
        <v>-336807939016</v>
      </c>
      <c r="B101" s="134" t="s">
        <v>171</v>
      </c>
      <c r="C101" s="116" t="s">
        <v>171</v>
      </c>
      <c r="D101" s="140">
        <f>A101</f>
        <v>-336807939016</v>
      </c>
      <c r="E101" s="116" t="s">
        <v>577</v>
      </c>
    </row>
    <row r="102" spans="1:6" ht="23.1" customHeight="1" x14ac:dyDescent="0.3">
      <c r="A102" s="131">
        <f>A103</f>
        <v>-1060265619</v>
      </c>
      <c r="B102" s="183" t="str">
        <f>C102</f>
        <v>　        ③ (정부보조금)</v>
      </c>
      <c r="C102" s="166" t="s">
        <v>179</v>
      </c>
      <c r="D102" s="165">
        <f>D103</f>
        <v>-1060265619</v>
      </c>
      <c r="E102" s="116" t="s">
        <v>577</v>
      </c>
    </row>
    <row r="103" spans="1:6" ht="23.1" customHeight="1" x14ac:dyDescent="0.3">
      <c r="A103" s="290">
        <v>-1060265619</v>
      </c>
      <c r="B103" s="134" t="s">
        <v>180</v>
      </c>
      <c r="C103" s="116" t="s">
        <v>180</v>
      </c>
      <c r="D103" s="140">
        <f>A103</f>
        <v>-1060265619</v>
      </c>
      <c r="E103" s="116" t="s">
        <v>577</v>
      </c>
    </row>
    <row r="104" spans="1:6" ht="23.1" customHeight="1" x14ac:dyDescent="0.3">
      <c r="A104" s="131">
        <f>A105</f>
        <v>224180383</v>
      </c>
      <c r="B104" s="183" t="str">
        <f>C104</f>
        <v>　        ④ 정부보조금/감가상각누계액</v>
      </c>
      <c r="C104" s="166" t="s">
        <v>353</v>
      </c>
      <c r="D104" s="165">
        <f>D105</f>
        <v>224180383</v>
      </c>
      <c r="E104" s="116" t="s">
        <v>577</v>
      </c>
    </row>
    <row r="105" spans="1:6" ht="23.1" customHeight="1" x14ac:dyDescent="0.3">
      <c r="A105" s="290">
        <v>224180383</v>
      </c>
      <c r="B105" s="134" t="s">
        <v>26</v>
      </c>
      <c r="C105" s="116" t="s">
        <v>26</v>
      </c>
      <c r="D105" s="140">
        <f>A105</f>
        <v>224180383</v>
      </c>
      <c r="E105" s="116" t="s">
        <v>577</v>
      </c>
    </row>
    <row r="106" spans="1:6" ht="23.1" customHeight="1" x14ac:dyDescent="0.3">
      <c r="A106" s="131">
        <f>A107+A109+A111+A113</f>
        <v>41017112352</v>
      </c>
      <c r="B106" s="183" t="str">
        <f>C106</f>
        <v>　     (3) 기계장치</v>
      </c>
      <c r="C106" s="166" t="s">
        <v>93</v>
      </c>
      <c r="D106" s="165">
        <f>D107+D109+D111+D113</f>
        <v>41017112352</v>
      </c>
      <c r="E106" s="116" t="s">
        <v>577</v>
      </c>
    </row>
    <row r="107" spans="1:6" ht="23.1" customHeight="1" x14ac:dyDescent="0.3">
      <c r="A107" s="131">
        <f>A108</f>
        <v>103814389417</v>
      </c>
      <c r="B107" s="183" t="str">
        <f>C107</f>
        <v>　        ① 기계장치</v>
      </c>
      <c r="C107" s="166" t="s">
        <v>96</v>
      </c>
      <c r="D107" s="165">
        <f>D108</f>
        <v>103814389417</v>
      </c>
      <c r="E107" s="116" t="s">
        <v>577</v>
      </c>
    </row>
    <row r="108" spans="1:6" ht="23.1" customHeight="1" x14ac:dyDescent="0.3">
      <c r="A108" s="290">
        <v>103814389417</v>
      </c>
      <c r="B108" s="134" t="s">
        <v>99</v>
      </c>
      <c r="C108" s="116" t="s">
        <v>99</v>
      </c>
      <c r="D108" s="140">
        <f>A108</f>
        <v>103814389417</v>
      </c>
      <c r="E108" s="116" t="s">
        <v>577</v>
      </c>
      <c r="F108" s="255"/>
    </row>
    <row r="109" spans="1:6" ht="23.1" customHeight="1" x14ac:dyDescent="0.3">
      <c r="A109" s="131">
        <f>A110</f>
        <v>-62773853942</v>
      </c>
      <c r="B109" s="183" t="str">
        <f>C109</f>
        <v>　        ② (감가상각누계액)</v>
      </c>
      <c r="C109" s="166" t="s">
        <v>31</v>
      </c>
      <c r="D109" s="165">
        <f>D110</f>
        <v>-62773853942</v>
      </c>
      <c r="E109" s="116" t="s">
        <v>577</v>
      </c>
      <c r="F109" s="255"/>
    </row>
    <row r="110" spans="1:6" ht="23.1" customHeight="1" x14ac:dyDescent="0.3">
      <c r="A110" s="290">
        <v>-62773853942</v>
      </c>
      <c r="B110" s="134" t="s">
        <v>171</v>
      </c>
      <c r="C110" s="116" t="s">
        <v>171</v>
      </c>
      <c r="D110" s="140">
        <f>A110</f>
        <v>-62773853942</v>
      </c>
      <c r="E110" s="116" t="s">
        <v>577</v>
      </c>
      <c r="F110" s="255"/>
    </row>
    <row r="111" spans="1:6" ht="23.1" customHeight="1" x14ac:dyDescent="0.3">
      <c r="A111" s="131">
        <f>A112</f>
        <v>-25169998</v>
      </c>
      <c r="B111" s="183" t="s">
        <v>179</v>
      </c>
      <c r="C111" s="166" t="s">
        <v>179</v>
      </c>
      <c r="D111" s="165">
        <f>D112</f>
        <v>-25169998</v>
      </c>
      <c r="E111" s="116" t="s">
        <v>577</v>
      </c>
      <c r="F111" s="255"/>
    </row>
    <row r="112" spans="1:6" ht="23.1" customHeight="1" x14ac:dyDescent="0.3">
      <c r="A112" s="290">
        <v>-25169998</v>
      </c>
      <c r="B112" s="134" t="s">
        <v>180</v>
      </c>
      <c r="C112" s="116" t="s">
        <v>180</v>
      </c>
      <c r="D112" s="140">
        <f>A112</f>
        <v>-25169998</v>
      </c>
      <c r="E112" s="116" t="s">
        <v>577</v>
      </c>
    </row>
    <row r="113" spans="1:6" ht="23.1" customHeight="1" x14ac:dyDescent="0.3">
      <c r="A113" s="131">
        <f>A114</f>
        <v>1746875</v>
      </c>
      <c r="B113" s="183" t="s">
        <v>616</v>
      </c>
      <c r="C113" s="166" t="s">
        <v>353</v>
      </c>
      <c r="D113" s="165">
        <f>D114</f>
        <v>1746875</v>
      </c>
      <c r="E113" s="116" t="s">
        <v>577</v>
      </c>
    </row>
    <row r="114" spans="1:6" ht="23.1" customHeight="1" x14ac:dyDescent="0.3">
      <c r="A114" s="290">
        <v>1746875</v>
      </c>
      <c r="B114" s="134" t="s">
        <v>26</v>
      </c>
      <c r="C114" s="116" t="s">
        <v>26</v>
      </c>
      <c r="D114" s="140">
        <f>A114</f>
        <v>1746875</v>
      </c>
      <c r="E114" s="116" t="s">
        <v>577</v>
      </c>
    </row>
    <row r="115" spans="1:6" ht="23.1" customHeight="1" x14ac:dyDescent="0.3">
      <c r="A115" s="131">
        <f>A116+A118+A120+A122+A124+A126</f>
        <v>6854157830189</v>
      </c>
      <c r="B115" s="183" t="str">
        <f>C115</f>
        <v>　     (4) 선로설비</v>
      </c>
      <c r="C115" s="166" t="s">
        <v>88</v>
      </c>
      <c r="D115" s="165">
        <f>A115</f>
        <v>6854157830189</v>
      </c>
      <c r="E115" s="116" t="s">
        <v>577</v>
      </c>
    </row>
    <row r="116" spans="1:6" ht="23.1" customHeight="1" x14ac:dyDescent="0.3">
      <c r="A116" s="131">
        <f>A117</f>
        <v>12443228689235</v>
      </c>
      <c r="B116" s="183" t="str">
        <f>C116</f>
        <v>　        ① 선로설비</v>
      </c>
      <c r="C116" s="166" t="s">
        <v>94</v>
      </c>
      <c r="D116" s="165">
        <f>D117</f>
        <v>12443228689235</v>
      </c>
      <c r="E116" s="116" t="s">
        <v>577</v>
      </c>
    </row>
    <row r="117" spans="1:6" ht="23.1" customHeight="1" x14ac:dyDescent="0.3">
      <c r="A117" s="290">
        <v>12443228689235</v>
      </c>
      <c r="B117" s="134" t="s">
        <v>101</v>
      </c>
      <c r="C117" s="116" t="s">
        <v>101</v>
      </c>
      <c r="D117" s="140">
        <f>A117</f>
        <v>12443228689235</v>
      </c>
      <c r="E117" s="116" t="s">
        <v>577</v>
      </c>
      <c r="F117" s="255"/>
    </row>
    <row r="118" spans="1:6" ht="23.1" customHeight="1" x14ac:dyDescent="0.3">
      <c r="A118" s="131">
        <f>A119</f>
        <v>-5389750000975</v>
      </c>
      <c r="B118" s="183" t="str">
        <f>C118</f>
        <v>　        ② (감가상각누계액)</v>
      </c>
      <c r="C118" s="166" t="s">
        <v>31</v>
      </c>
      <c r="D118" s="165">
        <f>D119</f>
        <v>-5389750000975</v>
      </c>
      <c r="E118" s="116" t="s">
        <v>577</v>
      </c>
      <c r="F118" s="255"/>
    </row>
    <row r="119" spans="1:6" ht="23.1" customHeight="1" x14ac:dyDescent="0.3">
      <c r="A119" s="290">
        <v>-5389750000975</v>
      </c>
      <c r="B119" s="134" t="s">
        <v>171</v>
      </c>
      <c r="C119" s="116" t="s">
        <v>171</v>
      </c>
      <c r="D119" s="140">
        <f>A119</f>
        <v>-5389750000975</v>
      </c>
      <c r="E119" s="116" t="s">
        <v>577</v>
      </c>
      <c r="F119" s="255"/>
    </row>
    <row r="120" spans="1:6" ht="23.1" customHeight="1" x14ac:dyDescent="0.3">
      <c r="A120" s="131">
        <f>A121</f>
        <v>-213675034053</v>
      </c>
      <c r="B120" s="183" t="str">
        <f>C120</f>
        <v>　        ③ (정부보조금)</v>
      </c>
      <c r="C120" s="166" t="s">
        <v>179</v>
      </c>
      <c r="D120" s="165">
        <f>D121</f>
        <v>-213675034053</v>
      </c>
      <c r="E120" s="116" t="s">
        <v>577</v>
      </c>
      <c r="F120" s="255"/>
    </row>
    <row r="121" spans="1:6" ht="23.1" customHeight="1" x14ac:dyDescent="0.3">
      <c r="A121" s="290">
        <v>-213675034053</v>
      </c>
      <c r="B121" s="134" t="s">
        <v>180</v>
      </c>
      <c r="C121" s="116" t="s">
        <v>180</v>
      </c>
      <c r="D121" s="140">
        <f>A121</f>
        <v>-213675034053</v>
      </c>
      <c r="E121" s="116" t="s">
        <v>577</v>
      </c>
      <c r="F121" s="255"/>
    </row>
    <row r="122" spans="1:6" ht="23.1" customHeight="1" x14ac:dyDescent="0.3">
      <c r="A122" s="131">
        <f>A123</f>
        <v>15072546875</v>
      </c>
      <c r="B122" s="183" t="str">
        <f>C122</f>
        <v>　        ④ 정부보조금/감가상각누계액</v>
      </c>
      <c r="C122" s="166" t="s">
        <v>353</v>
      </c>
      <c r="D122" s="165">
        <f>D123</f>
        <v>15072546875</v>
      </c>
      <c r="E122" s="116" t="s">
        <v>577</v>
      </c>
      <c r="F122" s="255"/>
    </row>
    <row r="123" spans="1:6" ht="23.1" customHeight="1" x14ac:dyDescent="0.3">
      <c r="A123" s="290">
        <v>15072546875</v>
      </c>
      <c r="B123" s="134" t="s">
        <v>26</v>
      </c>
      <c r="C123" s="116" t="s">
        <v>26</v>
      </c>
      <c r="D123" s="140">
        <f>A123</f>
        <v>15072546875</v>
      </c>
      <c r="E123" s="116" t="s">
        <v>577</v>
      </c>
    </row>
    <row r="124" spans="1:6" ht="23.1" customHeight="1" x14ac:dyDescent="0.3">
      <c r="A124" s="131">
        <f>A125</f>
        <v>-785691367</v>
      </c>
      <c r="B124" s="183" t="str">
        <f t="shared" ref="B124:B129" si="8">C124</f>
        <v>　        ⑤ (지방자치단체보조금)</v>
      </c>
      <c r="C124" s="166" t="s">
        <v>63</v>
      </c>
      <c r="D124" s="165">
        <f>D125</f>
        <v>-785691367</v>
      </c>
      <c r="E124" s="116" t="s">
        <v>577</v>
      </c>
    </row>
    <row r="125" spans="1:6" ht="23.1" customHeight="1" x14ac:dyDescent="0.3">
      <c r="A125" s="290">
        <v>-785691367</v>
      </c>
      <c r="B125" s="133" t="str">
        <f t="shared" si="8"/>
        <v>　          지방자치단체보조금</v>
      </c>
      <c r="C125" s="116" t="s">
        <v>64</v>
      </c>
      <c r="D125" s="140">
        <f>A125</f>
        <v>-785691367</v>
      </c>
      <c r="E125" s="116" t="s">
        <v>577</v>
      </c>
    </row>
    <row r="126" spans="1:6" ht="23.1" customHeight="1" x14ac:dyDescent="0.3">
      <c r="A126" s="131">
        <f>A127</f>
        <v>67320474</v>
      </c>
      <c r="B126" s="183" t="str">
        <f t="shared" si="8"/>
        <v>　        ⑥ 지방자치단체보조금/감가상각누계액</v>
      </c>
      <c r="C126" s="166" t="s">
        <v>153</v>
      </c>
      <c r="D126" s="165">
        <f>D127</f>
        <v>67320474</v>
      </c>
      <c r="E126" s="116" t="s">
        <v>577</v>
      </c>
    </row>
    <row r="127" spans="1:6" ht="23.1" customHeight="1" x14ac:dyDescent="0.3">
      <c r="A127" s="290">
        <v>67320474</v>
      </c>
      <c r="B127" s="133" t="str">
        <f t="shared" si="8"/>
        <v>　          지방자치단체/감가상각누계액</v>
      </c>
      <c r="C127" s="116" t="s">
        <v>382</v>
      </c>
      <c r="D127" s="140">
        <f>A127</f>
        <v>67320474</v>
      </c>
      <c r="E127" s="116" t="s">
        <v>577</v>
      </c>
    </row>
    <row r="128" spans="1:6" ht="23.1" customHeight="1" x14ac:dyDescent="0.3">
      <c r="A128" s="131">
        <f>A129+A131+A133+A135+A137+A139</f>
        <v>882813761287</v>
      </c>
      <c r="B128" s="183" t="str">
        <f t="shared" si="8"/>
        <v>　     (5) 전로설비</v>
      </c>
      <c r="C128" s="166" t="s">
        <v>95</v>
      </c>
      <c r="D128" s="165">
        <f>D129+D131+D133+D135+D137+D139</f>
        <v>882813761287</v>
      </c>
      <c r="E128" s="116" t="s">
        <v>577</v>
      </c>
    </row>
    <row r="129" spans="1:6" ht="23.1" customHeight="1" x14ac:dyDescent="0.3">
      <c r="A129" s="131">
        <f>A130</f>
        <v>2396635397052</v>
      </c>
      <c r="B129" s="183" t="str">
        <f t="shared" si="8"/>
        <v>　        ① 전로설비</v>
      </c>
      <c r="C129" s="166" t="s">
        <v>89</v>
      </c>
      <c r="D129" s="165">
        <f>D130</f>
        <v>2396635397052</v>
      </c>
      <c r="E129" s="116" t="s">
        <v>577</v>
      </c>
    </row>
    <row r="130" spans="1:6" ht="23.1" customHeight="1" x14ac:dyDescent="0.3">
      <c r="A130" s="290">
        <v>2396635397052</v>
      </c>
      <c r="B130" s="134" t="s">
        <v>97</v>
      </c>
      <c r="C130" s="116" t="s">
        <v>97</v>
      </c>
      <c r="D130" s="140">
        <f>A130</f>
        <v>2396635397052</v>
      </c>
      <c r="E130" s="116" t="s">
        <v>577</v>
      </c>
      <c r="F130" s="255"/>
    </row>
    <row r="131" spans="1:6" ht="23.1" customHeight="1" x14ac:dyDescent="0.3">
      <c r="A131" s="131">
        <f>A132</f>
        <v>-1428884786570</v>
      </c>
      <c r="B131" s="183" t="str">
        <f>C131</f>
        <v>　        ② (감가상각누계액)</v>
      </c>
      <c r="C131" s="166" t="s">
        <v>31</v>
      </c>
      <c r="D131" s="165">
        <f>D132</f>
        <v>-1428884786570</v>
      </c>
      <c r="E131" s="116" t="s">
        <v>577</v>
      </c>
      <c r="F131" s="255"/>
    </row>
    <row r="132" spans="1:6" ht="23.1" customHeight="1" x14ac:dyDescent="0.3">
      <c r="A132" s="290">
        <v>-1428884786570</v>
      </c>
      <c r="B132" s="134" t="s">
        <v>171</v>
      </c>
      <c r="C132" s="116" t="s">
        <v>171</v>
      </c>
      <c r="D132" s="140">
        <f>A132</f>
        <v>-1428884786570</v>
      </c>
      <c r="E132" s="116" t="s">
        <v>577</v>
      </c>
      <c r="F132" s="255"/>
    </row>
    <row r="133" spans="1:6" ht="23.1" customHeight="1" x14ac:dyDescent="0.3">
      <c r="A133" s="131">
        <f>A134</f>
        <v>-96995660639</v>
      </c>
      <c r="B133" s="183" t="str">
        <f>C133</f>
        <v>　        ③ (정부보조금)</v>
      </c>
      <c r="C133" s="166" t="s">
        <v>179</v>
      </c>
      <c r="D133" s="165">
        <f>D134</f>
        <v>-96995660639</v>
      </c>
      <c r="E133" s="116" t="s">
        <v>577</v>
      </c>
      <c r="F133" s="255"/>
    </row>
    <row r="134" spans="1:6" ht="23.1" customHeight="1" x14ac:dyDescent="0.3">
      <c r="A134" s="290">
        <v>-96995660639</v>
      </c>
      <c r="B134" s="134" t="s">
        <v>180</v>
      </c>
      <c r="C134" s="116" t="s">
        <v>180</v>
      </c>
      <c r="D134" s="140">
        <f>A134</f>
        <v>-96995660639</v>
      </c>
      <c r="E134" s="116" t="s">
        <v>577</v>
      </c>
    </row>
    <row r="135" spans="1:6" ht="23.1" customHeight="1" x14ac:dyDescent="0.3">
      <c r="A135" s="131">
        <f>A136</f>
        <v>12169566585</v>
      </c>
      <c r="B135" s="183" t="str">
        <f>C135</f>
        <v>　        ④ 정부보조금/감가상각누계액</v>
      </c>
      <c r="C135" s="166" t="s">
        <v>353</v>
      </c>
      <c r="D135" s="165">
        <f>D136</f>
        <v>12169566585</v>
      </c>
      <c r="E135" s="116" t="s">
        <v>577</v>
      </c>
    </row>
    <row r="136" spans="1:6" ht="23.1" customHeight="1" x14ac:dyDescent="0.3">
      <c r="A136" s="290">
        <v>12169566585</v>
      </c>
      <c r="B136" s="134" t="s">
        <v>26</v>
      </c>
      <c r="C136" s="116" t="s">
        <v>26</v>
      </c>
      <c r="D136" s="140">
        <f>A136</f>
        <v>12169566585</v>
      </c>
      <c r="E136" s="116" t="s">
        <v>577</v>
      </c>
    </row>
    <row r="137" spans="1:6" ht="23.1" customHeight="1" x14ac:dyDescent="0.3">
      <c r="A137" s="131">
        <f>A138</f>
        <v>-111218552</v>
      </c>
      <c r="B137" s="183" t="str">
        <f t="shared" ref="B137:B140" si="9">C137</f>
        <v>　        ⑤ (지방자치단체보조금)</v>
      </c>
      <c r="C137" s="166" t="s">
        <v>63</v>
      </c>
      <c r="D137" s="165">
        <f>D138</f>
        <v>-111218552</v>
      </c>
      <c r="E137" s="116" t="s">
        <v>577</v>
      </c>
    </row>
    <row r="138" spans="1:6" ht="23.1" customHeight="1" x14ac:dyDescent="0.3">
      <c r="A138" s="290">
        <v>-111218552</v>
      </c>
      <c r="B138" s="133" t="str">
        <f t="shared" si="9"/>
        <v>　          지방자치단체보조금</v>
      </c>
      <c r="C138" s="116" t="s">
        <v>64</v>
      </c>
      <c r="D138" s="140">
        <f>A138</f>
        <v>-111218552</v>
      </c>
      <c r="E138" s="116" t="s">
        <v>577</v>
      </c>
    </row>
    <row r="139" spans="1:6" ht="23.1" customHeight="1" x14ac:dyDescent="0.3">
      <c r="A139" s="131">
        <f>A140</f>
        <v>463411</v>
      </c>
      <c r="B139" s="183" t="str">
        <f t="shared" si="9"/>
        <v>　        ⑥ 지방자치단체보조금/감가상각누계액</v>
      </c>
      <c r="C139" s="166" t="s">
        <v>153</v>
      </c>
      <c r="D139" s="165">
        <f>D140</f>
        <v>463411</v>
      </c>
      <c r="E139" s="116" t="s">
        <v>577</v>
      </c>
    </row>
    <row r="140" spans="1:6" ht="23.1" customHeight="1" x14ac:dyDescent="0.3">
      <c r="A140" s="290">
        <v>463411</v>
      </c>
      <c r="B140" s="133" t="str">
        <f t="shared" si="9"/>
        <v>　          지방자치단체/감가상각누계액</v>
      </c>
      <c r="C140" s="116" t="s">
        <v>382</v>
      </c>
      <c r="D140" s="140">
        <f>A140</f>
        <v>463411</v>
      </c>
      <c r="E140" s="116" t="s">
        <v>577</v>
      </c>
    </row>
    <row r="141" spans="1:6" ht="23.1" customHeight="1" x14ac:dyDescent="0.3">
      <c r="A141" s="131">
        <f>A142+A145+A148+A150+A152+A154</f>
        <v>1378686545890</v>
      </c>
      <c r="B141" s="183" t="str">
        <f>C141</f>
        <v>　     (6) 전동차량</v>
      </c>
      <c r="C141" s="166" t="s">
        <v>98</v>
      </c>
      <c r="D141" s="165">
        <f>D142+D145+D148+D150+D152+D154</f>
        <v>1378686545890</v>
      </c>
      <c r="E141" s="116" t="s">
        <v>577</v>
      </c>
      <c r="F141" s="255"/>
    </row>
    <row r="142" spans="1:6" ht="23.1" customHeight="1" x14ac:dyDescent="0.3">
      <c r="A142" s="131">
        <f>A143+A144</f>
        <v>3025962242785</v>
      </c>
      <c r="B142" s="183" t="str">
        <f>C142</f>
        <v>　        ① 전동차량</v>
      </c>
      <c r="C142" s="166" t="s">
        <v>90</v>
      </c>
      <c r="D142" s="165">
        <f>SUM(D143:D144)</f>
        <v>3025962242785</v>
      </c>
      <c r="E142" s="116" t="s">
        <v>577</v>
      </c>
      <c r="F142" s="255"/>
    </row>
    <row r="143" spans="1:6" ht="23.1" customHeight="1" x14ac:dyDescent="0.3">
      <c r="A143" s="290">
        <v>2933919363290</v>
      </c>
      <c r="B143" s="133" t="s">
        <v>46</v>
      </c>
      <c r="C143" s="184" t="s">
        <v>46</v>
      </c>
      <c r="D143" s="167">
        <f>A143</f>
        <v>2933919363290</v>
      </c>
      <c r="E143" s="116" t="s">
        <v>577</v>
      </c>
      <c r="F143" s="255"/>
    </row>
    <row r="144" spans="1:6" ht="23.1" customHeight="1" x14ac:dyDescent="0.3">
      <c r="A144" s="290">
        <v>92042879495</v>
      </c>
      <c r="B144" s="134" t="s">
        <v>24</v>
      </c>
      <c r="C144" s="116" t="s">
        <v>24</v>
      </c>
      <c r="D144" s="167">
        <f>A144</f>
        <v>92042879495</v>
      </c>
      <c r="E144" s="116" t="s">
        <v>577</v>
      </c>
      <c r="F144" s="255"/>
    </row>
    <row r="145" spans="1:6" ht="23.1" customHeight="1" x14ac:dyDescent="0.3">
      <c r="A145" s="131">
        <f>A146+A147</f>
        <v>-1642209485976</v>
      </c>
      <c r="B145" s="183" t="str">
        <f>C145</f>
        <v>　        ② (감가상각누계액)</v>
      </c>
      <c r="C145" s="166" t="s">
        <v>31</v>
      </c>
      <c r="D145" s="165">
        <f>SUM(D146:D147)</f>
        <v>-1642209485976</v>
      </c>
      <c r="E145" s="116" t="s">
        <v>577</v>
      </c>
    </row>
    <row r="146" spans="1:6" ht="23.1" customHeight="1" x14ac:dyDescent="0.3">
      <c r="A146" s="290">
        <v>-1588467563535</v>
      </c>
      <c r="B146" s="133" t="s">
        <v>162</v>
      </c>
      <c r="C146" s="184" t="s">
        <v>162</v>
      </c>
      <c r="D146" s="167">
        <f>A146</f>
        <v>-1588467563535</v>
      </c>
      <c r="E146" s="116" t="s">
        <v>577</v>
      </c>
    </row>
    <row r="147" spans="1:6" ht="23.1" customHeight="1" x14ac:dyDescent="0.3">
      <c r="A147" s="290">
        <v>-53741922441</v>
      </c>
      <c r="B147" s="134" t="s">
        <v>160</v>
      </c>
      <c r="C147" s="116" t="s">
        <v>160</v>
      </c>
      <c r="D147" s="167">
        <f>A147</f>
        <v>-53741922441</v>
      </c>
      <c r="E147" s="116" t="s">
        <v>577</v>
      </c>
    </row>
    <row r="148" spans="1:6" ht="23.1" customHeight="1" x14ac:dyDescent="0.3">
      <c r="A148" s="131">
        <f>A149</f>
        <v>-5614585757</v>
      </c>
      <c r="B148" s="183" t="str">
        <f>C148</f>
        <v>　        ③ (정부보조금)</v>
      </c>
      <c r="C148" s="166" t="s">
        <v>179</v>
      </c>
      <c r="D148" s="165">
        <f>D149</f>
        <v>-5614585757</v>
      </c>
      <c r="E148" s="116" t="s">
        <v>577</v>
      </c>
    </row>
    <row r="149" spans="1:6" ht="23.1" customHeight="1" x14ac:dyDescent="0.3">
      <c r="A149" s="290">
        <v>-5614585757</v>
      </c>
      <c r="B149" s="134" t="s">
        <v>180</v>
      </c>
      <c r="C149" s="116" t="s">
        <v>180</v>
      </c>
      <c r="D149" s="140">
        <f>A149</f>
        <v>-5614585757</v>
      </c>
      <c r="E149" s="116" t="s">
        <v>577</v>
      </c>
    </row>
    <row r="150" spans="1:6" ht="23.1" customHeight="1" x14ac:dyDescent="0.3">
      <c r="A150" s="131">
        <f>A151</f>
        <v>548374838</v>
      </c>
      <c r="B150" s="183" t="str">
        <f>C150</f>
        <v>　        ④ 정부보조금/감가상각누계액</v>
      </c>
      <c r="C150" s="166" t="s">
        <v>353</v>
      </c>
      <c r="D150" s="165">
        <f>D151</f>
        <v>548374838</v>
      </c>
      <c r="E150" s="116" t="s">
        <v>577</v>
      </c>
    </row>
    <row r="151" spans="1:6" ht="23.1" customHeight="1" x14ac:dyDescent="0.3">
      <c r="A151" s="300">
        <v>548374838</v>
      </c>
      <c r="B151" s="134" t="s">
        <v>26</v>
      </c>
      <c r="C151" s="116" t="s">
        <v>26</v>
      </c>
      <c r="D151" s="140">
        <f>A151</f>
        <v>548374838</v>
      </c>
      <c r="E151" s="116" t="s">
        <v>577</v>
      </c>
    </row>
    <row r="152" spans="1:6" ht="23.1" customHeight="1" x14ac:dyDescent="0.3">
      <c r="A152" s="131">
        <f>A153</f>
        <v>0</v>
      </c>
      <c r="B152" s="183" t="str">
        <f t="shared" ref="B152:B157" si="10">C152</f>
        <v>　        ⑤ (지방자치단체보조금)</v>
      </c>
      <c r="C152" s="166" t="s">
        <v>63</v>
      </c>
      <c r="D152" s="165">
        <f>D153</f>
        <v>0</v>
      </c>
      <c r="E152" s="116" t="s">
        <v>577</v>
      </c>
    </row>
    <row r="153" spans="1:6" ht="23.1" customHeight="1" x14ac:dyDescent="0.3">
      <c r="A153" s="290"/>
      <c r="B153" s="133" t="str">
        <f t="shared" si="10"/>
        <v>　          지방자치단체보조금</v>
      </c>
      <c r="C153" s="116" t="s">
        <v>64</v>
      </c>
      <c r="D153" s="140">
        <f>A153</f>
        <v>0</v>
      </c>
      <c r="E153" s="116" t="s">
        <v>577</v>
      </c>
    </row>
    <row r="154" spans="1:6" ht="23.1" customHeight="1" x14ac:dyDescent="0.3">
      <c r="A154" s="131">
        <f>A155</f>
        <v>0</v>
      </c>
      <c r="B154" s="183" t="str">
        <f t="shared" si="10"/>
        <v>　        ⑥ 지방자치단체보조금/감가상각누계액</v>
      </c>
      <c r="C154" s="166" t="s">
        <v>153</v>
      </c>
      <c r="D154" s="165">
        <f>D155</f>
        <v>0</v>
      </c>
      <c r="E154" s="116" t="s">
        <v>577</v>
      </c>
    </row>
    <row r="155" spans="1:6" ht="23.1" customHeight="1" x14ac:dyDescent="0.3">
      <c r="A155" s="307"/>
      <c r="B155" s="133" t="str">
        <f t="shared" si="10"/>
        <v>　          지방자치단체/감가상각누계액</v>
      </c>
      <c r="C155" s="116" t="s">
        <v>382</v>
      </c>
      <c r="D155" s="140">
        <f>A155</f>
        <v>0</v>
      </c>
      <c r="E155" s="116" t="s">
        <v>577</v>
      </c>
    </row>
    <row r="156" spans="1:6" ht="23.1" customHeight="1" x14ac:dyDescent="0.3">
      <c r="A156" s="131">
        <f>A157+A159+A161+A163+A165+A167</f>
        <v>704568294</v>
      </c>
      <c r="B156" s="183" t="str">
        <f t="shared" si="10"/>
        <v>　     (7) 차량운반구</v>
      </c>
      <c r="C156" s="166" t="s">
        <v>91</v>
      </c>
      <c r="D156" s="165">
        <f>D157+D159+D161+D163+D165+D167</f>
        <v>704568294</v>
      </c>
      <c r="E156" s="116" t="s">
        <v>577</v>
      </c>
    </row>
    <row r="157" spans="1:6" ht="22.5" customHeight="1" x14ac:dyDescent="0.3">
      <c r="A157" s="131">
        <f>A158</f>
        <v>6721543356</v>
      </c>
      <c r="B157" s="183" t="str">
        <f t="shared" si="10"/>
        <v>　        ① 차량운반구</v>
      </c>
      <c r="C157" s="166" t="s">
        <v>181</v>
      </c>
      <c r="D157" s="165">
        <f>D158</f>
        <v>6721543356</v>
      </c>
      <c r="E157" s="116" t="s">
        <v>577</v>
      </c>
      <c r="F157" s="255"/>
    </row>
    <row r="158" spans="1:6" ht="23.1" customHeight="1" x14ac:dyDescent="0.3">
      <c r="A158" s="290">
        <v>6721543356</v>
      </c>
      <c r="B158" s="134" t="s">
        <v>549</v>
      </c>
      <c r="C158" s="116" t="s">
        <v>549</v>
      </c>
      <c r="D158" s="140">
        <f>A158</f>
        <v>6721543356</v>
      </c>
      <c r="E158" s="116" t="s">
        <v>577</v>
      </c>
      <c r="F158" s="255"/>
    </row>
    <row r="159" spans="1:6" ht="23.1" customHeight="1" x14ac:dyDescent="0.3">
      <c r="A159" s="131">
        <f>A160</f>
        <v>-5179030335</v>
      </c>
      <c r="B159" s="183" t="str">
        <f>C159</f>
        <v>　        ② (감가상각누계액)</v>
      </c>
      <c r="C159" s="166" t="s">
        <v>31</v>
      </c>
      <c r="D159" s="165">
        <f>D160</f>
        <v>-5179030335</v>
      </c>
      <c r="E159" s="116" t="s">
        <v>577</v>
      </c>
      <c r="F159" s="255"/>
    </row>
    <row r="160" spans="1:6" ht="23.1" customHeight="1" x14ac:dyDescent="0.3">
      <c r="A160" s="290">
        <v>-5179030335</v>
      </c>
      <c r="B160" s="134" t="s">
        <v>171</v>
      </c>
      <c r="C160" s="116" t="s">
        <v>171</v>
      </c>
      <c r="D160" s="140">
        <f>A160</f>
        <v>-5179030335</v>
      </c>
      <c r="E160" s="116" t="s">
        <v>577</v>
      </c>
      <c r="F160" s="255"/>
    </row>
    <row r="161" spans="1:7" ht="23.1" customHeight="1" x14ac:dyDescent="0.3">
      <c r="A161" s="131">
        <f>A162</f>
        <v>-436854527</v>
      </c>
      <c r="B161" s="183" t="str">
        <f>C161</f>
        <v>　        ③ (정부보조금)</v>
      </c>
      <c r="C161" s="166" t="s">
        <v>179</v>
      </c>
      <c r="D161" s="165">
        <f>D162</f>
        <v>-436854527</v>
      </c>
      <c r="E161" s="116" t="s">
        <v>577</v>
      </c>
      <c r="F161" s="255"/>
    </row>
    <row r="162" spans="1:7" ht="23.1" customHeight="1" x14ac:dyDescent="0.3">
      <c r="A162" s="290">
        <v>-436854527</v>
      </c>
      <c r="B162" s="134" t="s">
        <v>180</v>
      </c>
      <c r="C162" s="116" t="s">
        <v>180</v>
      </c>
      <c r="D162" s="140">
        <f>A162</f>
        <v>-436854527</v>
      </c>
      <c r="E162" s="116" t="s">
        <v>577</v>
      </c>
      <c r="F162" s="255"/>
    </row>
    <row r="163" spans="1:7" ht="22.5" customHeight="1" x14ac:dyDescent="0.3">
      <c r="A163" s="131">
        <f>A164</f>
        <v>203498796</v>
      </c>
      <c r="B163" s="183" t="str">
        <f>C163</f>
        <v>　        ④ 정부보조금/감가상각누계액</v>
      </c>
      <c r="C163" s="166" t="s">
        <v>353</v>
      </c>
      <c r="D163" s="165">
        <f>D164</f>
        <v>203498796</v>
      </c>
      <c r="E163" s="116" t="s">
        <v>577</v>
      </c>
    </row>
    <row r="164" spans="1:7" ht="23.1" customHeight="1" x14ac:dyDescent="0.3">
      <c r="A164" s="290">
        <v>203498796</v>
      </c>
      <c r="B164" s="134" t="s">
        <v>26</v>
      </c>
      <c r="C164" s="116" t="s">
        <v>26</v>
      </c>
      <c r="D164" s="140">
        <f>A164</f>
        <v>203498796</v>
      </c>
      <c r="E164" s="116" t="s">
        <v>577</v>
      </c>
    </row>
    <row r="165" spans="1:7" ht="23.1" customHeight="1" x14ac:dyDescent="0.3">
      <c r="A165" s="131">
        <f>A166</f>
        <v>-1165110880</v>
      </c>
      <c r="B165" s="183" t="str">
        <f t="shared" ref="B165:B170" si="11">C165</f>
        <v>　        ⑤ (지방자치단체보조금)</v>
      </c>
      <c r="C165" s="166" t="s">
        <v>63</v>
      </c>
      <c r="D165" s="165">
        <f>D166</f>
        <v>-1165110880</v>
      </c>
      <c r="E165" s="116" t="s">
        <v>577</v>
      </c>
    </row>
    <row r="166" spans="1:7" ht="23.1" customHeight="1" x14ac:dyDescent="0.3">
      <c r="A166" s="290">
        <v>-1165110880</v>
      </c>
      <c r="B166" s="133" t="str">
        <f t="shared" si="11"/>
        <v>　          지방자치단체보조금</v>
      </c>
      <c r="C166" s="116" t="s">
        <v>64</v>
      </c>
      <c r="D166" s="140">
        <f>A166</f>
        <v>-1165110880</v>
      </c>
      <c r="E166" s="116" t="s">
        <v>577</v>
      </c>
    </row>
    <row r="167" spans="1:7" ht="23.1" customHeight="1" x14ac:dyDescent="0.3">
      <c r="A167" s="131">
        <f>A168</f>
        <v>560521884</v>
      </c>
      <c r="B167" s="183" t="str">
        <f t="shared" si="11"/>
        <v>　        ⑥ 지방자치단체보조금/감가상각누계액</v>
      </c>
      <c r="C167" s="166" t="s">
        <v>153</v>
      </c>
      <c r="D167" s="165">
        <f>D168</f>
        <v>560521884</v>
      </c>
      <c r="E167" s="116" t="s">
        <v>577</v>
      </c>
    </row>
    <row r="168" spans="1:7" ht="23.1" customHeight="1" x14ac:dyDescent="0.3">
      <c r="A168" s="290">
        <v>560521884</v>
      </c>
      <c r="B168" s="133" t="str">
        <f t="shared" si="11"/>
        <v>　          지방자치단체/감가상각누계액</v>
      </c>
      <c r="C168" s="116" t="s">
        <v>382</v>
      </c>
      <c r="D168" s="140">
        <f>A168</f>
        <v>560521884</v>
      </c>
      <c r="E168" s="116" t="s">
        <v>577</v>
      </c>
      <c r="F168" s="255"/>
    </row>
    <row r="169" spans="1:7" ht="23.1" customHeight="1" x14ac:dyDescent="0.3">
      <c r="A169" s="131">
        <f>A170+A172+A174+A176+A178+A180</f>
        <v>18211489439</v>
      </c>
      <c r="B169" s="183" t="str">
        <f t="shared" si="11"/>
        <v>　     (8) 공기구비품</v>
      </c>
      <c r="C169" s="166" t="s">
        <v>92</v>
      </c>
      <c r="D169" s="165">
        <f>A169</f>
        <v>18211489439</v>
      </c>
      <c r="E169" s="116" t="s">
        <v>577</v>
      </c>
      <c r="F169" s="255"/>
    </row>
    <row r="170" spans="1:7" ht="23.1" customHeight="1" x14ac:dyDescent="0.3">
      <c r="A170" s="131">
        <f>A171</f>
        <v>132955987389</v>
      </c>
      <c r="B170" s="183" t="str">
        <f t="shared" si="11"/>
        <v>　        ① 공기구비품</v>
      </c>
      <c r="C170" s="166" t="s">
        <v>195</v>
      </c>
      <c r="D170" s="165">
        <f>D171</f>
        <v>132955987389</v>
      </c>
      <c r="E170" s="116" t="s">
        <v>577</v>
      </c>
      <c r="F170" s="255"/>
    </row>
    <row r="171" spans="1:7" ht="23.1" customHeight="1" x14ac:dyDescent="0.3">
      <c r="A171" s="290">
        <v>132955987389</v>
      </c>
      <c r="B171" s="134" t="s">
        <v>173</v>
      </c>
      <c r="C171" s="116" t="s">
        <v>173</v>
      </c>
      <c r="D171" s="140">
        <f>A171</f>
        <v>132955987389</v>
      </c>
      <c r="E171" s="116" t="s">
        <v>577</v>
      </c>
      <c r="F171" s="255"/>
      <c r="G171" s="175"/>
    </row>
    <row r="172" spans="1:7" ht="23.1" customHeight="1" x14ac:dyDescent="0.3">
      <c r="A172" s="131">
        <f>A173</f>
        <v>-113941204150</v>
      </c>
      <c r="B172" s="183" t="str">
        <f>C172</f>
        <v>　        ② (감가상각누계액)</v>
      </c>
      <c r="C172" s="166" t="s">
        <v>31</v>
      </c>
      <c r="D172" s="165">
        <f>D173</f>
        <v>-113941204150</v>
      </c>
      <c r="E172" s="116" t="s">
        <v>577</v>
      </c>
      <c r="F172" s="255"/>
      <c r="G172" s="175"/>
    </row>
    <row r="173" spans="1:7" ht="23.1" customHeight="1" x14ac:dyDescent="0.3">
      <c r="A173" s="290">
        <v>-113941204150</v>
      </c>
      <c r="B173" s="134" t="s">
        <v>171</v>
      </c>
      <c r="C173" s="116" t="s">
        <v>171</v>
      </c>
      <c r="D173" s="140">
        <f>A173</f>
        <v>-113941204150</v>
      </c>
      <c r="E173" s="116" t="s">
        <v>577</v>
      </c>
      <c r="F173" s="255"/>
      <c r="G173" s="175"/>
    </row>
    <row r="174" spans="1:7" ht="23.1" customHeight="1" x14ac:dyDescent="0.3">
      <c r="A174" s="131">
        <f>SUM(A175:A175)</f>
        <v>-1139563102</v>
      </c>
      <c r="B174" s="183" t="str">
        <f>C174</f>
        <v>　        ③ (정부보조금)</v>
      </c>
      <c r="C174" s="166" t="s">
        <v>179</v>
      </c>
      <c r="D174" s="165">
        <f>SUM(D175:D175)</f>
        <v>-1139563102</v>
      </c>
      <c r="E174" s="116" t="s">
        <v>577</v>
      </c>
      <c r="F174" s="255"/>
    </row>
    <row r="175" spans="1:7" ht="23.1" customHeight="1" x14ac:dyDescent="0.3">
      <c r="A175" s="290">
        <v>-1139563102</v>
      </c>
      <c r="B175" s="133" t="s">
        <v>180</v>
      </c>
      <c r="C175" s="133" t="s">
        <v>180</v>
      </c>
      <c r="D175" s="140">
        <f>A175</f>
        <v>-1139563102</v>
      </c>
      <c r="E175" s="116" t="s">
        <v>577</v>
      </c>
      <c r="F175" s="255"/>
    </row>
    <row r="176" spans="1:7" ht="23.1" customHeight="1" x14ac:dyDescent="0.3">
      <c r="A176" s="131">
        <f>SUM(A177:A177)</f>
        <v>451409006</v>
      </c>
      <c r="B176" s="183" t="str">
        <f>C176</f>
        <v>　        ④ 정부보조금/감가상각누계액</v>
      </c>
      <c r="C176" s="166" t="s">
        <v>353</v>
      </c>
      <c r="D176" s="165">
        <f>SUM(D177:D177)</f>
        <v>451409006</v>
      </c>
      <c r="E176" s="116" t="s">
        <v>577</v>
      </c>
    </row>
    <row r="177" spans="1:7" ht="23.1" customHeight="1" x14ac:dyDescent="0.3">
      <c r="A177" s="290">
        <v>451409006</v>
      </c>
      <c r="B177" s="133" t="s">
        <v>26</v>
      </c>
      <c r="C177" s="133" t="s">
        <v>26</v>
      </c>
      <c r="D177" s="140">
        <f>A177</f>
        <v>451409006</v>
      </c>
      <c r="E177" s="116" t="s">
        <v>577</v>
      </c>
    </row>
    <row r="178" spans="1:7" ht="23.1" customHeight="1" x14ac:dyDescent="0.3">
      <c r="A178" s="131">
        <f>A179</f>
        <v>-413543300</v>
      </c>
      <c r="B178" s="183" t="str">
        <f>C178</f>
        <v>　        ⑤ (지방자치단체보조금)</v>
      </c>
      <c r="C178" s="166" t="s">
        <v>63</v>
      </c>
      <c r="D178" s="165">
        <f>D179</f>
        <v>-413543300</v>
      </c>
      <c r="E178" s="116" t="s">
        <v>577</v>
      </c>
    </row>
    <row r="179" spans="1:7" ht="23.1" customHeight="1" x14ac:dyDescent="0.3">
      <c r="A179" s="290">
        <v>-413543300</v>
      </c>
      <c r="B179" s="134" t="s">
        <v>66</v>
      </c>
      <c r="C179" s="134" t="s">
        <v>66</v>
      </c>
      <c r="D179" s="140">
        <f>A179</f>
        <v>-413543300</v>
      </c>
      <c r="E179" s="116" t="s">
        <v>577</v>
      </c>
    </row>
    <row r="180" spans="1:7" ht="18.75" customHeight="1" x14ac:dyDescent="0.3">
      <c r="A180" s="131">
        <f>A181</f>
        <v>298403596</v>
      </c>
      <c r="B180" s="183" t="str">
        <f>C180</f>
        <v>　        ⑥ 지방자치단체보조금/감가상각누계액</v>
      </c>
      <c r="C180" s="166" t="s">
        <v>153</v>
      </c>
      <c r="D180" s="165">
        <f>D181</f>
        <v>298403596</v>
      </c>
      <c r="E180" s="116" t="s">
        <v>577</v>
      </c>
    </row>
    <row r="181" spans="1:7" ht="23.1" customHeight="1" x14ac:dyDescent="0.3">
      <c r="A181" s="290">
        <v>298403596</v>
      </c>
      <c r="B181" s="133" t="s">
        <v>67</v>
      </c>
      <c r="C181" s="133" t="s">
        <v>67</v>
      </c>
      <c r="D181" s="140">
        <f>A181</f>
        <v>298403596</v>
      </c>
      <c r="E181" s="116" t="s">
        <v>577</v>
      </c>
    </row>
    <row r="182" spans="1:7" ht="23.1" customHeight="1" x14ac:dyDescent="0.3">
      <c r="A182" s="131">
        <f>A183+A185</f>
        <v>1999892063</v>
      </c>
      <c r="B182" s="183" t="str">
        <f>C182</f>
        <v>　     (9) 기타의유형자산</v>
      </c>
      <c r="C182" s="166" t="s">
        <v>182</v>
      </c>
      <c r="D182" s="165">
        <f>D183+D185</f>
        <v>1999892063</v>
      </c>
      <c r="E182" s="116" t="s">
        <v>577</v>
      </c>
    </row>
    <row r="183" spans="1:7" ht="23.1" customHeight="1" x14ac:dyDescent="0.3">
      <c r="A183" s="131">
        <f>A184</f>
        <v>8742800140</v>
      </c>
      <c r="B183" s="183" t="str">
        <f>C183</f>
        <v>　        ① 기타의유형자산</v>
      </c>
      <c r="C183" s="166" t="s">
        <v>174</v>
      </c>
      <c r="D183" s="165">
        <f>D184</f>
        <v>8742800140</v>
      </c>
      <c r="E183" s="116" t="s">
        <v>577</v>
      </c>
    </row>
    <row r="184" spans="1:7" ht="23.1" customHeight="1" x14ac:dyDescent="0.3">
      <c r="A184" s="290">
        <v>8742800140</v>
      </c>
      <c r="B184" s="134" t="s">
        <v>183</v>
      </c>
      <c r="C184" s="116" t="s">
        <v>183</v>
      </c>
      <c r="D184" s="140">
        <f>A184</f>
        <v>8742800140</v>
      </c>
      <c r="E184" s="116" t="s">
        <v>577</v>
      </c>
    </row>
    <row r="185" spans="1:7" ht="23.1" customHeight="1" x14ac:dyDescent="0.3">
      <c r="A185" s="131">
        <f>A186</f>
        <v>-6742908077</v>
      </c>
      <c r="B185" s="183" t="str">
        <f>C185</f>
        <v>　        ② (감가상각누계액)</v>
      </c>
      <c r="C185" s="166" t="s">
        <v>31</v>
      </c>
      <c r="D185" s="165">
        <f>D186</f>
        <v>-6742908077</v>
      </c>
      <c r="E185" s="116" t="s">
        <v>577</v>
      </c>
    </row>
    <row r="186" spans="1:7" ht="23.1" customHeight="1" x14ac:dyDescent="0.3">
      <c r="A186" s="290">
        <v>-6742908077</v>
      </c>
      <c r="B186" s="134" t="s">
        <v>171</v>
      </c>
      <c r="C186" s="116" t="s">
        <v>171</v>
      </c>
      <c r="D186" s="140">
        <f>A186</f>
        <v>-6742908077</v>
      </c>
      <c r="E186" s="116" t="s">
        <v>577</v>
      </c>
    </row>
    <row r="187" spans="1:7" ht="23.1" customHeight="1" x14ac:dyDescent="0.3">
      <c r="A187" s="131">
        <f>A188+A190</f>
        <v>596602517340</v>
      </c>
      <c r="B187" s="183" t="str">
        <f>C187</f>
        <v>　     (10) 건설중인자산</v>
      </c>
      <c r="C187" s="166" t="s">
        <v>175</v>
      </c>
      <c r="D187" s="165">
        <f>D188+D190</f>
        <v>596602517340</v>
      </c>
      <c r="E187" s="116" t="s">
        <v>577</v>
      </c>
    </row>
    <row r="188" spans="1:7" ht="23.1" customHeight="1" x14ac:dyDescent="0.3">
      <c r="A188" s="131">
        <f>A189</f>
        <v>623590196207</v>
      </c>
      <c r="B188" s="183" t="str">
        <f>C188</f>
        <v>　        ① 건설중인자산</v>
      </c>
      <c r="C188" s="166" t="s">
        <v>184</v>
      </c>
      <c r="D188" s="165">
        <f>D189</f>
        <v>623590196207</v>
      </c>
      <c r="E188" s="116" t="s">
        <v>577</v>
      </c>
    </row>
    <row r="189" spans="1:7" ht="23.1" customHeight="1" x14ac:dyDescent="0.3">
      <c r="A189" s="258">
        <f>623590196207</f>
        <v>623590196207</v>
      </c>
      <c r="B189" s="185" t="s">
        <v>203</v>
      </c>
      <c r="C189" s="116" t="s">
        <v>203</v>
      </c>
      <c r="D189" s="140">
        <f>A189</f>
        <v>623590196207</v>
      </c>
      <c r="E189" s="116" t="s">
        <v>577</v>
      </c>
      <c r="G189" s="175"/>
    </row>
    <row r="190" spans="1:7" ht="23.1" customHeight="1" x14ac:dyDescent="0.3">
      <c r="A190" s="131">
        <f>SUM(A191,A192)</f>
        <v>-26987678867</v>
      </c>
      <c r="B190" s="183" t="str">
        <f>C190</f>
        <v>　        ② (정부보조금)</v>
      </c>
      <c r="C190" s="166" t="s">
        <v>211</v>
      </c>
      <c r="D190" s="165">
        <f>SUM(D191:D192)</f>
        <v>-26987678867</v>
      </c>
      <c r="E190" s="116" t="s">
        <v>577</v>
      </c>
    </row>
    <row r="191" spans="1:7" ht="23.1" customHeight="1" x14ac:dyDescent="0.3">
      <c r="A191" s="290">
        <v>-26987678867</v>
      </c>
      <c r="B191" s="133" t="s">
        <v>180</v>
      </c>
      <c r="C191" s="184" t="s">
        <v>180</v>
      </c>
      <c r="D191" s="167">
        <f>A191</f>
        <v>-26987678867</v>
      </c>
      <c r="E191" s="116" t="s">
        <v>577</v>
      </c>
    </row>
    <row r="192" spans="1:7" ht="23.1" customHeight="1" x14ac:dyDescent="0.3">
      <c r="A192" s="290">
        <v>0</v>
      </c>
      <c r="B192" s="134" t="s">
        <v>66</v>
      </c>
      <c r="C192" s="133" t="s">
        <v>64</v>
      </c>
      <c r="D192" s="140">
        <f>A192</f>
        <v>0</v>
      </c>
      <c r="E192" s="116" t="s">
        <v>577</v>
      </c>
    </row>
    <row r="193" spans="1:10" ht="23.1" customHeight="1" x14ac:dyDescent="0.3">
      <c r="A193" s="131">
        <f>A194+A202+A209</f>
        <v>0</v>
      </c>
      <c r="B193" s="183" t="str">
        <f>C193</f>
        <v>　     (11) 유형자산수탁자산</v>
      </c>
      <c r="C193" s="166" t="s">
        <v>212</v>
      </c>
      <c r="D193" s="165">
        <f>D194+D202+D209</f>
        <v>0</v>
      </c>
      <c r="E193" s="116" t="s">
        <v>577</v>
      </c>
    </row>
    <row r="194" spans="1:10" ht="23.1" customHeight="1" x14ac:dyDescent="0.3">
      <c r="A194" s="131">
        <f>SUM(A195:A201)</f>
        <v>90504059346</v>
      </c>
      <c r="B194" s="183" t="str">
        <f>C194</f>
        <v>　        ① 유형자산수탁자산</v>
      </c>
      <c r="C194" s="166" t="s">
        <v>213</v>
      </c>
      <c r="D194" s="165">
        <f>SUM(D195:D201)</f>
        <v>90504059346</v>
      </c>
      <c r="E194" s="116" t="s">
        <v>577</v>
      </c>
    </row>
    <row r="195" spans="1:10" ht="23.1" customHeight="1" x14ac:dyDescent="0.3">
      <c r="A195" s="290">
        <v>2709850889</v>
      </c>
      <c r="B195" s="133" t="s">
        <v>204</v>
      </c>
      <c r="C195" s="184" t="s">
        <v>204</v>
      </c>
      <c r="D195" s="140">
        <f t="shared" ref="D195:D201" si="12">A195</f>
        <v>2709850889</v>
      </c>
      <c r="E195" s="116" t="s">
        <v>577</v>
      </c>
      <c r="G195" s="246" t="s">
        <v>500</v>
      </c>
      <c r="H195" s="247"/>
      <c r="I195" s="246" t="s">
        <v>561</v>
      </c>
      <c r="J195" s="246"/>
    </row>
    <row r="196" spans="1:10" ht="23.1" customHeight="1" x14ac:dyDescent="0.3">
      <c r="A196" s="290">
        <v>12004084555</v>
      </c>
      <c r="B196" s="133" t="s">
        <v>200</v>
      </c>
      <c r="C196" s="184" t="s">
        <v>200</v>
      </c>
      <c r="D196" s="140">
        <f t="shared" si="12"/>
        <v>12004084555</v>
      </c>
      <c r="E196" s="116" t="s">
        <v>577</v>
      </c>
      <c r="G196" s="248" t="s">
        <v>169</v>
      </c>
      <c r="H196" s="247" t="s">
        <v>383</v>
      </c>
      <c r="I196" s="249" t="s">
        <v>384</v>
      </c>
      <c r="J196" s="248" t="s">
        <v>385</v>
      </c>
    </row>
    <row r="197" spans="1:10" ht="23.1" customHeight="1" x14ac:dyDescent="0.3">
      <c r="A197" s="290">
        <v>9762102940</v>
      </c>
      <c r="B197" s="133" t="s">
        <v>221</v>
      </c>
      <c r="C197" s="184" t="s">
        <v>221</v>
      </c>
      <c r="D197" s="140">
        <f t="shared" si="12"/>
        <v>9762102940</v>
      </c>
      <c r="E197" s="116" t="s">
        <v>577</v>
      </c>
      <c r="G197" s="248" t="s">
        <v>282</v>
      </c>
      <c r="H197" s="247">
        <v>1738765279</v>
      </c>
      <c r="I197" s="250">
        <v>1659356953</v>
      </c>
      <c r="J197" s="251">
        <f>H197-I197</f>
        <v>79408326</v>
      </c>
    </row>
    <row r="198" spans="1:10" ht="23.1" customHeight="1" x14ac:dyDescent="0.3">
      <c r="A198" s="290">
        <v>60204365119</v>
      </c>
      <c r="B198" s="133" t="s">
        <v>228</v>
      </c>
      <c r="C198" s="184" t="s">
        <v>228</v>
      </c>
      <c r="D198" s="140">
        <f t="shared" si="12"/>
        <v>60204365119</v>
      </c>
      <c r="E198" s="116" t="s">
        <v>577</v>
      </c>
      <c r="G198" s="196"/>
      <c r="I198" s="195"/>
      <c r="J198" s="194"/>
    </row>
    <row r="199" spans="1:10" ht="29.25" customHeight="1" x14ac:dyDescent="0.3">
      <c r="A199" s="290">
        <v>114807836</v>
      </c>
      <c r="B199" s="259" t="s">
        <v>49</v>
      </c>
      <c r="C199" s="184" t="s">
        <v>49</v>
      </c>
      <c r="D199" s="140">
        <f t="shared" si="12"/>
        <v>114807836</v>
      </c>
      <c r="E199" s="116" t="s">
        <v>577</v>
      </c>
      <c r="G199" s="193"/>
      <c r="I199" s="192"/>
      <c r="J199" s="191"/>
    </row>
    <row r="200" spans="1:10" ht="23.1" customHeight="1" x14ac:dyDescent="0.3">
      <c r="A200" s="290">
        <v>718702543</v>
      </c>
      <c r="B200" s="133" t="s">
        <v>164</v>
      </c>
      <c r="C200" s="184" t="s">
        <v>164</v>
      </c>
      <c r="D200" s="140">
        <f t="shared" si="12"/>
        <v>718702543</v>
      </c>
      <c r="E200" s="116" t="s">
        <v>577</v>
      </c>
      <c r="G200" s="252" t="s">
        <v>551</v>
      </c>
      <c r="H200" s="253"/>
      <c r="I200" s="252" t="s">
        <v>552</v>
      </c>
      <c r="J200" s="252"/>
    </row>
    <row r="201" spans="1:10" ht="23.1" customHeight="1" x14ac:dyDescent="0.3">
      <c r="A201" s="304">
        <v>4990145464</v>
      </c>
      <c r="B201" s="133" t="s">
        <v>42</v>
      </c>
      <c r="C201" s="184" t="s">
        <v>42</v>
      </c>
      <c r="D201" s="140">
        <f t="shared" si="12"/>
        <v>4990145464</v>
      </c>
      <c r="E201" s="116" t="s">
        <v>577</v>
      </c>
      <c r="G201" s="252" t="s">
        <v>169</v>
      </c>
      <c r="H201" s="253" t="s">
        <v>383</v>
      </c>
      <c r="I201" s="252" t="s">
        <v>384</v>
      </c>
      <c r="J201" s="252" t="s">
        <v>385</v>
      </c>
    </row>
    <row r="202" spans="1:10" ht="23.1" customHeight="1" x14ac:dyDescent="0.3">
      <c r="A202" s="131">
        <f>SUM(A203:A208)</f>
        <v>-27186854777</v>
      </c>
      <c r="B202" s="183" t="str">
        <f>C202</f>
        <v>　        ② (감가상각누계액)</v>
      </c>
      <c r="C202" s="166" t="s">
        <v>31</v>
      </c>
      <c r="D202" s="165">
        <f>SUM(D203:D208)</f>
        <v>-27186854777</v>
      </c>
      <c r="E202" s="116" t="s">
        <v>577</v>
      </c>
      <c r="G202" s="254" t="s">
        <v>282</v>
      </c>
      <c r="H202" s="254">
        <v>1738765279</v>
      </c>
      <c r="I202" s="254">
        <v>1558676352</v>
      </c>
      <c r="J202" s="254">
        <v>180088927</v>
      </c>
    </row>
    <row r="203" spans="1:10" ht="23.1" customHeight="1" x14ac:dyDescent="0.3">
      <c r="A203" s="290">
        <v>-83319635</v>
      </c>
      <c r="B203" s="133" t="s">
        <v>354</v>
      </c>
      <c r="C203" s="184" t="s">
        <v>354</v>
      </c>
      <c r="D203" s="140">
        <f t="shared" ref="D203:D208" si="13">A203</f>
        <v>-83319635</v>
      </c>
      <c r="E203" s="116" t="s">
        <v>577</v>
      </c>
    </row>
    <row r="204" spans="1:10" ht="23.1" customHeight="1" x14ac:dyDescent="0.3">
      <c r="A204" s="300">
        <v>-525221257</v>
      </c>
      <c r="B204" s="133" t="s">
        <v>359</v>
      </c>
      <c r="C204" s="184" t="s">
        <v>359</v>
      </c>
      <c r="D204" s="140">
        <f t="shared" si="13"/>
        <v>-525221257</v>
      </c>
      <c r="E204" s="116" t="s">
        <v>577</v>
      </c>
      <c r="I204" s="119">
        <f>I197-I202</f>
        <v>100680601</v>
      </c>
    </row>
    <row r="205" spans="1:10" ht="23.1" customHeight="1" x14ac:dyDescent="0.3">
      <c r="A205" s="290">
        <v>-4724331982</v>
      </c>
      <c r="B205" s="133" t="s">
        <v>356</v>
      </c>
      <c r="C205" s="184" t="s">
        <v>356</v>
      </c>
      <c r="D205" s="140">
        <f t="shared" si="13"/>
        <v>-4724331982</v>
      </c>
      <c r="E205" s="116" t="s">
        <v>577</v>
      </c>
    </row>
    <row r="206" spans="1:10" ht="23.1" customHeight="1" x14ac:dyDescent="0.3">
      <c r="A206" s="290">
        <v>-18450646477</v>
      </c>
      <c r="B206" s="133" t="s">
        <v>355</v>
      </c>
      <c r="C206" s="184" t="s">
        <v>355</v>
      </c>
      <c r="D206" s="140">
        <f t="shared" si="13"/>
        <v>-18450646477</v>
      </c>
      <c r="E206" s="116" t="s">
        <v>577</v>
      </c>
    </row>
    <row r="207" spans="1:10" ht="23.1" customHeight="1" x14ac:dyDescent="0.3">
      <c r="A207" s="290">
        <v>-45201426</v>
      </c>
      <c r="B207" s="133" t="s">
        <v>358</v>
      </c>
      <c r="C207" s="184" t="s">
        <v>358</v>
      </c>
      <c r="D207" s="140">
        <f t="shared" si="13"/>
        <v>-45201426</v>
      </c>
      <c r="E207" s="116" t="s">
        <v>577</v>
      </c>
    </row>
    <row r="208" spans="1:10" ht="23.1" customHeight="1" x14ac:dyDescent="0.3">
      <c r="A208" s="290">
        <v>-3358134000</v>
      </c>
      <c r="B208" s="133" t="s">
        <v>365</v>
      </c>
      <c r="C208" s="116" t="s">
        <v>365</v>
      </c>
      <c r="D208" s="140">
        <f t="shared" si="13"/>
        <v>-3358134000</v>
      </c>
      <c r="E208" s="116" t="s">
        <v>577</v>
      </c>
    </row>
    <row r="209" spans="1:5" ht="23.1" customHeight="1" x14ac:dyDescent="0.3">
      <c r="A209" s="131">
        <f>SUM(A210:A221)</f>
        <v>-63317204569</v>
      </c>
      <c r="B209" s="183" t="str">
        <f>C209</f>
        <v>　        ③ (수탁자산보조금)</v>
      </c>
      <c r="C209" s="166" t="s">
        <v>27</v>
      </c>
      <c r="D209" s="165">
        <f>SUM(D210:D221)</f>
        <v>-63317204569</v>
      </c>
      <c r="E209" s="116" t="s">
        <v>577</v>
      </c>
    </row>
    <row r="210" spans="1:5" ht="23.1" customHeight="1" x14ac:dyDescent="0.3">
      <c r="A210" s="290">
        <v>-2626531254</v>
      </c>
      <c r="B210" s="133" t="s">
        <v>357</v>
      </c>
      <c r="C210" s="184" t="s">
        <v>357</v>
      </c>
      <c r="D210" s="140">
        <f t="shared" ref="D210:D220" si="14">A210</f>
        <v>-2626531254</v>
      </c>
      <c r="E210" s="116" t="s">
        <v>577</v>
      </c>
    </row>
    <row r="211" spans="1:5" ht="22.5" customHeight="1" x14ac:dyDescent="0.3">
      <c r="A211" s="290">
        <v>-7920184599</v>
      </c>
      <c r="B211" s="133" t="s">
        <v>362</v>
      </c>
      <c r="C211" s="184" t="s">
        <v>362</v>
      </c>
      <c r="D211" s="140">
        <f t="shared" si="14"/>
        <v>-7920184599</v>
      </c>
      <c r="E211" s="116" t="s">
        <v>577</v>
      </c>
    </row>
    <row r="212" spans="1:5" ht="22.5" customHeight="1" x14ac:dyDescent="0.3">
      <c r="A212" s="300">
        <v>-3558678699</v>
      </c>
      <c r="B212" s="133" t="s">
        <v>540</v>
      </c>
      <c r="C212" s="184" t="s">
        <v>540</v>
      </c>
      <c r="D212" s="140">
        <f>A212</f>
        <v>-3558678699</v>
      </c>
      <c r="E212" s="116" t="s">
        <v>577</v>
      </c>
    </row>
    <row r="213" spans="1:5" ht="23.1" customHeight="1" x14ac:dyDescent="0.3">
      <c r="A213" s="290">
        <v>-5008781431</v>
      </c>
      <c r="B213" s="133" t="s">
        <v>363</v>
      </c>
      <c r="C213" s="184" t="s">
        <v>363</v>
      </c>
      <c r="D213" s="140">
        <f t="shared" si="14"/>
        <v>-5008781431</v>
      </c>
      <c r="E213" s="116" t="s">
        <v>577</v>
      </c>
    </row>
    <row r="214" spans="1:5" ht="23.1" customHeight="1" x14ac:dyDescent="0.3">
      <c r="A214" s="290">
        <v>-28989527</v>
      </c>
      <c r="B214" s="133" t="s">
        <v>574</v>
      </c>
      <c r="C214" s="133" t="s">
        <v>574</v>
      </c>
      <c r="D214" s="140">
        <f>A214</f>
        <v>-28989527</v>
      </c>
      <c r="E214" s="116" t="s">
        <v>577</v>
      </c>
    </row>
    <row r="215" spans="1:5" ht="23.1" customHeight="1" x14ac:dyDescent="0.3">
      <c r="A215" s="290">
        <v>-41269688179</v>
      </c>
      <c r="B215" s="133" t="s">
        <v>360</v>
      </c>
      <c r="C215" s="184" t="s">
        <v>360</v>
      </c>
      <c r="D215" s="140">
        <f t="shared" si="14"/>
        <v>-41269688179</v>
      </c>
      <c r="E215" s="116" t="s">
        <v>577</v>
      </c>
    </row>
    <row r="216" spans="1:5" ht="23.1" customHeight="1" x14ac:dyDescent="0.3">
      <c r="A216" s="300">
        <v>-484030463</v>
      </c>
      <c r="B216" s="133" t="s">
        <v>541</v>
      </c>
      <c r="C216" s="184" t="s">
        <v>541</v>
      </c>
      <c r="D216" s="140">
        <f>A216</f>
        <v>-484030463</v>
      </c>
      <c r="E216" s="116" t="s">
        <v>577</v>
      </c>
    </row>
    <row r="217" spans="1:5" ht="23.1" customHeight="1" x14ac:dyDescent="0.3">
      <c r="A217" s="290">
        <v>-69606410</v>
      </c>
      <c r="B217" s="133" t="s">
        <v>361</v>
      </c>
      <c r="C217" s="184" t="s">
        <v>361</v>
      </c>
      <c r="D217" s="140">
        <f t="shared" si="14"/>
        <v>-69606410</v>
      </c>
      <c r="E217" s="116" t="s">
        <v>577</v>
      </c>
    </row>
    <row r="218" spans="1:5" ht="23.1" customHeight="1" x14ac:dyDescent="0.3">
      <c r="A218" s="290">
        <v>0</v>
      </c>
      <c r="B218" s="133" t="s">
        <v>543</v>
      </c>
      <c r="C218" s="133" t="s">
        <v>543</v>
      </c>
      <c r="D218" s="140">
        <f t="shared" si="14"/>
        <v>0</v>
      </c>
      <c r="E218" s="116" t="s">
        <v>577</v>
      </c>
    </row>
    <row r="219" spans="1:5" ht="23.1" customHeight="1" x14ac:dyDescent="0.3">
      <c r="A219" s="290">
        <v>-718702543</v>
      </c>
      <c r="B219" s="133" t="s">
        <v>59</v>
      </c>
      <c r="C219" s="133" t="s">
        <v>59</v>
      </c>
      <c r="D219" s="140">
        <f>A219</f>
        <v>-718702543</v>
      </c>
      <c r="E219" s="116" t="s">
        <v>577</v>
      </c>
    </row>
    <row r="220" spans="1:5" ht="22.5" customHeight="1" x14ac:dyDescent="0.3">
      <c r="A220" s="290">
        <v>-1486390676</v>
      </c>
      <c r="B220" s="133" t="s">
        <v>575</v>
      </c>
      <c r="C220" s="239" t="s">
        <v>364</v>
      </c>
      <c r="D220" s="140">
        <f t="shared" si="14"/>
        <v>-1486390676</v>
      </c>
      <c r="E220" s="116" t="s">
        <v>577</v>
      </c>
    </row>
    <row r="221" spans="1:5" ht="22.5" customHeight="1" x14ac:dyDescent="0.3">
      <c r="A221" s="290">
        <v>-145620788</v>
      </c>
      <c r="B221" s="133" t="s">
        <v>542</v>
      </c>
      <c r="C221" s="239" t="s">
        <v>542</v>
      </c>
      <c r="D221" s="140">
        <f>A221</f>
        <v>-145620788</v>
      </c>
      <c r="E221" s="116" t="s">
        <v>577</v>
      </c>
    </row>
    <row r="222" spans="1:5" ht="23.1" customHeight="1" x14ac:dyDescent="0.3">
      <c r="A222" s="131">
        <f>A223+A228+A230+A237</f>
        <v>112740412722</v>
      </c>
      <c r="B222" s="183" t="str">
        <f>C222</f>
        <v>　  3. 무형자산</v>
      </c>
      <c r="C222" s="166" t="s">
        <v>310</v>
      </c>
      <c r="D222" s="165">
        <f>D223+D228+D230+D237</f>
        <v>112740412722</v>
      </c>
      <c r="E222" s="116" t="s">
        <v>577</v>
      </c>
    </row>
    <row r="223" spans="1:5" ht="23.1" customHeight="1" x14ac:dyDescent="0.3">
      <c r="A223" s="131">
        <f>A224+A225+A226+A227</f>
        <v>72438698</v>
      </c>
      <c r="B223" s="183" t="str">
        <f>C223</f>
        <v>　     (1) 산업재산권</v>
      </c>
      <c r="C223" s="166" t="s">
        <v>108</v>
      </c>
      <c r="D223" s="165">
        <f>SUM(D224:D227)</f>
        <v>72438698</v>
      </c>
      <c r="E223" s="116" t="s">
        <v>577</v>
      </c>
    </row>
    <row r="224" spans="1:5" ht="23.1" customHeight="1" x14ac:dyDescent="0.3">
      <c r="A224" s="290">
        <v>62718596</v>
      </c>
      <c r="B224" s="133" t="s">
        <v>109</v>
      </c>
      <c r="C224" s="184" t="s">
        <v>109</v>
      </c>
      <c r="D224" s="167">
        <f>A224</f>
        <v>62718596</v>
      </c>
      <c r="E224" s="116" t="s">
        <v>577</v>
      </c>
    </row>
    <row r="225" spans="1:16384" ht="23.1" customHeight="1" x14ac:dyDescent="0.3">
      <c r="A225" s="290">
        <v>63062</v>
      </c>
      <c r="B225" s="133" t="s">
        <v>225</v>
      </c>
      <c r="C225" s="184" t="s">
        <v>225</v>
      </c>
      <c r="D225" s="167">
        <f>A225</f>
        <v>63062</v>
      </c>
      <c r="E225" s="116" t="s">
        <v>577</v>
      </c>
    </row>
    <row r="226" spans="1:16384" ht="23.1" customHeight="1" x14ac:dyDescent="0.3">
      <c r="A226" s="290">
        <v>12770</v>
      </c>
      <c r="B226" s="133" t="s">
        <v>119</v>
      </c>
      <c r="C226" s="184" t="s">
        <v>119</v>
      </c>
      <c r="D226" s="167">
        <f>A226</f>
        <v>12770</v>
      </c>
      <c r="E226" s="116" t="s">
        <v>577</v>
      </c>
    </row>
    <row r="227" spans="1:16384" ht="23.1" customHeight="1" x14ac:dyDescent="0.3">
      <c r="A227" s="290">
        <v>9644270</v>
      </c>
      <c r="B227" s="133" t="s">
        <v>110</v>
      </c>
      <c r="C227" s="184" t="s">
        <v>110</v>
      </c>
      <c r="D227" s="167">
        <f>A227</f>
        <v>9644270</v>
      </c>
      <c r="E227" s="116" t="s">
        <v>577</v>
      </c>
    </row>
    <row r="228" spans="1:16384" ht="23.1" customHeight="1" x14ac:dyDescent="0.3">
      <c r="A228" s="131">
        <f>A229</f>
        <v>99600438211</v>
      </c>
      <c r="B228" s="183" t="str">
        <f>C228</f>
        <v>　     (2) 차지권</v>
      </c>
      <c r="C228" s="166" t="s">
        <v>115</v>
      </c>
      <c r="D228" s="165">
        <f>D229</f>
        <v>99600438211</v>
      </c>
      <c r="E228" s="116" t="s">
        <v>577</v>
      </c>
    </row>
    <row r="229" spans="1:16384" ht="23.1" customHeight="1" x14ac:dyDescent="0.3">
      <c r="A229" s="290">
        <v>99600438211</v>
      </c>
      <c r="B229" s="134" t="s">
        <v>113</v>
      </c>
      <c r="C229" s="116" t="s">
        <v>113</v>
      </c>
      <c r="D229" s="140">
        <f>A229</f>
        <v>99600438211</v>
      </c>
      <c r="E229" s="116" t="s">
        <v>577</v>
      </c>
    </row>
    <row r="230" spans="1:16384" ht="23.1" customHeight="1" x14ac:dyDescent="0.3">
      <c r="A230" s="131">
        <f>A231+A233+A235</f>
        <v>13067535813</v>
      </c>
      <c r="B230" s="183" t="str">
        <f>C230</f>
        <v>　     (3) 소프트웨어</v>
      </c>
      <c r="C230" s="166" t="s">
        <v>104</v>
      </c>
      <c r="D230" s="165">
        <f>A230</f>
        <v>13067535813</v>
      </c>
      <c r="E230" s="116" t="s">
        <v>577</v>
      </c>
    </row>
    <row r="231" spans="1:16384" ht="23.1" customHeight="1" x14ac:dyDescent="0.3">
      <c r="A231" s="131">
        <f>A232</f>
        <v>13897444067</v>
      </c>
      <c r="B231" s="183" t="str">
        <f>C231</f>
        <v>　        ① 소프트웨어</v>
      </c>
      <c r="C231" s="243" t="s">
        <v>544</v>
      </c>
      <c r="D231" s="165">
        <f>A231</f>
        <v>13897444067</v>
      </c>
      <c r="E231" s="116" t="s">
        <v>577</v>
      </c>
    </row>
    <row r="232" spans="1:16384" ht="23.1" customHeight="1" x14ac:dyDescent="0.3">
      <c r="A232" s="290">
        <v>13897444067</v>
      </c>
      <c r="B232" s="134" t="s">
        <v>111</v>
      </c>
      <c r="C232" s="116" t="s">
        <v>111</v>
      </c>
      <c r="D232" s="140">
        <f>A232</f>
        <v>13897444067</v>
      </c>
      <c r="E232" s="116" t="s">
        <v>577</v>
      </c>
    </row>
    <row r="233" spans="1:16384" ht="23.1" customHeight="1" x14ac:dyDescent="0.3">
      <c r="A233" s="131">
        <f>A234</f>
        <v>-1323464196</v>
      </c>
      <c r="B233" s="183" t="str">
        <f>C233</f>
        <v>　        ② 국고보조금</v>
      </c>
      <c r="C233" s="166" t="s">
        <v>545</v>
      </c>
      <c r="D233" s="165">
        <f>D234</f>
        <v>-1323464196</v>
      </c>
      <c r="E233" s="267" t="s">
        <v>577</v>
      </c>
      <c r="F233" s="257"/>
      <c r="H233" s="242"/>
      <c r="I233" s="256"/>
      <c r="J233" s="257"/>
      <c r="L233" s="242"/>
      <c r="M233" s="256"/>
      <c r="N233" s="257"/>
      <c r="P233" s="242"/>
      <c r="Q233" s="256"/>
      <c r="R233" s="257"/>
      <c r="T233" s="242"/>
      <c r="U233" s="256"/>
      <c r="V233" s="257"/>
      <c r="X233" s="242"/>
      <c r="Y233" s="256"/>
      <c r="Z233" s="257"/>
      <c r="AB233" s="242"/>
      <c r="AC233" s="256"/>
      <c r="AD233" s="257"/>
      <c r="AF233" s="242"/>
      <c r="AG233" s="256"/>
      <c r="AH233" s="257"/>
      <c r="AJ233" s="242"/>
      <c r="AK233" s="256"/>
      <c r="AL233" s="257"/>
      <c r="AN233" s="242"/>
      <c r="AO233" s="256"/>
      <c r="AP233" s="257"/>
      <c r="AR233" s="242"/>
      <c r="AS233" s="256"/>
      <c r="AT233" s="257"/>
      <c r="AV233" s="242"/>
      <c r="AW233" s="256"/>
      <c r="AX233" s="257"/>
      <c r="AZ233" s="242"/>
      <c r="BA233" s="256"/>
      <c r="BB233" s="257"/>
      <c r="BD233" s="242"/>
      <c r="BE233" s="256"/>
      <c r="BF233" s="257"/>
      <c r="BH233" s="242"/>
      <c r="BI233" s="256"/>
      <c r="BJ233" s="257"/>
      <c r="BL233" s="242"/>
      <c r="BM233" s="256"/>
      <c r="BN233" s="257"/>
      <c r="BP233" s="242"/>
      <c r="BQ233" s="256"/>
      <c r="BR233" s="257"/>
      <c r="BT233" s="242"/>
      <c r="BU233" s="256"/>
      <c r="BV233" s="257"/>
      <c r="BX233" s="242"/>
      <c r="BY233" s="256"/>
      <c r="BZ233" s="257"/>
      <c r="CB233" s="242"/>
      <c r="CC233" s="256"/>
      <c r="CD233" s="257"/>
      <c r="CF233" s="242"/>
      <c r="CG233" s="256"/>
      <c r="CH233" s="257"/>
      <c r="CJ233" s="242"/>
      <c r="CK233" s="256"/>
      <c r="CL233" s="257"/>
      <c r="CN233" s="242"/>
      <c r="CO233" s="256"/>
      <c r="CP233" s="257"/>
      <c r="CR233" s="242"/>
      <c r="CS233" s="256"/>
      <c r="CT233" s="257"/>
      <c r="CV233" s="242"/>
      <c r="CW233" s="256"/>
      <c r="CX233" s="257"/>
      <c r="CZ233" s="242"/>
      <c r="DA233" s="256"/>
      <c r="DB233" s="257"/>
      <c r="DD233" s="242"/>
      <c r="DE233" s="256"/>
      <c r="DF233" s="257"/>
      <c r="DH233" s="242"/>
      <c r="DI233" s="256"/>
      <c r="DJ233" s="257"/>
      <c r="DL233" s="242"/>
      <c r="DM233" s="256"/>
      <c r="DN233" s="257"/>
      <c r="DP233" s="242"/>
      <c r="DQ233" s="256"/>
      <c r="DR233" s="257"/>
      <c r="DT233" s="242"/>
      <c r="DU233" s="256"/>
      <c r="DV233" s="257"/>
      <c r="DX233" s="242"/>
      <c r="DY233" s="256"/>
      <c r="DZ233" s="257"/>
      <c r="EB233" s="242"/>
      <c r="EC233" s="256"/>
      <c r="ED233" s="257"/>
      <c r="EF233" s="242"/>
      <c r="EG233" s="256"/>
      <c r="EH233" s="257"/>
      <c r="EJ233" s="242"/>
      <c r="EK233" s="256"/>
      <c r="EL233" s="257"/>
      <c r="EN233" s="242"/>
      <c r="EO233" s="256"/>
      <c r="EP233" s="257"/>
      <c r="ER233" s="242"/>
      <c r="ES233" s="256"/>
      <c r="ET233" s="257"/>
      <c r="EV233" s="242"/>
      <c r="EW233" s="256"/>
      <c r="EX233" s="257"/>
      <c r="EZ233" s="242"/>
      <c r="FA233" s="256"/>
      <c r="FB233" s="257"/>
      <c r="FD233" s="242"/>
      <c r="FE233" s="256"/>
      <c r="FF233" s="257"/>
      <c r="FH233" s="242"/>
      <c r="FI233" s="256"/>
      <c r="FJ233" s="257"/>
      <c r="FL233" s="242"/>
      <c r="FM233" s="256"/>
      <c r="FN233" s="257"/>
      <c r="FP233" s="242"/>
      <c r="FQ233" s="256"/>
      <c r="FR233" s="257"/>
      <c r="FT233" s="242"/>
      <c r="FU233" s="256"/>
      <c r="FV233" s="257"/>
      <c r="FX233" s="242"/>
      <c r="FY233" s="256"/>
      <c r="FZ233" s="257"/>
      <c r="GB233" s="242"/>
      <c r="GC233" s="256"/>
      <c r="GD233" s="257"/>
      <c r="GF233" s="242"/>
      <c r="GG233" s="256"/>
      <c r="GH233" s="257"/>
      <c r="GJ233" s="242"/>
      <c r="GK233" s="256"/>
      <c r="GL233" s="257"/>
      <c r="GN233" s="242"/>
      <c r="GO233" s="256"/>
      <c r="GP233" s="257"/>
      <c r="GR233" s="242"/>
      <c r="GS233" s="256"/>
      <c r="GT233" s="257"/>
      <c r="GV233" s="242"/>
      <c r="GW233" s="256"/>
      <c r="GX233" s="257"/>
      <c r="GZ233" s="242"/>
      <c r="HA233" s="256"/>
      <c r="HB233" s="257"/>
      <c r="HD233" s="242"/>
      <c r="HE233" s="256"/>
      <c r="HF233" s="257"/>
      <c r="HH233" s="242"/>
      <c r="HI233" s="256"/>
      <c r="HJ233" s="257"/>
      <c r="HL233" s="242"/>
      <c r="HM233" s="256"/>
      <c r="HN233" s="257"/>
      <c r="HP233" s="242"/>
      <c r="HQ233" s="256"/>
      <c r="HR233" s="257"/>
      <c r="HT233" s="242"/>
      <c r="HU233" s="256"/>
      <c r="HV233" s="257"/>
      <c r="HX233" s="242"/>
      <c r="HY233" s="256"/>
      <c r="HZ233" s="257"/>
      <c r="IB233" s="242"/>
      <c r="IC233" s="256"/>
      <c r="ID233" s="257"/>
      <c r="IF233" s="242"/>
      <c r="IG233" s="256"/>
      <c r="IH233" s="257"/>
      <c r="IJ233" s="242"/>
      <c r="IK233" s="256"/>
      <c r="IL233" s="257"/>
      <c r="IN233" s="242"/>
      <c r="IO233" s="256"/>
      <c r="IP233" s="257"/>
      <c r="IR233" s="242"/>
      <c r="IS233" s="256"/>
      <c r="IT233" s="257"/>
      <c r="IV233" s="242"/>
      <c r="IW233" s="256"/>
      <c r="IX233" s="257"/>
      <c r="IZ233" s="242"/>
      <c r="JA233" s="256"/>
      <c r="JB233" s="257"/>
      <c r="JD233" s="242"/>
      <c r="JE233" s="256"/>
      <c r="JF233" s="257"/>
      <c r="JH233" s="242"/>
      <c r="JI233" s="256"/>
      <c r="JJ233" s="257"/>
      <c r="JL233" s="242"/>
      <c r="JM233" s="256"/>
      <c r="JN233" s="257"/>
      <c r="JP233" s="242"/>
      <c r="JQ233" s="256"/>
      <c r="JR233" s="257"/>
      <c r="JT233" s="242"/>
      <c r="JU233" s="256"/>
      <c r="JV233" s="257"/>
      <c r="JX233" s="242"/>
      <c r="JY233" s="256"/>
      <c r="JZ233" s="257"/>
      <c r="KB233" s="242"/>
      <c r="KC233" s="256"/>
      <c r="KD233" s="257"/>
      <c r="KF233" s="242"/>
      <c r="KG233" s="256"/>
      <c r="KH233" s="257"/>
      <c r="KJ233" s="242"/>
      <c r="KK233" s="256"/>
      <c r="KL233" s="257"/>
      <c r="KN233" s="242"/>
      <c r="KO233" s="256"/>
      <c r="KP233" s="257"/>
      <c r="KR233" s="242"/>
      <c r="KS233" s="256"/>
      <c r="KT233" s="257"/>
      <c r="KV233" s="242"/>
      <c r="KW233" s="256"/>
      <c r="KX233" s="257"/>
      <c r="KZ233" s="242"/>
      <c r="LA233" s="256"/>
      <c r="LB233" s="257"/>
      <c r="LD233" s="242"/>
      <c r="LE233" s="256"/>
      <c r="LF233" s="257"/>
      <c r="LH233" s="242"/>
      <c r="LI233" s="256"/>
      <c r="LJ233" s="257"/>
      <c r="LL233" s="242"/>
      <c r="LM233" s="256"/>
      <c r="LN233" s="257"/>
      <c r="LP233" s="242"/>
      <c r="LQ233" s="256"/>
      <c r="LR233" s="257"/>
      <c r="LT233" s="242"/>
      <c r="LU233" s="256"/>
      <c r="LV233" s="257"/>
      <c r="LX233" s="242"/>
      <c r="LY233" s="256"/>
      <c r="LZ233" s="257"/>
      <c r="MB233" s="242"/>
      <c r="MC233" s="256"/>
      <c r="MD233" s="257"/>
      <c r="MF233" s="242"/>
      <c r="MG233" s="256"/>
      <c r="MH233" s="257"/>
      <c r="MJ233" s="242"/>
      <c r="MK233" s="256"/>
      <c r="ML233" s="257"/>
      <c r="MN233" s="242"/>
      <c r="MO233" s="256"/>
      <c r="MP233" s="257"/>
      <c r="MR233" s="242"/>
      <c r="MS233" s="256"/>
      <c r="MT233" s="257"/>
      <c r="MV233" s="242"/>
      <c r="MW233" s="256"/>
      <c r="MX233" s="257"/>
      <c r="MZ233" s="242"/>
      <c r="NA233" s="256"/>
      <c r="NB233" s="257"/>
      <c r="ND233" s="242"/>
      <c r="NE233" s="256"/>
      <c r="NF233" s="257"/>
      <c r="NH233" s="242"/>
      <c r="NI233" s="256"/>
      <c r="NJ233" s="257"/>
      <c r="NL233" s="242"/>
      <c r="NM233" s="256"/>
      <c r="NN233" s="257"/>
      <c r="NP233" s="242"/>
      <c r="NQ233" s="256"/>
      <c r="NR233" s="257"/>
      <c r="NT233" s="242"/>
      <c r="NU233" s="256"/>
      <c r="NV233" s="257"/>
      <c r="NX233" s="242"/>
      <c r="NY233" s="256"/>
      <c r="NZ233" s="257"/>
      <c r="OB233" s="242"/>
      <c r="OC233" s="256"/>
      <c r="OD233" s="257"/>
      <c r="OF233" s="242"/>
      <c r="OG233" s="256"/>
      <c r="OH233" s="257"/>
      <c r="OJ233" s="242"/>
      <c r="OK233" s="256"/>
      <c r="OL233" s="257"/>
      <c r="ON233" s="242"/>
      <c r="OO233" s="256"/>
      <c r="OP233" s="257"/>
      <c r="OR233" s="242"/>
      <c r="OS233" s="256"/>
      <c r="OT233" s="257"/>
      <c r="OV233" s="242"/>
      <c r="OW233" s="256"/>
      <c r="OX233" s="257"/>
      <c r="OZ233" s="242"/>
      <c r="PA233" s="256"/>
      <c r="PB233" s="257"/>
      <c r="PD233" s="242"/>
      <c r="PE233" s="256"/>
      <c r="PF233" s="257"/>
      <c r="PH233" s="242"/>
      <c r="PI233" s="256"/>
      <c r="PJ233" s="257"/>
      <c r="PL233" s="242"/>
      <c r="PM233" s="256"/>
      <c r="PN233" s="257"/>
      <c r="PP233" s="242"/>
      <c r="PQ233" s="256"/>
      <c r="PR233" s="257"/>
      <c r="PT233" s="242"/>
      <c r="PU233" s="256"/>
      <c r="PV233" s="257"/>
      <c r="PX233" s="242"/>
      <c r="PY233" s="256"/>
      <c r="PZ233" s="257"/>
      <c r="QB233" s="242"/>
      <c r="QC233" s="256"/>
      <c r="QD233" s="257"/>
      <c r="QF233" s="242"/>
      <c r="QG233" s="256"/>
      <c r="QH233" s="257"/>
      <c r="QJ233" s="242"/>
      <c r="QK233" s="256"/>
      <c r="QL233" s="257"/>
      <c r="QN233" s="242"/>
      <c r="QO233" s="256"/>
      <c r="QP233" s="257"/>
      <c r="QR233" s="242"/>
      <c r="QS233" s="256"/>
      <c r="QT233" s="257"/>
      <c r="QV233" s="242"/>
      <c r="QW233" s="256"/>
      <c r="QX233" s="257"/>
      <c r="QZ233" s="242"/>
      <c r="RA233" s="256"/>
      <c r="RB233" s="257"/>
      <c r="RD233" s="242"/>
      <c r="RE233" s="256"/>
      <c r="RF233" s="257"/>
      <c r="RH233" s="242"/>
      <c r="RI233" s="256"/>
      <c r="RJ233" s="257"/>
      <c r="RL233" s="242"/>
      <c r="RM233" s="256"/>
      <c r="RN233" s="257"/>
      <c r="RP233" s="242"/>
      <c r="RQ233" s="256"/>
      <c r="RR233" s="257"/>
      <c r="RT233" s="242"/>
      <c r="RU233" s="256"/>
      <c r="RV233" s="257"/>
      <c r="RX233" s="242"/>
      <c r="RY233" s="256"/>
      <c r="RZ233" s="257"/>
      <c r="SB233" s="242"/>
      <c r="SC233" s="256"/>
      <c r="SD233" s="257"/>
      <c r="SF233" s="242"/>
      <c r="SG233" s="256"/>
      <c r="SH233" s="257"/>
      <c r="SJ233" s="242"/>
      <c r="SK233" s="256"/>
      <c r="SL233" s="257"/>
      <c r="SN233" s="242"/>
      <c r="SO233" s="256"/>
      <c r="SP233" s="257"/>
      <c r="SR233" s="242"/>
      <c r="SS233" s="256"/>
      <c r="ST233" s="257"/>
      <c r="SV233" s="242"/>
      <c r="SW233" s="256"/>
      <c r="SX233" s="257"/>
      <c r="SZ233" s="242"/>
      <c r="TA233" s="256"/>
      <c r="TB233" s="257"/>
      <c r="TD233" s="242"/>
      <c r="TE233" s="256"/>
      <c r="TF233" s="257"/>
      <c r="TH233" s="242"/>
      <c r="TI233" s="256"/>
      <c r="TJ233" s="257"/>
      <c r="TL233" s="242"/>
      <c r="TM233" s="256"/>
      <c r="TN233" s="257"/>
      <c r="TP233" s="242"/>
      <c r="TQ233" s="256"/>
      <c r="TR233" s="257"/>
      <c r="TT233" s="242"/>
      <c r="TU233" s="256"/>
      <c r="TV233" s="257"/>
      <c r="TX233" s="242"/>
      <c r="TY233" s="256"/>
      <c r="TZ233" s="257"/>
      <c r="UB233" s="242"/>
      <c r="UC233" s="256"/>
      <c r="UD233" s="257"/>
      <c r="UF233" s="242"/>
      <c r="UG233" s="256"/>
      <c r="UH233" s="257"/>
      <c r="UJ233" s="242"/>
      <c r="UK233" s="256"/>
      <c r="UL233" s="257"/>
      <c r="UN233" s="242"/>
      <c r="UO233" s="256"/>
      <c r="UP233" s="257"/>
      <c r="UR233" s="242"/>
      <c r="US233" s="256"/>
      <c r="UT233" s="257"/>
      <c r="UV233" s="242"/>
      <c r="UW233" s="256"/>
      <c r="UX233" s="257"/>
      <c r="UZ233" s="242"/>
      <c r="VA233" s="256"/>
      <c r="VB233" s="257"/>
      <c r="VD233" s="242"/>
      <c r="VE233" s="256"/>
      <c r="VF233" s="257"/>
      <c r="VH233" s="242"/>
      <c r="VI233" s="256"/>
      <c r="VJ233" s="257"/>
      <c r="VL233" s="242"/>
      <c r="VM233" s="256"/>
      <c r="VN233" s="257"/>
      <c r="VP233" s="242"/>
      <c r="VQ233" s="256"/>
      <c r="VR233" s="257"/>
      <c r="VT233" s="242"/>
      <c r="VU233" s="256"/>
      <c r="VV233" s="257"/>
      <c r="VX233" s="242"/>
      <c r="VY233" s="256"/>
      <c r="VZ233" s="257"/>
      <c r="WB233" s="242"/>
      <c r="WC233" s="256"/>
      <c r="WD233" s="257"/>
      <c r="WF233" s="242"/>
      <c r="WG233" s="256"/>
      <c r="WH233" s="257"/>
      <c r="WJ233" s="242"/>
      <c r="WK233" s="256"/>
      <c r="WL233" s="257"/>
      <c r="WN233" s="242"/>
      <c r="WO233" s="256"/>
      <c r="WP233" s="257"/>
      <c r="WR233" s="242"/>
      <c r="WS233" s="256"/>
      <c r="WT233" s="257"/>
      <c r="WV233" s="242"/>
      <c r="WW233" s="256"/>
      <c r="WX233" s="257"/>
      <c r="WZ233" s="242"/>
      <c r="XA233" s="256"/>
      <c r="XB233" s="257"/>
      <c r="XD233" s="242"/>
      <c r="XE233" s="256"/>
      <c r="XF233" s="257"/>
      <c r="XH233" s="242"/>
      <c r="XI233" s="256"/>
      <c r="XJ233" s="257"/>
      <c r="XL233" s="242"/>
      <c r="XM233" s="256"/>
      <c r="XN233" s="257"/>
      <c r="XP233" s="242"/>
      <c r="XQ233" s="256"/>
      <c r="XR233" s="257"/>
      <c r="XT233" s="242"/>
      <c r="XU233" s="256"/>
      <c r="XV233" s="257"/>
      <c r="XX233" s="242"/>
      <c r="XY233" s="256"/>
      <c r="XZ233" s="257"/>
      <c r="YB233" s="242"/>
      <c r="YC233" s="256"/>
      <c r="YD233" s="257"/>
      <c r="YF233" s="242"/>
      <c r="YG233" s="256"/>
      <c r="YH233" s="257"/>
      <c r="YJ233" s="242"/>
      <c r="YK233" s="256"/>
      <c r="YL233" s="257"/>
      <c r="YN233" s="242"/>
      <c r="YO233" s="256"/>
      <c r="YP233" s="257"/>
      <c r="YR233" s="242"/>
      <c r="YS233" s="256"/>
      <c r="YT233" s="257"/>
      <c r="YV233" s="242"/>
      <c r="YW233" s="256"/>
      <c r="YX233" s="257"/>
      <c r="YZ233" s="242"/>
      <c r="ZA233" s="256"/>
      <c r="ZB233" s="257"/>
      <c r="ZD233" s="242"/>
      <c r="ZE233" s="256"/>
      <c r="ZF233" s="257"/>
      <c r="ZH233" s="242"/>
      <c r="ZI233" s="256"/>
      <c r="ZJ233" s="257"/>
      <c r="ZL233" s="242"/>
      <c r="ZM233" s="256"/>
      <c r="ZN233" s="257"/>
      <c r="ZP233" s="242"/>
      <c r="ZQ233" s="256"/>
      <c r="ZR233" s="257"/>
      <c r="ZT233" s="242"/>
      <c r="ZU233" s="256"/>
      <c r="ZV233" s="257"/>
      <c r="ZX233" s="242"/>
      <c r="ZY233" s="256"/>
      <c r="ZZ233" s="257"/>
      <c r="AAB233" s="242"/>
      <c r="AAC233" s="256"/>
      <c r="AAD233" s="257"/>
      <c r="AAF233" s="242"/>
      <c r="AAG233" s="256"/>
      <c r="AAH233" s="257"/>
      <c r="AAJ233" s="242"/>
      <c r="AAK233" s="256"/>
      <c r="AAL233" s="257"/>
      <c r="AAN233" s="242"/>
      <c r="AAO233" s="256"/>
      <c r="AAP233" s="257"/>
      <c r="AAR233" s="242"/>
      <c r="AAS233" s="256"/>
      <c r="AAT233" s="257"/>
      <c r="AAV233" s="242"/>
      <c r="AAW233" s="256"/>
      <c r="AAX233" s="257"/>
      <c r="AAZ233" s="242"/>
      <c r="ABA233" s="256"/>
      <c r="ABB233" s="257"/>
      <c r="ABD233" s="242"/>
      <c r="ABE233" s="256"/>
      <c r="ABF233" s="257"/>
      <c r="ABH233" s="242"/>
      <c r="ABI233" s="256"/>
      <c r="ABJ233" s="257"/>
      <c r="ABL233" s="242"/>
      <c r="ABM233" s="256"/>
      <c r="ABN233" s="257"/>
      <c r="ABP233" s="242"/>
      <c r="ABQ233" s="256"/>
      <c r="ABR233" s="257"/>
      <c r="ABT233" s="242"/>
      <c r="ABU233" s="256"/>
      <c r="ABV233" s="257"/>
      <c r="ABX233" s="242"/>
      <c r="ABY233" s="256"/>
      <c r="ABZ233" s="257"/>
      <c r="ACB233" s="242"/>
      <c r="ACC233" s="256"/>
      <c r="ACD233" s="257"/>
      <c r="ACF233" s="242"/>
      <c r="ACG233" s="256"/>
      <c r="ACH233" s="257"/>
      <c r="ACJ233" s="242"/>
      <c r="ACK233" s="256"/>
      <c r="ACL233" s="257"/>
      <c r="ACN233" s="242"/>
      <c r="ACO233" s="256"/>
      <c r="ACP233" s="257"/>
      <c r="ACR233" s="242"/>
      <c r="ACS233" s="256"/>
      <c r="ACT233" s="257"/>
      <c r="ACV233" s="242"/>
      <c r="ACW233" s="256"/>
      <c r="ACX233" s="257"/>
      <c r="ACZ233" s="242"/>
      <c r="ADA233" s="256"/>
      <c r="ADB233" s="257"/>
      <c r="ADD233" s="242"/>
      <c r="ADE233" s="256"/>
      <c r="ADF233" s="257"/>
      <c r="ADH233" s="242"/>
      <c r="ADI233" s="256"/>
      <c r="ADJ233" s="257"/>
      <c r="ADL233" s="242"/>
      <c r="ADM233" s="256"/>
      <c r="ADN233" s="257"/>
      <c r="ADP233" s="242"/>
      <c r="ADQ233" s="256"/>
      <c r="ADR233" s="257"/>
      <c r="ADT233" s="242"/>
      <c r="ADU233" s="256"/>
      <c r="ADV233" s="257"/>
      <c r="ADX233" s="242"/>
      <c r="ADY233" s="256"/>
      <c r="ADZ233" s="257"/>
      <c r="AEB233" s="242"/>
      <c r="AEC233" s="256"/>
      <c r="AED233" s="257"/>
      <c r="AEF233" s="242"/>
      <c r="AEG233" s="256"/>
      <c r="AEH233" s="257"/>
      <c r="AEJ233" s="242"/>
      <c r="AEK233" s="256"/>
      <c r="AEL233" s="257"/>
      <c r="AEN233" s="242"/>
      <c r="AEO233" s="256"/>
      <c r="AEP233" s="257"/>
      <c r="AER233" s="242"/>
      <c r="AES233" s="256"/>
      <c r="AET233" s="257"/>
      <c r="AEV233" s="242"/>
      <c r="AEW233" s="256"/>
      <c r="AEX233" s="257"/>
      <c r="AEZ233" s="242"/>
      <c r="AFA233" s="256"/>
      <c r="AFB233" s="257"/>
      <c r="AFD233" s="242"/>
      <c r="AFE233" s="256"/>
      <c r="AFF233" s="257"/>
      <c r="AFH233" s="242"/>
      <c r="AFI233" s="256"/>
      <c r="AFJ233" s="257"/>
      <c r="AFL233" s="242"/>
      <c r="AFM233" s="256"/>
      <c r="AFN233" s="257"/>
      <c r="AFP233" s="242"/>
      <c r="AFQ233" s="256"/>
      <c r="AFR233" s="257"/>
      <c r="AFT233" s="242"/>
      <c r="AFU233" s="256"/>
      <c r="AFV233" s="257"/>
      <c r="AFX233" s="242"/>
      <c r="AFY233" s="256"/>
      <c r="AFZ233" s="257"/>
      <c r="AGB233" s="242"/>
      <c r="AGC233" s="256"/>
      <c r="AGD233" s="257"/>
      <c r="AGF233" s="242"/>
      <c r="AGG233" s="256"/>
      <c r="AGH233" s="257"/>
      <c r="AGJ233" s="242"/>
      <c r="AGK233" s="256"/>
      <c r="AGL233" s="257"/>
      <c r="AGN233" s="242"/>
      <c r="AGO233" s="256"/>
      <c r="AGP233" s="257"/>
      <c r="AGR233" s="242"/>
      <c r="AGS233" s="256"/>
      <c r="AGT233" s="257"/>
      <c r="AGV233" s="242"/>
      <c r="AGW233" s="256"/>
      <c r="AGX233" s="257"/>
      <c r="AGZ233" s="242"/>
      <c r="AHA233" s="256"/>
      <c r="AHB233" s="257"/>
      <c r="AHD233" s="242"/>
      <c r="AHE233" s="256"/>
      <c r="AHF233" s="257"/>
      <c r="AHH233" s="242"/>
      <c r="AHI233" s="256"/>
      <c r="AHJ233" s="257"/>
      <c r="AHL233" s="242"/>
      <c r="AHM233" s="256"/>
      <c r="AHN233" s="257"/>
      <c r="AHP233" s="242"/>
      <c r="AHQ233" s="256"/>
      <c r="AHR233" s="257"/>
      <c r="AHT233" s="242"/>
      <c r="AHU233" s="256"/>
      <c r="AHV233" s="257"/>
      <c r="AHX233" s="242"/>
      <c r="AHY233" s="256"/>
      <c r="AHZ233" s="257"/>
      <c r="AIB233" s="242"/>
      <c r="AIC233" s="256"/>
      <c r="AID233" s="257"/>
      <c r="AIF233" s="242"/>
      <c r="AIG233" s="256"/>
      <c r="AIH233" s="257"/>
      <c r="AIJ233" s="242"/>
      <c r="AIK233" s="256"/>
      <c r="AIL233" s="257"/>
      <c r="AIN233" s="242"/>
      <c r="AIO233" s="256"/>
      <c r="AIP233" s="257"/>
      <c r="AIR233" s="242"/>
      <c r="AIS233" s="256"/>
      <c r="AIT233" s="257"/>
      <c r="AIV233" s="242"/>
      <c r="AIW233" s="256"/>
      <c r="AIX233" s="257"/>
      <c r="AIZ233" s="242"/>
      <c r="AJA233" s="256"/>
      <c r="AJB233" s="257"/>
      <c r="AJD233" s="242"/>
      <c r="AJE233" s="256"/>
      <c r="AJF233" s="257"/>
      <c r="AJH233" s="242"/>
      <c r="AJI233" s="256"/>
      <c r="AJJ233" s="257"/>
      <c r="AJL233" s="242"/>
      <c r="AJM233" s="256"/>
      <c r="AJN233" s="257"/>
      <c r="AJP233" s="242"/>
      <c r="AJQ233" s="256"/>
      <c r="AJR233" s="257"/>
      <c r="AJT233" s="242"/>
      <c r="AJU233" s="256"/>
      <c r="AJV233" s="257"/>
      <c r="AJX233" s="242"/>
      <c r="AJY233" s="256"/>
      <c r="AJZ233" s="257"/>
      <c r="AKB233" s="242"/>
      <c r="AKC233" s="256"/>
      <c r="AKD233" s="257"/>
      <c r="AKF233" s="242"/>
      <c r="AKG233" s="256"/>
      <c r="AKH233" s="257"/>
      <c r="AKJ233" s="242"/>
      <c r="AKK233" s="256"/>
      <c r="AKL233" s="257"/>
      <c r="AKN233" s="242"/>
      <c r="AKO233" s="256"/>
      <c r="AKP233" s="257"/>
      <c r="AKR233" s="242"/>
      <c r="AKS233" s="256"/>
      <c r="AKT233" s="257"/>
      <c r="AKV233" s="242"/>
      <c r="AKW233" s="256"/>
      <c r="AKX233" s="257"/>
      <c r="AKZ233" s="242"/>
      <c r="ALA233" s="256"/>
      <c r="ALB233" s="257"/>
      <c r="ALD233" s="242"/>
      <c r="ALE233" s="256"/>
      <c r="ALF233" s="257"/>
      <c r="ALH233" s="242"/>
      <c r="ALI233" s="256"/>
      <c r="ALJ233" s="257"/>
      <c r="ALL233" s="242"/>
      <c r="ALM233" s="256"/>
      <c r="ALN233" s="257"/>
      <c r="ALP233" s="242"/>
      <c r="ALQ233" s="256"/>
      <c r="ALR233" s="257"/>
      <c r="ALT233" s="242"/>
      <c r="ALU233" s="256"/>
      <c r="ALV233" s="257"/>
      <c r="ALX233" s="242"/>
      <c r="ALY233" s="256"/>
      <c r="ALZ233" s="257"/>
      <c r="AMB233" s="242"/>
      <c r="AMC233" s="256"/>
      <c r="AMD233" s="257"/>
      <c r="AMF233" s="242"/>
      <c r="AMG233" s="256"/>
      <c r="AMH233" s="257"/>
      <c r="AMJ233" s="242"/>
      <c r="AMK233" s="256"/>
      <c r="AML233" s="257"/>
      <c r="AMN233" s="242"/>
      <c r="AMO233" s="256"/>
      <c r="AMP233" s="257"/>
      <c r="AMR233" s="242"/>
      <c r="AMS233" s="256"/>
      <c r="AMT233" s="257"/>
      <c r="AMV233" s="242"/>
      <c r="AMW233" s="256"/>
      <c r="AMX233" s="257"/>
      <c r="AMZ233" s="242"/>
      <c r="ANA233" s="256"/>
      <c r="ANB233" s="257"/>
      <c r="AND233" s="242"/>
      <c r="ANE233" s="256"/>
      <c r="ANF233" s="257"/>
      <c r="ANH233" s="242"/>
      <c r="ANI233" s="256"/>
      <c r="ANJ233" s="257"/>
      <c r="ANL233" s="242"/>
      <c r="ANM233" s="256"/>
      <c r="ANN233" s="257"/>
      <c r="ANP233" s="242"/>
      <c r="ANQ233" s="256"/>
      <c r="ANR233" s="257"/>
      <c r="ANT233" s="242"/>
      <c r="ANU233" s="256"/>
      <c r="ANV233" s="257"/>
      <c r="ANX233" s="242"/>
      <c r="ANY233" s="256"/>
      <c r="ANZ233" s="257"/>
      <c r="AOB233" s="242"/>
      <c r="AOC233" s="256"/>
      <c r="AOD233" s="257"/>
      <c r="AOF233" s="242"/>
      <c r="AOG233" s="256"/>
      <c r="AOH233" s="257"/>
      <c r="AOJ233" s="242"/>
      <c r="AOK233" s="256"/>
      <c r="AOL233" s="257"/>
      <c r="AON233" s="242"/>
      <c r="AOO233" s="256"/>
      <c r="AOP233" s="257"/>
      <c r="AOR233" s="242"/>
      <c r="AOS233" s="256"/>
      <c r="AOT233" s="257"/>
      <c r="AOV233" s="242"/>
      <c r="AOW233" s="256"/>
      <c r="AOX233" s="257"/>
      <c r="AOZ233" s="242"/>
      <c r="APA233" s="256"/>
      <c r="APB233" s="257"/>
      <c r="APD233" s="242"/>
      <c r="APE233" s="256"/>
      <c r="APF233" s="257"/>
      <c r="APH233" s="242"/>
      <c r="API233" s="256"/>
      <c r="APJ233" s="257"/>
      <c r="APL233" s="242"/>
      <c r="APM233" s="256"/>
      <c r="APN233" s="257"/>
      <c r="APP233" s="242"/>
      <c r="APQ233" s="256"/>
      <c r="APR233" s="257"/>
      <c r="APT233" s="242"/>
      <c r="APU233" s="256"/>
      <c r="APV233" s="257"/>
      <c r="APX233" s="242"/>
      <c r="APY233" s="256"/>
      <c r="APZ233" s="257"/>
      <c r="AQB233" s="242"/>
      <c r="AQC233" s="256"/>
      <c r="AQD233" s="257"/>
      <c r="AQF233" s="242"/>
      <c r="AQG233" s="256"/>
      <c r="AQH233" s="257"/>
      <c r="AQJ233" s="242"/>
      <c r="AQK233" s="256"/>
      <c r="AQL233" s="257"/>
      <c r="AQN233" s="242"/>
      <c r="AQO233" s="256"/>
      <c r="AQP233" s="257"/>
      <c r="AQR233" s="242"/>
      <c r="AQS233" s="256"/>
      <c r="AQT233" s="257"/>
      <c r="AQV233" s="242"/>
      <c r="AQW233" s="256"/>
      <c r="AQX233" s="257"/>
      <c r="AQZ233" s="242"/>
      <c r="ARA233" s="256"/>
      <c r="ARB233" s="257"/>
      <c r="ARD233" s="242"/>
      <c r="ARE233" s="256"/>
      <c r="ARF233" s="257"/>
      <c r="ARH233" s="242"/>
      <c r="ARI233" s="256"/>
      <c r="ARJ233" s="257"/>
      <c r="ARL233" s="242"/>
      <c r="ARM233" s="256"/>
      <c r="ARN233" s="257"/>
      <c r="ARP233" s="242"/>
      <c r="ARQ233" s="256"/>
      <c r="ARR233" s="257"/>
      <c r="ART233" s="242"/>
      <c r="ARU233" s="256"/>
      <c r="ARV233" s="257"/>
      <c r="ARX233" s="242"/>
      <c r="ARY233" s="256"/>
      <c r="ARZ233" s="257"/>
      <c r="ASB233" s="242"/>
      <c r="ASC233" s="256"/>
      <c r="ASD233" s="257"/>
      <c r="ASF233" s="242"/>
      <c r="ASG233" s="256"/>
      <c r="ASH233" s="257"/>
      <c r="ASJ233" s="242"/>
      <c r="ASK233" s="256"/>
      <c r="ASL233" s="257"/>
      <c r="ASN233" s="242"/>
      <c r="ASO233" s="256"/>
      <c r="ASP233" s="257"/>
      <c r="ASR233" s="242"/>
      <c r="ASS233" s="256"/>
      <c r="AST233" s="257"/>
      <c r="ASV233" s="242"/>
      <c r="ASW233" s="256"/>
      <c r="ASX233" s="257"/>
      <c r="ASZ233" s="242"/>
      <c r="ATA233" s="256"/>
      <c r="ATB233" s="257"/>
      <c r="ATD233" s="242"/>
      <c r="ATE233" s="256"/>
      <c r="ATF233" s="257"/>
      <c r="ATH233" s="242"/>
      <c r="ATI233" s="256"/>
      <c r="ATJ233" s="257"/>
      <c r="ATL233" s="242"/>
      <c r="ATM233" s="256"/>
      <c r="ATN233" s="257"/>
      <c r="ATP233" s="242"/>
      <c r="ATQ233" s="256"/>
      <c r="ATR233" s="257"/>
      <c r="ATT233" s="242"/>
      <c r="ATU233" s="256"/>
      <c r="ATV233" s="257"/>
      <c r="ATX233" s="242"/>
      <c r="ATY233" s="256"/>
      <c r="ATZ233" s="257"/>
      <c r="AUB233" s="242"/>
      <c r="AUC233" s="256"/>
      <c r="AUD233" s="257"/>
      <c r="AUF233" s="242"/>
      <c r="AUG233" s="256"/>
      <c r="AUH233" s="257"/>
      <c r="AUJ233" s="242"/>
      <c r="AUK233" s="256"/>
      <c r="AUL233" s="257"/>
      <c r="AUN233" s="242"/>
      <c r="AUO233" s="256"/>
      <c r="AUP233" s="257"/>
      <c r="AUR233" s="242"/>
      <c r="AUS233" s="256"/>
      <c r="AUT233" s="257"/>
      <c r="AUV233" s="242"/>
      <c r="AUW233" s="256"/>
      <c r="AUX233" s="257"/>
      <c r="AUZ233" s="242"/>
      <c r="AVA233" s="256"/>
      <c r="AVB233" s="257"/>
      <c r="AVD233" s="242"/>
      <c r="AVE233" s="256"/>
      <c r="AVF233" s="257"/>
      <c r="AVH233" s="242"/>
      <c r="AVI233" s="256"/>
      <c r="AVJ233" s="257"/>
      <c r="AVL233" s="242"/>
      <c r="AVM233" s="256"/>
      <c r="AVN233" s="257"/>
      <c r="AVP233" s="242"/>
      <c r="AVQ233" s="256"/>
      <c r="AVR233" s="257"/>
      <c r="AVT233" s="242"/>
      <c r="AVU233" s="256"/>
      <c r="AVV233" s="257"/>
      <c r="AVX233" s="242"/>
      <c r="AVY233" s="256"/>
      <c r="AVZ233" s="257"/>
      <c r="AWB233" s="242"/>
      <c r="AWC233" s="256"/>
      <c r="AWD233" s="257"/>
      <c r="AWF233" s="242"/>
      <c r="AWG233" s="256"/>
      <c r="AWH233" s="257"/>
      <c r="AWJ233" s="242"/>
      <c r="AWK233" s="256"/>
      <c r="AWL233" s="257"/>
      <c r="AWN233" s="242"/>
      <c r="AWO233" s="256"/>
      <c r="AWP233" s="257"/>
      <c r="AWR233" s="242"/>
      <c r="AWS233" s="256"/>
      <c r="AWT233" s="257"/>
      <c r="AWV233" s="242"/>
      <c r="AWW233" s="256"/>
      <c r="AWX233" s="257"/>
      <c r="AWZ233" s="242"/>
      <c r="AXA233" s="256"/>
      <c r="AXB233" s="257"/>
      <c r="AXD233" s="242"/>
      <c r="AXE233" s="256"/>
      <c r="AXF233" s="257"/>
      <c r="AXH233" s="242"/>
      <c r="AXI233" s="256"/>
      <c r="AXJ233" s="257"/>
      <c r="AXL233" s="242"/>
      <c r="AXM233" s="256"/>
      <c r="AXN233" s="257"/>
      <c r="AXP233" s="242"/>
      <c r="AXQ233" s="256"/>
      <c r="AXR233" s="257"/>
      <c r="AXT233" s="242"/>
      <c r="AXU233" s="256"/>
      <c r="AXV233" s="257"/>
      <c r="AXX233" s="242"/>
      <c r="AXY233" s="256"/>
      <c r="AXZ233" s="257"/>
      <c r="AYB233" s="242"/>
      <c r="AYC233" s="256"/>
      <c r="AYD233" s="257"/>
      <c r="AYF233" s="242"/>
      <c r="AYG233" s="256"/>
      <c r="AYH233" s="257"/>
      <c r="AYJ233" s="242"/>
      <c r="AYK233" s="256"/>
      <c r="AYL233" s="257"/>
      <c r="AYN233" s="242"/>
      <c r="AYO233" s="256"/>
      <c r="AYP233" s="257"/>
      <c r="AYR233" s="242"/>
      <c r="AYS233" s="256"/>
      <c r="AYT233" s="257"/>
      <c r="AYV233" s="242"/>
      <c r="AYW233" s="256"/>
      <c r="AYX233" s="257"/>
      <c r="AYZ233" s="242"/>
      <c r="AZA233" s="256"/>
      <c r="AZB233" s="257"/>
      <c r="AZD233" s="242"/>
      <c r="AZE233" s="256"/>
      <c r="AZF233" s="257"/>
      <c r="AZH233" s="242"/>
      <c r="AZI233" s="256"/>
      <c r="AZJ233" s="257"/>
      <c r="AZL233" s="242"/>
      <c r="AZM233" s="256"/>
      <c r="AZN233" s="257"/>
      <c r="AZP233" s="242"/>
      <c r="AZQ233" s="256"/>
      <c r="AZR233" s="257"/>
      <c r="AZT233" s="242"/>
      <c r="AZU233" s="256"/>
      <c r="AZV233" s="257"/>
      <c r="AZX233" s="242"/>
      <c r="AZY233" s="256"/>
      <c r="AZZ233" s="257"/>
      <c r="BAB233" s="242"/>
      <c r="BAC233" s="256"/>
      <c r="BAD233" s="257"/>
      <c r="BAF233" s="242"/>
      <c r="BAG233" s="256"/>
      <c r="BAH233" s="257"/>
      <c r="BAJ233" s="242"/>
      <c r="BAK233" s="256"/>
      <c r="BAL233" s="257"/>
      <c r="BAN233" s="242"/>
      <c r="BAO233" s="256"/>
      <c r="BAP233" s="257"/>
      <c r="BAR233" s="242"/>
      <c r="BAS233" s="256"/>
      <c r="BAT233" s="257"/>
      <c r="BAV233" s="242"/>
      <c r="BAW233" s="256"/>
      <c r="BAX233" s="257"/>
      <c r="BAZ233" s="242"/>
      <c r="BBA233" s="256"/>
      <c r="BBB233" s="257"/>
      <c r="BBD233" s="242"/>
      <c r="BBE233" s="256"/>
      <c r="BBF233" s="257"/>
      <c r="BBH233" s="242"/>
      <c r="BBI233" s="256"/>
      <c r="BBJ233" s="257"/>
      <c r="BBL233" s="242"/>
      <c r="BBM233" s="256"/>
      <c r="BBN233" s="257"/>
      <c r="BBP233" s="242"/>
      <c r="BBQ233" s="256"/>
      <c r="BBR233" s="257"/>
      <c r="BBT233" s="242"/>
      <c r="BBU233" s="256"/>
      <c r="BBV233" s="257"/>
      <c r="BBX233" s="242"/>
      <c r="BBY233" s="256"/>
      <c r="BBZ233" s="257"/>
      <c r="BCB233" s="242"/>
      <c r="BCC233" s="256"/>
      <c r="BCD233" s="257"/>
      <c r="BCF233" s="242"/>
      <c r="BCG233" s="256"/>
      <c r="BCH233" s="257"/>
      <c r="BCJ233" s="242"/>
      <c r="BCK233" s="256"/>
      <c r="BCL233" s="257"/>
      <c r="BCN233" s="242"/>
      <c r="BCO233" s="256"/>
      <c r="BCP233" s="257"/>
      <c r="BCR233" s="242"/>
      <c r="BCS233" s="256"/>
      <c r="BCT233" s="257"/>
      <c r="BCV233" s="242"/>
      <c r="BCW233" s="256"/>
      <c r="BCX233" s="257"/>
      <c r="BCZ233" s="242"/>
      <c r="BDA233" s="256"/>
      <c r="BDB233" s="257"/>
      <c r="BDD233" s="242"/>
      <c r="BDE233" s="256"/>
      <c r="BDF233" s="257"/>
      <c r="BDH233" s="242"/>
      <c r="BDI233" s="256"/>
      <c r="BDJ233" s="257"/>
      <c r="BDL233" s="242"/>
      <c r="BDM233" s="256"/>
      <c r="BDN233" s="257"/>
      <c r="BDP233" s="242"/>
      <c r="BDQ233" s="256"/>
      <c r="BDR233" s="257"/>
      <c r="BDT233" s="242"/>
      <c r="BDU233" s="256"/>
      <c r="BDV233" s="257"/>
      <c r="BDX233" s="242"/>
      <c r="BDY233" s="256"/>
      <c r="BDZ233" s="257"/>
      <c r="BEB233" s="242"/>
      <c r="BEC233" s="256"/>
      <c r="BED233" s="257"/>
      <c r="BEF233" s="242"/>
      <c r="BEG233" s="256"/>
      <c r="BEH233" s="257"/>
      <c r="BEJ233" s="242"/>
      <c r="BEK233" s="256"/>
      <c r="BEL233" s="257"/>
      <c r="BEN233" s="242"/>
      <c r="BEO233" s="256"/>
      <c r="BEP233" s="257"/>
      <c r="BER233" s="242"/>
      <c r="BES233" s="256"/>
      <c r="BET233" s="257"/>
      <c r="BEV233" s="242"/>
      <c r="BEW233" s="256"/>
      <c r="BEX233" s="257"/>
      <c r="BEZ233" s="242"/>
      <c r="BFA233" s="256"/>
      <c r="BFB233" s="257"/>
      <c r="BFD233" s="242"/>
      <c r="BFE233" s="256"/>
      <c r="BFF233" s="257"/>
      <c r="BFH233" s="242"/>
      <c r="BFI233" s="256"/>
      <c r="BFJ233" s="257"/>
      <c r="BFL233" s="242"/>
      <c r="BFM233" s="256"/>
      <c r="BFN233" s="257"/>
      <c r="BFP233" s="242"/>
      <c r="BFQ233" s="256"/>
      <c r="BFR233" s="257"/>
      <c r="BFT233" s="242"/>
      <c r="BFU233" s="256"/>
      <c r="BFV233" s="257"/>
      <c r="BFX233" s="242"/>
      <c r="BFY233" s="256"/>
      <c r="BFZ233" s="257"/>
      <c r="BGB233" s="242"/>
      <c r="BGC233" s="256"/>
      <c r="BGD233" s="257"/>
      <c r="BGF233" s="242"/>
      <c r="BGG233" s="256"/>
      <c r="BGH233" s="257"/>
      <c r="BGJ233" s="242"/>
      <c r="BGK233" s="256"/>
      <c r="BGL233" s="257"/>
      <c r="BGN233" s="242"/>
      <c r="BGO233" s="256"/>
      <c r="BGP233" s="257"/>
      <c r="BGR233" s="242"/>
      <c r="BGS233" s="256"/>
      <c r="BGT233" s="257"/>
      <c r="BGV233" s="242"/>
      <c r="BGW233" s="256"/>
      <c r="BGX233" s="257"/>
      <c r="BGZ233" s="242"/>
      <c r="BHA233" s="256"/>
      <c r="BHB233" s="257"/>
      <c r="BHD233" s="242"/>
      <c r="BHE233" s="256"/>
      <c r="BHF233" s="257"/>
      <c r="BHH233" s="242"/>
      <c r="BHI233" s="256"/>
      <c r="BHJ233" s="257"/>
      <c r="BHL233" s="242"/>
      <c r="BHM233" s="256"/>
      <c r="BHN233" s="257"/>
      <c r="BHP233" s="242"/>
      <c r="BHQ233" s="256"/>
      <c r="BHR233" s="257"/>
      <c r="BHT233" s="242"/>
      <c r="BHU233" s="256"/>
      <c r="BHV233" s="257"/>
      <c r="BHX233" s="242"/>
      <c r="BHY233" s="256"/>
      <c r="BHZ233" s="257"/>
      <c r="BIB233" s="242"/>
      <c r="BIC233" s="256"/>
      <c r="BID233" s="257"/>
      <c r="BIF233" s="242"/>
      <c r="BIG233" s="256"/>
      <c r="BIH233" s="257"/>
      <c r="BIJ233" s="242"/>
      <c r="BIK233" s="256"/>
      <c r="BIL233" s="257"/>
      <c r="BIN233" s="242"/>
      <c r="BIO233" s="256"/>
      <c r="BIP233" s="257"/>
      <c r="BIR233" s="242"/>
      <c r="BIS233" s="256"/>
      <c r="BIT233" s="257"/>
      <c r="BIV233" s="242"/>
      <c r="BIW233" s="256"/>
      <c r="BIX233" s="257"/>
      <c r="BIZ233" s="242"/>
      <c r="BJA233" s="256"/>
      <c r="BJB233" s="257"/>
      <c r="BJD233" s="242"/>
      <c r="BJE233" s="256"/>
      <c r="BJF233" s="257"/>
      <c r="BJH233" s="242"/>
      <c r="BJI233" s="256"/>
      <c r="BJJ233" s="257"/>
      <c r="BJL233" s="242"/>
      <c r="BJM233" s="256"/>
      <c r="BJN233" s="257"/>
      <c r="BJP233" s="242"/>
      <c r="BJQ233" s="256"/>
      <c r="BJR233" s="257"/>
      <c r="BJT233" s="242"/>
      <c r="BJU233" s="256"/>
      <c r="BJV233" s="257"/>
      <c r="BJX233" s="242"/>
      <c r="BJY233" s="256"/>
      <c r="BJZ233" s="257"/>
      <c r="BKB233" s="242"/>
      <c r="BKC233" s="256"/>
      <c r="BKD233" s="257"/>
      <c r="BKF233" s="242"/>
      <c r="BKG233" s="256"/>
      <c r="BKH233" s="257"/>
      <c r="BKJ233" s="242"/>
      <c r="BKK233" s="256"/>
      <c r="BKL233" s="257"/>
      <c r="BKN233" s="242"/>
      <c r="BKO233" s="256"/>
      <c r="BKP233" s="257"/>
      <c r="BKR233" s="242"/>
      <c r="BKS233" s="256"/>
      <c r="BKT233" s="257"/>
      <c r="BKV233" s="242"/>
      <c r="BKW233" s="256"/>
      <c r="BKX233" s="257"/>
      <c r="BKZ233" s="242"/>
      <c r="BLA233" s="256"/>
      <c r="BLB233" s="257"/>
      <c r="BLD233" s="242"/>
      <c r="BLE233" s="256"/>
      <c r="BLF233" s="257"/>
      <c r="BLH233" s="242"/>
      <c r="BLI233" s="256"/>
      <c r="BLJ233" s="257"/>
      <c r="BLL233" s="242"/>
      <c r="BLM233" s="256"/>
      <c r="BLN233" s="257"/>
      <c r="BLP233" s="242"/>
      <c r="BLQ233" s="256"/>
      <c r="BLR233" s="257"/>
      <c r="BLT233" s="242"/>
      <c r="BLU233" s="256"/>
      <c r="BLV233" s="257"/>
      <c r="BLX233" s="242"/>
      <c r="BLY233" s="256"/>
      <c r="BLZ233" s="257"/>
      <c r="BMB233" s="242"/>
      <c r="BMC233" s="256"/>
      <c r="BMD233" s="257"/>
      <c r="BMF233" s="242"/>
      <c r="BMG233" s="256"/>
      <c r="BMH233" s="257"/>
      <c r="BMJ233" s="242"/>
      <c r="BMK233" s="256"/>
      <c r="BML233" s="257"/>
      <c r="BMN233" s="242"/>
      <c r="BMO233" s="256"/>
      <c r="BMP233" s="257"/>
      <c r="BMR233" s="242"/>
      <c r="BMS233" s="256"/>
      <c r="BMT233" s="257"/>
      <c r="BMV233" s="242"/>
      <c r="BMW233" s="256"/>
      <c r="BMX233" s="257"/>
      <c r="BMZ233" s="242"/>
      <c r="BNA233" s="256"/>
      <c r="BNB233" s="257"/>
      <c r="BND233" s="242"/>
      <c r="BNE233" s="256"/>
      <c r="BNF233" s="257"/>
      <c r="BNH233" s="242"/>
      <c r="BNI233" s="256"/>
      <c r="BNJ233" s="257"/>
      <c r="BNL233" s="242"/>
      <c r="BNM233" s="256"/>
      <c r="BNN233" s="257"/>
      <c r="BNP233" s="242"/>
      <c r="BNQ233" s="256"/>
      <c r="BNR233" s="257"/>
      <c r="BNT233" s="242"/>
      <c r="BNU233" s="256"/>
      <c r="BNV233" s="257"/>
      <c r="BNX233" s="242"/>
      <c r="BNY233" s="256"/>
      <c r="BNZ233" s="257"/>
      <c r="BOB233" s="242"/>
      <c r="BOC233" s="256"/>
      <c r="BOD233" s="257"/>
      <c r="BOF233" s="242"/>
      <c r="BOG233" s="256"/>
      <c r="BOH233" s="257"/>
      <c r="BOJ233" s="242"/>
      <c r="BOK233" s="256"/>
      <c r="BOL233" s="257"/>
      <c r="BON233" s="242"/>
      <c r="BOO233" s="256"/>
      <c r="BOP233" s="257"/>
      <c r="BOR233" s="242"/>
      <c r="BOS233" s="256"/>
      <c r="BOT233" s="257"/>
      <c r="BOV233" s="242"/>
      <c r="BOW233" s="256"/>
      <c r="BOX233" s="257"/>
      <c r="BOZ233" s="242"/>
      <c r="BPA233" s="256"/>
      <c r="BPB233" s="257"/>
      <c r="BPD233" s="242"/>
      <c r="BPE233" s="256"/>
      <c r="BPF233" s="257"/>
      <c r="BPH233" s="242"/>
      <c r="BPI233" s="256"/>
      <c r="BPJ233" s="257"/>
      <c r="BPL233" s="242"/>
      <c r="BPM233" s="256"/>
      <c r="BPN233" s="257"/>
      <c r="BPP233" s="242"/>
      <c r="BPQ233" s="256"/>
      <c r="BPR233" s="257"/>
      <c r="BPT233" s="242"/>
      <c r="BPU233" s="256"/>
      <c r="BPV233" s="257"/>
      <c r="BPX233" s="242"/>
      <c r="BPY233" s="256"/>
      <c r="BPZ233" s="257"/>
      <c r="BQB233" s="242"/>
      <c r="BQC233" s="256"/>
      <c r="BQD233" s="257"/>
      <c r="BQF233" s="242"/>
      <c r="BQG233" s="256"/>
      <c r="BQH233" s="257"/>
      <c r="BQJ233" s="242"/>
      <c r="BQK233" s="256"/>
      <c r="BQL233" s="257"/>
      <c r="BQN233" s="242"/>
      <c r="BQO233" s="256"/>
      <c r="BQP233" s="257"/>
      <c r="BQR233" s="242"/>
      <c r="BQS233" s="256"/>
      <c r="BQT233" s="257"/>
      <c r="BQV233" s="242"/>
      <c r="BQW233" s="256"/>
      <c r="BQX233" s="257"/>
      <c r="BQZ233" s="242"/>
      <c r="BRA233" s="256"/>
      <c r="BRB233" s="257"/>
      <c r="BRD233" s="242"/>
      <c r="BRE233" s="256"/>
      <c r="BRF233" s="257"/>
      <c r="BRH233" s="242"/>
      <c r="BRI233" s="256"/>
      <c r="BRJ233" s="257"/>
      <c r="BRL233" s="242"/>
      <c r="BRM233" s="256"/>
      <c r="BRN233" s="257"/>
      <c r="BRP233" s="242"/>
      <c r="BRQ233" s="256"/>
      <c r="BRR233" s="257"/>
      <c r="BRT233" s="242"/>
      <c r="BRU233" s="256"/>
      <c r="BRV233" s="257"/>
      <c r="BRX233" s="242"/>
      <c r="BRY233" s="256"/>
      <c r="BRZ233" s="257"/>
      <c r="BSB233" s="242"/>
      <c r="BSC233" s="256"/>
      <c r="BSD233" s="257"/>
      <c r="BSF233" s="242"/>
      <c r="BSG233" s="256"/>
      <c r="BSH233" s="257"/>
      <c r="BSJ233" s="242"/>
      <c r="BSK233" s="256"/>
      <c r="BSL233" s="257"/>
      <c r="BSN233" s="242"/>
      <c r="BSO233" s="256"/>
      <c r="BSP233" s="257"/>
      <c r="BSR233" s="242"/>
      <c r="BSS233" s="256"/>
      <c r="BST233" s="257"/>
      <c r="BSV233" s="242"/>
      <c r="BSW233" s="256"/>
      <c r="BSX233" s="257"/>
      <c r="BSZ233" s="242"/>
      <c r="BTA233" s="256"/>
      <c r="BTB233" s="257"/>
      <c r="BTD233" s="242"/>
      <c r="BTE233" s="256"/>
      <c r="BTF233" s="257"/>
      <c r="BTH233" s="242"/>
      <c r="BTI233" s="256"/>
      <c r="BTJ233" s="257"/>
      <c r="BTL233" s="242"/>
      <c r="BTM233" s="256"/>
      <c r="BTN233" s="257"/>
      <c r="BTP233" s="242"/>
      <c r="BTQ233" s="256"/>
      <c r="BTR233" s="257"/>
      <c r="BTT233" s="242"/>
      <c r="BTU233" s="256"/>
      <c r="BTV233" s="257"/>
      <c r="BTX233" s="242"/>
      <c r="BTY233" s="256"/>
      <c r="BTZ233" s="257"/>
      <c r="BUB233" s="242"/>
      <c r="BUC233" s="256"/>
      <c r="BUD233" s="257"/>
      <c r="BUF233" s="242"/>
      <c r="BUG233" s="256"/>
      <c r="BUH233" s="257"/>
      <c r="BUJ233" s="242"/>
      <c r="BUK233" s="256"/>
      <c r="BUL233" s="257"/>
      <c r="BUN233" s="242"/>
      <c r="BUO233" s="256"/>
      <c r="BUP233" s="257"/>
      <c r="BUR233" s="242"/>
      <c r="BUS233" s="256"/>
      <c r="BUT233" s="257"/>
      <c r="BUV233" s="242"/>
      <c r="BUW233" s="256"/>
      <c r="BUX233" s="257"/>
      <c r="BUZ233" s="242"/>
      <c r="BVA233" s="256"/>
      <c r="BVB233" s="257"/>
      <c r="BVD233" s="242"/>
      <c r="BVE233" s="256"/>
      <c r="BVF233" s="257"/>
      <c r="BVH233" s="242"/>
      <c r="BVI233" s="256"/>
      <c r="BVJ233" s="257"/>
      <c r="BVL233" s="242"/>
      <c r="BVM233" s="256"/>
      <c r="BVN233" s="257"/>
      <c r="BVP233" s="242"/>
      <c r="BVQ233" s="256"/>
      <c r="BVR233" s="257"/>
      <c r="BVT233" s="242"/>
      <c r="BVU233" s="256"/>
      <c r="BVV233" s="257"/>
      <c r="BVX233" s="242"/>
      <c r="BVY233" s="256"/>
      <c r="BVZ233" s="257"/>
      <c r="BWB233" s="242"/>
      <c r="BWC233" s="256"/>
      <c r="BWD233" s="257"/>
      <c r="BWF233" s="242"/>
      <c r="BWG233" s="256"/>
      <c r="BWH233" s="257"/>
      <c r="BWJ233" s="242"/>
      <c r="BWK233" s="256"/>
      <c r="BWL233" s="257"/>
      <c r="BWN233" s="242"/>
      <c r="BWO233" s="256"/>
      <c r="BWP233" s="257"/>
      <c r="BWR233" s="242"/>
      <c r="BWS233" s="256"/>
      <c r="BWT233" s="257"/>
      <c r="BWV233" s="242"/>
      <c r="BWW233" s="256"/>
      <c r="BWX233" s="257"/>
      <c r="BWZ233" s="242"/>
      <c r="BXA233" s="256"/>
      <c r="BXB233" s="257"/>
      <c r="BXD233" s="242"/>
      <c r="BXE233" s="256"/>
      <c r="BXF233" s="257"/>
      <c r="BXH233" s="242"/>
      <c r="BXI233" s="256"/>
      <c r="BXJ233" s="257"/>
      <c r="BXL233" s="242"/>
      <c r="BXM233" s="256"/>
      <c r="BXN233" s="257"/>
      <c r="BXP233" s="242"/>
      <c r="BXQ233" s="256"/>
      <c r="BXR233" s="257"/>
      <c r="BXT233" s="242"/>
      <c r="BXU233" s="256"/>
      <c r="BXV233" s="257"/>
      <c r="BXX233" s="242"/>
      <c r="BXY233" s="256"/>
      <c r="BXZ233" s="257"/>
      <c r="BYB233" s="242"/>
      <c r="BYC233" s="256"/>
      <c r="BYD233" s="257"/>
      <c r="BYF233" s="242"/>
      <c r="BYG233" s="256"/>
      <c r="BYH233" s="257"/>
      <c r="BYJ233" s="242"/>
      <c r="BYK233" s="256"/>
      <c r="BYL233" s="257"/>
      <c r="BYN233" s="242"/>
      <c r="BYO233" s="256"/>
      <c r="BYP233" s="257"/>
      <c r="BYR233" s="242"/>
      <c r="BYS233" s="256"/>
      <c r="BYT233" s="257"/>
      <c r="BYV233" s="242"/>
      <c r="BYW233" s="256"/>
      <c r="BYX233" s="257"/>
      <c r="BYZ233" s="242"/>
      <c r="BZA233" s="256"/>
      <c r="BZB233" s="257"/>
      <c r="BZD233" s="242"/>
      <c r="BZE233" s="256"/>
      <c r="BZF233" s="257"/>
      <c r="BZH233" s="242"/>
      <c r="BZI233" s="256"/>
      <c r="BZJ233" s="257"/>
      <c r="BZL233" s="242"/>
      <c r="BZM233" s="256"/>
      <c r="BZN233" s="257"/>
      <c r="BZP233" s="242"/>
      <c r="BZQ233" s="256"/>
      <c r="BZR233" s="257"/>
      <c r="BZT233" s="242"/>
      <c r="BZU233" s="256"/>
      <c r="BZV233" s="257"/>
      <c r="BZX233" s="242"/>
      <c r="BZY233" s="256"/>
      <c r="BZZ233" s="257"/>
      <c r="CAB233" s="242"/>
      <c r="CAC233" s="256"/>
      <c r="CAD233" s="257"/>
      <c r="CAF233" s="242"/>
      <c r="CAG233" s="256"/>
      <c r="CAH233" s="257"/>
      <c r="CAJ233" s="242"/>
      <c r="CAK233" s="256"/>
      <c r="CAL233" s="257"/>
      <c r="CAN233" s="242"/>
      <c r="CAO233" s="256"/>
      <c r="CAP233" s="257"/>
      <c r="CAR233" s="242"/>
      <c r="CAS233" s="256"/>
      <c r="CAT233" s="257"/>
      <c r="CAV233" s="242"/>
      <c r="CAW233" s="256"/>
      <c r="CAX233" s="257"/>
      <c r="CAZ233" s="242"/>
      <c r="CBA233" s="256"/>
      <c r="CBB233" s="257"/>
      <c r="CBD233" s="242"/>
      <c r="CBE233" s="256"/>
      <c r="CBF233" s="257"/>
      <c r="CBH233" s="242"/>
      <c r="CBI233" s="256"/>
      <c r="CBJ233" s="257"/>
      <c r="CBL233" s="242"/>
      <c r="CBM233" s="256"/>
      <c r="CBN233" s="257"/>
      <c r="CBP233" s="242"/>
      <c r="CBQ233" s="256"/>
      <c r="CBR233" s="257"/>
      <c r="CBT233" s="242"/>
      <c r="CBU233" s="256"/>
      <c r="CBV233" s="257"/>
      <c r="CBX233" s="242"/>
      <c r="CBY233" s="256"/>
      <c r="CBZ233" s="257"/>
      <c r="CCB233" s="242"/>
      <c r="CCC233" s="256"/>
      <c r="CCD233" s="257"/>
      <c r="CCF233" s="242"/>
      <c r="CCG233" s="256"/>
      <c r="CCH233" s="257"/>
      <c r="CCJ233" s="242"/>
      <c r="CCK233" s="256"/>
      <c r="CCL233" s="257"/>
      <c r="CCN233" s="242"/>
      <c r="CCO233" s="256"/>
      <c r="CCP233" s="257"/>
      <c r="CCR233" s="242"/>
      <c r="CCS233" s="256"/>
      <c r="CCT233" s="257"/>
      <c r="CCV233" s="242"/>
      <c r="CCW233" s="256"/>
      <c r="CCX233" s="257"/>
      <c r="CCZ233" s="242"/>
      <c r="CDA233" s="256"/>
      <c r="CDB233" s="257"/>
      <c r="CDD233" s="242"/>
      <c r="CDE233" s="256"/>
      <c r="CDF233" s="257"/>
      <c r="CDH233" s="242"/>
      <c r="CDI233" s="256"/>
      <c r="CDJ233" s="257"/>
      <c r="CDL233" s="242"/>
      <c r="CDM233" s="256"/>
      <c r="CDN233" s="257"/>
      <c r="CDP233" s="242"/>
      <c r="CDQ233" s="256"/>
      <c r="CDR233" s="257"/>
      <c r="CDT233" s="242"/>
      <c r="CDU233" s="256"/>
      <c r="CDV233" s="257"/>
      <c r="CDX233" s="242"/>
      <c r="CDY233" s="256"/>
      <c r="CDZ233" s="257"/>
      <c r="CEB233" s="242"/>
      <c r="CEC233" s="256"/>
      <c r="CED233" s="257"/>
      <c r="CEF233" s="242"/>
      <c r="CEG233" s="256"/>
      <c r="CEH233" s="257"/>
      <c r="CEJ233" s="242"/>
      <c r="CEK233" s="256"/>
      <c r="CEL233" s="257"/>
      <c r="CEN233" s="242"/>
      <c r="CEO233" s="256"/>
      <c r="CEP233" s="257"/>
      <c r="CER233" s="242"/>
      <c r="CES233" s="256"/>
      <c r="CET233" s="257"/>
      <c r="CEV233" s="242"/>
      <c r="CEW233" s="256"/>
      <c r="CEX233" s="257"/>
      <c r="CEZ233" s="242"/>
      <c r="CFA233" s="256"/>
      <c r="CFB233" s="257"/>
      <c r="CFD233" s="242"/>
      <c r="CFE233" s="256"/>
      <c r="CFF233" s="257"/>
      <c r="CFH233" s="242"/>
      <c r="CFI233" s="256"/>
      <c r="CFJ233" s="257"/>
      <c r="CFL233" s="242"/>
      <c r="CFM233" s="256"/>
      <c r="CFN233" s="257"/>
      <c r="CFP233" s="242"/>
      <c r="CFQ233" s="256"/>
      <c r="CFR233" s="257"/>
      <c r="CFT233" s="242"/>
      <c r="CFU233" s="256"/>
      <c r="CFV233" s="257"/>
      <c r="CFX233" s="242"/>
      <c r="CFY233" s="256"/>
      <c r="CFZ233" s="257"/>
      <c r="CGB233" s="242"/>
      <c r="CGC233" s="256"/>
      <c r="CGD233" s="257"/>
      <c r="CGF233" s="242"/>
      <c r="CGG233" s="256"/>
      <c r="CGH233" s="257"/>
      <c r="CGJ233" s="242"/>
      <c r="CGK233" s="256"/>
      <c r="CGL233" s="257"/>
      <c r="CGN233" s="242"/>
      <c r="CGO233" s="256"/>
      <c r="CGP233" s="257"/>
      <c r="CGR233" s="242"/>
      <c r="CGS233" s="256"/>
      <c r="CGT233" s="257"/>
      <c r="CGV233" s="242"/>
      <c r="CGW233" s="256"/>
      <c r="CGX233" s="257"/>
      <c r="CGZ233" s="242"/>
      <c r="CHA233" s="256"/>
      <c r="CHB233" s="257"/>
      <c r="CHD233" s="242"/>
      <c r="CHE233" s="256"/>
      <c r="CHF233" s="257"/>
      <c r="CHH233" s="242"/>
      <c r="CHI233" s="256"/>
      <c r="CHJ233" s="257"/>
      <c r="CHL233" s="242"/>
      <c r="CHM233" s="256"/>
      <c r="CHN233" s="257"/>
      <c r="CHP233" s="242"/>
      <c r="CHQ233" s="256"/>
      <c r="CHR233" s="257"/>
      <c r="CHT233" s="242"/>
      <c r="CHU233" s="256"/>
      <c r="CHV233" s="257"/>
      <c r="CHX233" s="242"/>
      <c r="CHY233" s="256"/>
      <c r="CHZ233" s="257"/>
      <c r="CIB233" s="242"/>
      <c r="CIC233" s="256"/>
      <c r="CID233" s="257"/>
      <c r="CIF233" s="242"/>
      <c r="CIG233" s="256"/>
      <c r="CIH233" s="257"/>
      <c r="CIJ233" s="242"/>
      <c r="CIK233" s="256"/>
      <c r="CIL233" s="257"/>
      <c r="CIN233" s="242"/>
      <c r="CIO233" s="256"/>
      <c r="CIP233" s="257"/>
      <c r="CIR233" s="242"/>
      <c r="CIS233" s="256"/>
      <c r="CIT233" s="257"/>
      <c r="CIV233" s="242"/>
      <c r="CIW233" s="256"/>
      <c r="CIX233" s="257"/>
      <c r="CIZ233" s="242"/>
      <c r="CJA233" s="256"/>
      <c r="CJB233" s="257"/>
      <c r="CJD233" s="242"/>
      <c r="CJE233" s="256"/>
      <c r="CJF233" s="257"/>
      <c r="CJH233" s="242"/>
      <c r="CJI233" s="256"/>
      <c r="CJJ233" s="257"/>
      <c r="CJL233" s="242"/>
      <c r="CJM233" s="256"/>
      <c r="CJN233" s="257"/>
      <c r="CJP233" s="242"/>
      <c r="CJQ233" s="256"/>
      <c r="CJR233" s="257"/>
      <c r="CJT233" s="242"/>
      <c r="CJU233" s="256"/>
      <c r="CJV233" s="257"/>
      <c r="CJX233" s="242"/>
      <c r="CJY233" s="256"/>
      <c r="CJZ233" s="257"/>
      <c r="CKB233" s="242"/>
      <c r="CKC233" s="256"/>
      <c r="CKD233" s="257"/>
      <c r="CKF233" s="242"/>
      <c r="CKG233" s="256"/>
      <c r="CKH233" s="257"/>
      <c r="CKJ233" s="242"/>
      <c r="CKK233" s="256"/>
      <c r="CKL233" s="257"/>
      <c r="CKN233" s="242"/>
      <c r="CKO233" s="256"/>
      <c r="CKP233" s="257"/>
      <c r="CKR233" s="242"/>
      <c r="CKS233" s="256"/>
      <c r="CKT233" s="257"/>
      <c r="CKV233" s="242"/>
      <c r="CKW233" s="256"/>
      <c r="CKX233" s="257"/>
      <c r="CKZ233" s="242"/>
      <c r="CLA233" s="256"/>
      <c r="CLB233" s="257"/>
      <c r="CLD233" s="242"/>
      <c r="CLE233" s="256"/>
      <c r="CLF233" s="257"/>
      <c r="CLH233" s="242"/>
      <c r="CLI233" s="256"/>
      <c r="CLJ233" s="257"/>
      <c r="CLL233" s="242"/>
      <c r="CLM233" s="256"/>
      <c r="CLN233" s="257"/>
      <c r="CLP233" s="242"/>
      <c r="CLQ233" s="256"/>
      <c r="CLR233" s="257"/>
      <c r="CLT233" s="242"/>
      <c r="CLU233" s="256"/>
      <c r="CLV233" s="257"/>
      <c r="CLX233" s="242"/>
      <c r="CLY233" s="256"/>
      <c r="CLZ233" s="257"/>
      <c r="CMB233" s="242"/>
      <c r="CMC233" s="256"/>
      <c r="CMD233" s="257"/>
      <c r="CMF233" s="242"/>
      <c r="CMG233" s="256"/>
      <c r="CMH233" s="257"/>
      <c r="CMJ233" s="242"/>
      <c r="CMK233" s="256"/>
      <c r="CML233" s="257"/>
      <c r="CMN233" s="242"/>
      <c r="CMO233" s="256"/>
      <c r="CMP233" s="257"/>
      <c r="CMR233" s="242"/>
      <c r="CMS233" s="256"/>
      <c r="CMT233" s="257"/>
      <c r="CMV233" s="242"/>
      <c r="CMW233" s="256"/>
      <c r="CMX233" s="257"/>
      <c r="CMZ233" s="242"/>
      <c r="CNA233" s="256"/>
      <c r="CNB233" s="257"/>
      <c r="CND233" s="242"/>
      <c r="CNE233" s="256"/>
      <c r="CNF233" s="257"/>
      <c r="CNH233" s="242"/>
      <c r="CNI233" s="256"/>
      <c r="CNJ233" s="257"/>
      <c r="CNL233" s="242"/>
      <c r="CNM233" s="256"/>
      <c r="CNN233" s="257"/>
      <c r="CNP233" s="242"/>
      <c r="CNQ233" s="256"/>
      <c r="CNR233" s="257"/>
      <c r="CNT233" s="242"/>
      <c r="CNU233" s="256"/>
      <c r="CNV233" s="257"/>
      <c r="CNX233" s="242"/>
      <c r="CNY233" s="256"/>
      <c r="CNZ233" s="257"/>
      <c r="COB233" s="242"/>
      <c r="COC233" s="256"/>
      <c r="COD233" s="257"/>
      <c r="COF233" s="242"/>
      <c r="COG233" s="256"/>
      <c r="COH233" s="257"/>
      <c r="COJ233" s="242"/>
      <c r="COK233" s="256"/>
      <c r="COL233" s="257"/>
      <c r="CON233" s="242"/>
      <c r="COO233" s="256"/>
      <c r="COP233" s="257"/>
      <c r="COR233" s="242"/>
      <c r="COS233" s="256"/>
      <c r="COT233" s="257"/>
      <c r="COV233" s="242"/>
      <c r="COW233" s="256"/>
      <c r="COX233" s="257"/>
      <c r="COZ233" s="242"/>
      <c r="CPA233" s="256"/>
      <c r="CPB233" s="257"/>
      <c r="CPD233" s="242"/>
      <c r="CPE233" s="256"/>
      <c r="CPF233" s="257"/>
      <c r="CPH233" s="242"/>
      <c r="CPI233" s="256"/>
      <c r="CPJ233" s="257"/>
      <c r="CPL233" s="242"/>
      <c r="CPM233" s="256"/>
      <c r="CPN233" s="257"/>
      <c r="CPP233" s="242"/>
      <c r="CPQ233" s="256"/>
      <c r="CPR233" s="257"/>
      <c r="CPT233" s="242"/>
      <c r="CPU233" s="256"/>
      <c r="CPV233" s="257"/>
      <c r="CPX233" s="242"/>
      <c r="CPY233" s="256"/>
      <c r="CPZ233" s="257"/>
      <c r="CQB233" s="242"/>
      <c r="CQC233" s="256"/>
      <c r="CQD233" s="257"/>
      <c r="CQF233" s="242"/>
      <c r="CQG233" s="256"/>
      <c r="CQH233" s="257"/>
      <c r="CQJ233" s="242"/>
      <c r="CQK233" s="256"/>
      <c r="CQL233" s="257"/>
      <c r="CQN233" s="242"/>
      <c r="CQO233" s="256"/>
      <c r="CQP233" s="257"/>
      <c r="CQR233" s="242"/>
      <c r="CQS233" s="256"/>
      <c r="CQT233" s="257"/>
      <c r="CQV233" s="242"/>
      <c r="CQW233" s="256"/>
      <c r="CQX233" s="257"/>
      <c r="CQZ233" s="242"/>
      <c r="CRA233" s="256"/>
      <c r="CRB233" s="257"/>
      <c r="CRD233" s="242"/>
      <c r="CRE233" s="256"/>
      <c r="CRF233" s="257"/>
      <c r="CRH233" s="242"/>
      <c r="CRI233" s="256"/>
      <c r="CRJ233" s="257"/>
      <c r="CRL233" s="242"/>
      <c r="CRM233" s="256"/>
      <c r="CRN233" s="257"/>
      <c r="CRP233" s="242"/>
      <c r="CRQ233" s="256"/>
      <c r="CRR233" s="257"/>
      <c r="CRT233" s="242"/>
      <c r="CRU233" s="256"/>
      <c r="CRV233" s="257"/>
      <c r="CRX233" s="242"/>
      <c r="CRY233" s="256"/>
      <c r="CRZ233" s="257"/>
      <c r="CSB233" s="242"/>
      <c r="CSC233" s="256"/>
      <c r="CSD233" s="257"/>
      <c r="CSF233" s="242"/>
      <c r="CSG233" s="256"/>
      <c r="CSH233" s="257"/>
      <c r="CSJ233" s="242"/>
      <c r="CSK233" s="256"/>
      <c r="CSL233" s="257"/>
      <c r="CSN233" s="242"/>
      <c r="CSO233" s="256"/>
      <c r="CSP233" s="257"/>
      <c r="CSR233" s="242"/>
      <c r="CSS233" s="256"/>
      <c r="CST233" s="257"/>
      <c r="CSV233" s="242"/>
      <c r="CSW233" s="256"/>
      <c r="CSX233" s="257"/>
      <c r="CSZ233" s="242"/>
      <c r="CTA233" s="256"/>
      <c r="CTB233" s="257"/>
      <c r="CTD233" s="242"/>
      <c r="CTE233" s="256"/>
      <c r="CTF233" s="257"/>
      <c r="CTH233" s="242"/>
      <c r="CTI233" s="256"/>
      <c r="CTJ233" s="257"/>
      <c r="CTL233" s="242"/>
      <c r="CTM233" s="256"/>
      <c r="CTN233" s="257"/>
      <c r="CTP233" s="242"/>
      <c r="CTQ233" s="256"/>
      <c r="CTR233" s="257"/>
      <c r="CTT233" s="242"/>
      <c r="CTU233" s="256"/>
      <c r="CTV233" s="257"/>
      <c r="CTX233" s="242"/>
      <c r="CTY233" s="256"/>
      <c r="CTZ233" s="257"/>
      <c r="CUB233" s="242"/>
      <c r="CUC233" s="256"/>
      <c r="CUD233" s="257"/>
      <c r="CUF233" s="242"/>
      <c r="CUG233" s="256"/>
      <c r="CUH233" s="257"/>
      <c r="CUJ233" s="242"/>
      <c r="CUK233" s="256"/>
      <c r="CUL233" s="257"/>
      <c r="CUN233" s="242"/>
      <c r="CUO233" s="256"/>
      <c r="CUP233" s="257"/>
      <c r="CUR233" s="242"/>
      <c r="CUS233" s="256"/>
      <c r="CUT233" s="257"/>
      <c r="CUV233" s="242"/>
      <c r="CUW233" s="256"/>
      <c r="CUX233" s="257"/>
      <c r="CUZ233" s="242"/>
      <c r="CVA233" s="256"/>
      <c r="CVB233" s="257"/>
      <c r="CVD233" s="242"/>
      <c r="CVE233" s="256"/>
      <c r="CVF233" s="257"/>
      <c r="CVH233" s="242"/>
      <c r="CVI233" s="256"/>
      <c r="CVJ233" s="257"/>
      <c r="CVL233" s="242"/>
      <c r="CVM233" s="256"/>
      <c r="CVN233" s="257"/>
      <c r="CVP233" s="242"/>
      <c r="CVQ233" s="256"/>
      <c r="CVR233" s="257"/>
      <c r="CVT233" s="242"/>
      <c r="CVU233" s="256"/>
      <c r="CVV233" s="257"/>
      <c r="CVX233" s="242"/>
      <c r="CVY233" s="256"/>
      <c r="CVZ233" s="257"/>
      <c r="CWB233" s="242"/>
      <c r="CWC233" s="256"/>
      <c r="CWD233" s="257"/>
      <c r="CWF233" s="242"/>
      <c r="CWG233" s="256"/>
      <c r="CWH233" s="257"/>
      <c r="CWJ233" s="242"/>
      <c r="CWK233" s="256"/>
      <c r="CWL233" s="257"/>
      <c r="CWN233" s="242"/>
      <c r="CWO233" s="256"/>
      <c r="CWP233" s="257"/>
      <c r="CWR233" s="242"/>
      <c r="CWS233" s="256"/>
      <c r="CWT233" s="257"/>
      <c r="CWV233" s="242"/>
      <c r="CWW233" s="256"/>
      <c r="CWX233" s="257"/>
      <c r="CWZ233" s="242"/>
      <c r="CXA233" s="256"/>
      <c r="CXB233" s="257"/>
      <c r="CXD233" s="242"/>
      <c r="CXE233" s="256"/>
      <c r="CXF233" s="257"/>
      <c r="CXH233" s="242"/>
      <c r="CXI233" s="256"/>
      <c r="CXJ233" s="257"/>
      <c r="CXL233" s="242"/>
      <c r="CXM233" s="256"/>
      <c r="CXN233" s="257"/>
      <c r="CXP233" s="242"/>
      <c r="CXQ233" s="256"/>
      <c r="CXR233" s="257"/>
      <c r="CXT233" s="242"/>
      <c r="CXU233" s="256"/>
      <c r="CXV233" s="257"/>
      <c r="CXX233" s="242"/>
      <c r="CXY233" s="256"/>
      <c r="CXZ233" s="257"/>
      <c r="CYB233" s="242"/>
      <c r="CYC233" s="256"/>
      <c r="CYD233" s="257"/>
      <c r="CYF233" s="242"/>
      <c r="CYG233" s="256"/>
      <c r="CYH233" s="257"/>
      <c r="CYJ233" s="242"/>
      <c r="CYK233" s="256"/>
      <c r="CYL233" s="257"/>
      <c r="CYN233" s="242"/>
      <c r="CYO233" s="256"/>
      <c r="CYP233" s="257"/>
      <c r="CYR233" s="242"/>
      <c r="CYS233" s="256"/>
      <c r="CYT233" s="257"/>
      <c r="CYV233" s="242"/>
      <c r="CYW233" s="256"/>
      <c r="CYX233" s="257"/>
      <c r="CYZ233" s="242"/>
      <c r="CZA233" s="256"/>
      <c r="CZB233" s="257"/>
      <c r="CZD233" s="242"/>
      <c r="CZE233" s="256"/>
      <c r="CZF233" s="257"/>
      <c r="CZH233" s="242"/>
      <c r="CZI233" s="256"/>
      <c r="CZJ233" s="257"/>
      <c r="CZL233" s="242"/>
      <c r="CZM233" s="256"/>
      <c r="CZN233" s="257"/>
      <c r="CZP233" s="242"/>
      <c r="CZQ233" s="256"/>
      <c r="CZR233" s="257"/>
      <c r="CZT233" s="242"/>
      <c r="CZU233" s="256"/>
      <c r="CZV233" s="257"/>
      <c r="CZX233" s="242"/>
      <c r="CZY233" s="256"/>
      <c r="CZZ233" s="257"/>
      <c r="DAB233" s="242"/>
      <c r="DAC233" s="256"/>
      <c r="DAD233" s="257"/>
      <c r="DAF233" s="242"/>
      <c r="DAG233" s="256"/>
      <c r="DAH233" s="257"/>
      <c r="DAJ233" s="242"/>
      <c r="DAK233" s="256"/>
      <c r="DAL233" s="257"/>
      <c r="DAN233" s="242"/>
      <c r="DAO233" s="256"/>
      <c r="DAP233" s="257"/>
      <c r="DAR233" s="242"/>
      <c r="DAS233" s="256"/>
      <c r="DAT233" s="257"/>
      <c r="DAV233" s="242"/>
      <c r="DAW233" s="256"/>
      <c r="DAX233" s="257"/>
      <c r="DAZ233" s="242"/>
      <c r="DBA233" s="256"/>
      <c r="DBB233" s="257"/>
      <c r="DBD233" s="242"/>
      <c r="DBE233" s="256"/>
      <c r="DBF233" s="257"/>
      <c r="DBH233" s="242"/>
      <c r="DBI233" s="256"/>
      <c r="DBJ233" s="257"/>
      <c r="DBL233" s="242"/>
      <c r="DBM233" s="256"/>
      <c r="DBN233" s="257"/>
      <c r="DBP233" s="242"/>
      <c r="DBQ233" s="256"/>
      <c r="DBR233" s="257"/>
      <c r="DBT233" s="242"/>
      <c r="DBU233" s="256"/>
      <c r="DBV233" s="257"/>
      <c r="DBX233" s="242"/>
      <c r="DBY233" s="256"/>
      <c r="DBZ233" s="257"/>
      <c r="DCB233" s="242"/>
      <c r="DCC233" s="256"/>
      <c r="DCD233" s="257"/>
      <c r="DCF233" s="242"/>
      <c r="DCG233" s="256"/>
      <c r="DCH233" s="257"/>
      <c r="DCJ233" s="242"/>
      <c r="DCK233" s="256"/>
      <c r="DCL233" s="257"/>
      <c r="DCN233" s="242"/>
      <c r="DCO233" s="256"/>
      <c r="DCP233" s="257"/>
      <c r="DCR233" s="242"/>
      <c r="DCS233" s="256"/>
      <c r="DCT233" s="257"/>
      <c r="DCV233" s="242"/>
      <c r="DCW233" s="256"/>
      <c r="DCX233" s="257"/>
      <c r="DCZ233" s="242"/>
      <c r="DDA233" s="256"/>
      <c r="DDB233" s="257"/>
      <c r="DDD233" s="242"/>
      <c r="DDE233" s="256"/>
      <c r="DDF233" s="257"/>
      <c r="DDH233" s="242"/>
      <c r="DDI233" s="256"/>
      <c r="DDJ233" s="257"/>
      <c r="DDL233" s="242"/>
      <c r="DDM233" s="256"/>
      <c r="DDN233" s="257"/>
      <c r="DDP233" s="242"/>
      <c r="DDQ233" s="256"/>
      <c r="DDR233" s="257"/>
      <c r="DDT233" s="242"/>
      <c r="DDU233" s="256"/>
      <c r="DDV233" s="257"/>
      <c r="DDX233" s="242"/>
      <c r="DDY233" s="256"/>
      <c r="DDZ233" s="257"/>
      <c r="DEB233" s="242"/>
      <c r="DEC233" s="256"/>
      <c r="DED233" s="257"/>
      <c r="DEF233" s="242"/>
      <c r="DEG233" s="256"/>
      <c r="DEH233" s="257"/>
      <c r="DEJ233" s="242"/>
      <c r="DEK233" s="256"/>
      <c r="DEL233" s="257"/>
      <c r="DEN233" s="242"/>
      <c r="DEO233" s="256"/>
      <c r="DEP233" s="257"/>
      <c r="DER233" s="242"/>
      <c r="DES233" s="256"/>
      <c r="DET233" s="257"/>
      <c r="DEV233" s="242"/>
      <c r="DEW233" s="256"/>
      <c r="DEX233" s="257"/>
      <c r="DEZ233" s="242"/>
      <c r="DFA233" s="256"/>
      <c r="DFB233" s="257"/>
      <c r="DFD233" s="242"/>
      <c r="DFE233" s="256"/>
      <c r="DFF233" s="257"/>
      <c r="DFH233" s="242"/>
      <c r="DFI233" s="256"/>
      <c r="DFJ233" s="257"/>
      <c r="DFL233" s="242"/>
      <c r="DFM233" s="256"/>
      <c r="DFN233" s="257"/>
      <c r="DFP233" s="242"/>
      <c r="DFQ233" s="256"/>
      <c r="DFR233" s="257"/>
      <c r="DFT233" s="242"/>
      <c r="DFU233" s="256"/>
      <c r="DFV233" s="257"/>
      <c r="DFX233" s="242"/>
      <c r="DFY233" s="256"/>
      <c r="DFZ233" s="257"/>
      <c r="DGB233" s="242"/>
      <c r="DGC233" s="256"/>
      <c r="DGD233" s="257"/>
      <c r="DGF233" s="242"/>
      <c r="DGG233" s="256"/>
      <c r="DGH233" s="257"/>
      <c r="DGJ233" s="242"/>
      <c r="DGK233" s="256"/>
      <c r="DGL233" s="257"/>
      <c r="DGN233" s="242"/>
      <c r="DGO233" s="256"/>
      <c r="DGP233" s="257"/>
      <c r="DGR233" s="242"/>
      <c r="DGS233" s="256"/>
      <c r="DGT233" s="257"/>
      <c r="DGV233" s="242"/>
      <c r="DGW233" s="256"/>
      <c r="DGX233" s="257"/>
      <c r="DGZ233" s="242"/>
      <c r="DHA233" s="256"/>
      <c r="DHB233" s="257"/>
      <c r="DHD233" s="242"/>
      <c r="DHE233" s="256"/>
      <c r="DHF233" s="257"/>
      <c r="DHH233" s="242"/>
      <c r="DHI233" s="256"/>
      <c r="DHJ233" s="257"/>
      <c r="DHL233" s="242"/>
      <c r="DHM233" s="256"/>
      <c r="DHN233" s="257"/>
      <c r="DHP233" s="242"/>
      <c r="DHQ233" s="256"/>
      <c r="DHR233" s="257"/>
      <c r="DHT233" s="242"/>
      <c r="DHU233" s="256"/>
      <c r="DHV233" s="257"/>
      <c r="DHX233" s="242"/>
      <c r="DHY233" s="256"/>
      <c r="DHZ233" s="257"/>
      <c r="DIB233" s="242"/>
      <c r="DIC233" s="256"/>
      <c r="DID233" s="257"/>
      <c r="DIF233" s="242"/>
      <c r="DIG233" s="256"/>
      <c r="DIH233" s="257"/>
      <c r="DIJ233" s="242"/>
      <c r="DIK233" s="256"/>
      <c r="DIL233" s="257"/>
      <c r="DIN233" s="242"/>
      <c r="DIO233" s="256"/>
      <c r="DIP233" s="257"/>
      <c r="DIR233" s="242"/>
      <c r="DIS233" s="256"/>
      <c r="DIT233" s="257"/>
      <c r="DIV233" s="242"/>
      <c r="DIW233" s="256"/>
      <c r="DIX233" s="257"/>
      <c r="DIZ233" s="242"/>
      <c r="DJA233" s="256"/>
      <c r="DJB233" s="257"/>
      <c r="DJD233" s="242"/>
      <c r="DJE233" s="256"/>
      <c r="DJF233" s="257"/>
      <c r="DJH233" s="242"/>
      <c r="DJI233" s="256"/>
      <c r="DJJ233" s="257"/>
      <c r="DJL233" s="242"/>
      <c r="DJM233" s="256"/>
      <c r="DJN233" s="257"/>
      <c r="DJP233" s="242"/>
      <c r="DJQ233" s="256"/>
      <c r="DJR233" s="257"/>
      <c r="DJT233" s="242"/>
      <c r="DJU233" s="256"/>
      <c r="DJV233" s="257"/>
      <c r="DJX233" s="242"/>
      <c r="DJY233" s="256"/>
      <c r="DJZ233" s="257"/>
      <c r="DKB233" s="242"/>
      <c r="DKC233" s="256"/>
      <c r="DKD233" s="257"/>
      <c r="DKF233" s="242"/>
      <c r="DKG233" s="256"/>
      <c r="DKH233" s="257"/>
      <c r="DKJ233" s="242"/>
      <c r="DKK233" s="256"/>
      <c r="DKL233" s="257"/>
      <c r="DKN233" s="242"/>
      <c r="DKO233" s="256"/>
      <c r="DKP233" s="257"/>
      <c r="DKR233" s="242"/>
      <c r="DKS233" s="256"/>
      <c r="DKT233" s="257"/>
      <c r="DKV233" s="242"/>
      <c r="DKW233" s="256"/>
      <c r="DKX233" s="257"/>
      <c r="DKZ233" s="242"/>
      <c r="DLA233" s="256"/>
      <c r="DLB233" s="257"/>
      <c r="DLD233" s="242"/>
      <c r="DLE233" s="256"/>
      <c r="DLF233" s="257"/>
      <c r="DLH233" s="242"/>
      <c r="DLI233" s="256"/>
      <c r="DLJ233" s="257"/>
      <c r="DLL233" s="242"/>
      <c r="DLM233" s="256"/>
      <c r="DLN233" s="257"/>
      <c r="DLP233" s="242"/>
      <c r="DLQ233" s="256"/>
      <c r="DLR233" s="257"/>
      <c r="DLT233" s="242"/>
      <c r="DLU233" s="256"/>
      <c r="DLV233" s="257"/>
      <c r="DLX233" s="242"/>
      <c r="DLY233" s="256"/>
      <c r="DLZ233" s="257"/>
      <c r="DMB233" s="242"/>
      <c r="DMC233" s="256"/>
      <c r="DMD233" s="257"/>
      <c r="DMF233" s="242"/>
      <c r="DMG233" s="256"/>
      <c r="DMH233" s="257"/>
      <c r="DMJ233" s="242"/>
      <c r="DMK233" s="256"/>
      <c r="DML233" s="257"/>
      <c r="DMN233" s="242"/>
      <c r="DMO233" s="256"/>
      <c r="DMP233" s="257"/>
      <c r="DMR233" s="242"/>
      <c r="DMS233" s="256"/>
      <c r="DMT233" s="257"/>
      <c r="DMV233" s="242"/>
      <c r="DMW233" s="256"/>
      <c r="DMX233" s="257"/>
      <c r="DMZ233" s="242"/>
      <c r="DNA233" s="256"/>
      <c r="DNB233" s="257"/>
      <c r="DND233" s="242"/>
      <c r="DNE233" s="256"/>
      <c r="DNF233" s="257"/>
      <c r="DNH233" s="242"/>
      <c r="DNI233" s="256"/>
      <c r="DNJ233" s="257"/>
      <c r="DNL233" s="242"/>
      <c r="DNM233" s="256"/>
      <c r="DNN233" s="257"/>
      <c r="DNP233" s="242"/>
      <c r="DNQ233" s="256"/>
      <c r="DNR233" s="257"/>
      <c r="DNT233" s="242"/>
      <c r="DNU233" s="256"/>
      <c r="DNV233" s="257"/>
      <c r="DNX233" s="242"/>
      <c r="DNY233" s="256"/>
      <c r="DNZ233" s="257"/>
      <c r="DOB233" s="242"/>
      <c r="DOC233" s="256"/>
      <c r="DOD233" s="257"/>
      <c r="DOF233" s="242"/>
      <c r="DOG233" s="256"/>
      <c r="DOH233" s="257"/>
      <c r="DOJ233" s="242"/>
      <c r="DOK233" s="256"/>
      <c r="DOL233" s="257"/>
      <c r="DON233" s="242"/>
      <c r="DOO233" s="256"/>
      <c r="DOP233" s="257"/>
      <c r="DOR233" s="242"/>
      <c r="DOS233" s="256"/>
      <c r="DOT233" s="257"/>
      <c r="DOV233" s="242"/>
      <c r="DOW233" s="256"/>
      <c r="DOX233" s="257"/>
      <c r="DOZ233" s="242"/>
      <c r="DPA233" s="256"/>
      <c r="DPB233" s="257"/>
      <c r="DPD233" s="242"/>
      <c r="DPE233" s="256"/>
      <c r="DPF233" s="257"/>
      <c r="DPH233" s="242"/>
      <c r="DPI233" s="256"/>
      <c r="DPJ233" s="257"/>
      <c r="DPL233" s="242"/>
      <c r="DPM233" s="256"/>
      <c r="DPN233" s="257"/>
      <c r="DPP233" s="242"/>
      <c r="DPQ233" s="256"/>
      <c r="DPR233" s="257"/>
      <c r="DPT233" s="242"/>
      <c r="DPU233" s="256"/>
      <c r="DPV233" s="257"/>
      <c r="DPX233" s="242"/>
      <c r="DPY233" s="256"/>
      <c r="DPZ233" s="257"/>
      <c r="DQB233" s="242"/>
      <c r="DQC233" s="256"/>
      <c r="DQD233" s="257"/>
      <c r="DQF233" s="242"/>
      <c r="DQG233" s="256"/>
      <c r="DQH233" s="257"/>
      <c r="DQJ233" s="242"/>
      <c r="DQK233" s="256"/>
      <c r="DQL233" s="257"/>
      <c r="DQN233" s="242"/>
      <c r="DQO233" s="256"/>
      <c r="DQP233" s="257"/>
      <c r="DQR233" s="242"/>
      <c r="DQS233" s="256"/>
      <c r="DQT233" s="257"/>
      <c r="DQV233" s="242"/>
      <c r="DQW233" s="256"/>
      <c r="DQX233" s="257"/>
      <c r="DQZ233" s="242"/>
      <c r="DRA233" s="256"/>
      <c r="DRB233" s="257"/>
      <c r="DRD233" s="242"/>
      <c r="DRE233" s="256"/>
      <c r="DRF233" s="257"/>
      <c r="DRH233" s="242"/>
      <c r="DRI233" s="256"/>
      <c r="DRJ233" s="257"/>
      <c r="DRL233" s="242"/>
      <c r="DRM233" s="256"/>
      <c r="DRN233" s="257"/>
      <c r="DRP233" s="242"/>
      <c r="DRQ233" s="256"/>
      <c r="DRR233" s="257"/>
      <c r="DRT233" s="242"/>
      <c r="DRU233" s="256"/>
      <c r="DRV233" s="257"/>
      <c r="DRX233" s="242"/>
      <c r="DRY233" s="256"/>
      <c r="DRZ233" s="257"/>
      <c r="DSB233" s="242"/>
      <c r="DSC233" s="256"/>
      <c r="DSD233" s="257"/>
      <c r="DSF233" s="242"/>
      <c r="DSG233" s="256"/>
      <c r="DSH233" s="257"/>
      <c r="DSJ233" s="242"/>
      <c r="DSK233" s="256"/>
      <c r="DSL233" s="257"/>
      <c r="DSN233" s="242"/>
      <c r="DSO233" s="256"/>
      <c r="DSP233" s="257"/>
      <c r="DSR233" s="242"/>
      <c r="DSS233" s="256"/>
      <c r="DST233" s="257"/>
      <c r="DSV233" s="242"/>
      <c r="DSW233" s="256"/>
      <c r="DSX233" s="257"/>
      <c r="DSZ233" s="242"/>
      <c r="DTA233" s="256"/>
      <c r="DTB233" s="257"/>
      <c r="DTD233" s="242"/>
      <c r="DTE233" s="256"/>
      <c r="DTF233" s="257"/>
      <c r="DTH233" s="242"/>
      <c r="DTI233" s="256"/>
      <c r="DTJ233" s="257"/>
      <c r="DTL233" s="242"/>
      <c r="DTM233" s="256"/>
      <c r="DTN233" s="257"/>
      <c r="DTP233" s="242"/>
      <c r="DTQ233" s="256"/>
      <c r="DTR233" s="257"/>
      <c r="DTT233" s="242"/>
      <c r="DTU233" s="256"/>
      <c r="DTV233" s="257"/>
      <c r="DTX233" s="242"/>
      <c r="DTY233" s="256"/>
      <c r="DTZ233" s="257"/>
      <c r="DUB233" s="242"/>
      <c r="DUC233" s="256"/>
      <c r="DUD233" s="257"/>
      <c r="DUF233" s="242"/>
      <c r="DUG233" s="256"/>
      <c r="DUH233" s="257"/>
      <c r="DUJ233" s="242"/>
      <c r="DUK233" s="256"/>
      <c r="DUL233" s="257"/>
      <c r="DUN233" s="242"/>
      <c r="DUO233" s="256"/>
      <c r="DUP233" s="257"/>
      <c r="DUR233" s="242"/>
      <c r="DUS233" s="256"/>
      <c r="DUT233" s="257"/>
      <c r="DUV233" s="242"/>
      <c r="DUW233" s="256"/>
      <c r="DUX233" s="257"/>
      <c r="DUZ233" s="242"/>
      <c r="DVA233" s="256"/>
      <c r="DVB233" s="257"/>
      <c r="DVD233" s="242"/>
      <c r="DVE233" s="256"/>
      <c r="DVF233" s="257"/>
      <c r="DVH233" s="242"/>
      <c r="DVI233" s="256"/>
      <c r="DVJ233" s="257"/>
      <c r="DVL233" s="242"/>
      <c r="DVM233" s="256"/>
      <c r="DVN233" s="257"/>
      <c r="DVP233" s="242"/>
      <c r="DVQ233" s="256"/>
      <c r="DVR233" s="257"/>
      <c r="DVT233" s="242"/>
      <c r="DVU233" s="256"/>
      <c r="DVV233" s="257"/>
      <c r="DVX233" s="242"/>
      <c r="DVY233" s="256"/>
      <c r="DVZ233" s="257"/>
      <c r="DWB233" s="242"/>
      <c r="DWC233" s="256"/>
      <c r="DWD233" s="257"/>
      <c r="DWF233" s="242"/>
      <c r="DWG233" s="256"/>
      <c r="DWH233" s="257"/>
      <c r="DWJ233" s="242"/>
      <c r="DWK233" s="256"/>
      <c r="DWL233" s="257"/>
      <c r="DWN233" s="242"/>
      <c r="DWO233" s="256"/>
      <c r="DWP233" s="257"/>
      <c r="DWR233" s="242"/>
      <c r="DWS233" s="256"/>
      <c r="DWT233" s="257"/>
      <c r="DWV233" s="242"/>
      <c r="DWW233" s="256"/>
      <c r="DWX233" s="257"/>
      <c r="DWZ233" s="242"/>
      <c r="DXA233" s="256"/>
      <c r="DXB233" s="257"/>
      <c r="DXD233" s="242"/>
      <c r="DXE233" s="256"/>
      <c r="DXF233" s="257"/>
      <c r="DXH233" s="242"/>
      <c r="DXI233" s="256"/>
      <c r="DXJ233" s="257"/>
      <c r="DXL233" s="242"/>
      <c r="DXM233" s="256"/>
      <c r="DXN233" s="257"/>
      <c r="DXP233" s="242"/>
      <c r="DXQ233" s="256"/>
      <c r="DXR233" s="257"/>
      <c r="DXT233" s="242"/>
      <c r="DXU233" s="256"/>
      <c r="DXV233" s="257"/>
      <c r="DXX233" s="242"/>
      <c r="DXY233" s="256"/>
      <c r="DXZ233" s="257"/>
      <c r="DYB233" s="242"/>
      <c r="DYC233" s="256"/>
      <c r="DYD233" s="257"/>
      <c r="DYF233" s="242"/>
      <c r="DYG233" s="256"/>
      <c r="DYH233" s="257"/>
      <c r="DYJ233" s="242"/>
      <c r="DYK233" s="256"/>
      <c r="DYL233" s="257"/>
      <c r="DYN233" s="242"/>
      <c r="DYO233" s="256"/>
      <c r="DYP233" s="257"/>
      <c r="DYR233" s="242"/>
      <c r="DYS233" s="256"/>
      <c r="DYT233" s="257"/>
      <c r="DYV233" s="242"/>
      <c r="DYW233" s="256"/>
      <c r="DYX233" s="257"/>
      <c r="DYZ233" s="242"/>
      <c r="DZA233" s="256"/>
      <c r="DZB233" s="257"/>
      <c r="DZD233" s="242"/>
      <c r="DZE233" s="256"/>
      <c r="DZF233" s="257"/>
      <c r="DZH233" s="242"/>
      <c r="DZI233" s="256"/>
      <c r="DZJ233" s="257"/>
      <c r="DZL233" s="242"/>
      <c r="DZM233" s="256"/>
      <c r="DZN233" s="257"/>
      <c r="DZP233" s="242"/>
      <c r="DZQ233" s="256"/>
      <c r="DZR233" s="257"/>
      <c r="DZT233" s="242"/>
      <c r="DZU233" s="256"/>
      <c r="DZV233" s="257"/>
      <c r="DZX233" s="242"/>
      <c r="DZY233" s="256"/>
      <c r="DZZ233" s="257"/>
      <c r="EAB233" s="242"/>
      <c r="EAC233" s="256"/>
      <c r="EAD233" s="257"/>
      <c r="EAF233" s="242"/>
      <c r="EAG233" s="256"/>
      <c r="EAH233" s="257"/>
      <c r="EAJ233" s="242"/>
      <c r="EAK233" s="256"/>
      <c r="EAL233" s="257"/>
      <c r="EAN233" s="242"/>
      <c r="EAO233" s="256"/>
      <c r="EAP233" s="257"/>
      <c r="EAR233" s="242"/>
      <c r="EAS233" s="256"/>
      <c r="EAT233" s="257"/>
      <c r="EAV233" s="242"/>
      <c r="EAW233" s="256"/>
      <c r="EAX233" s="257"/>
      <c r="EAZ233" s="242"/>
      <c r="EBA233" s="256"/>
      <c r="EBB233" s="257"/>
      <c r="EBD233" s="242"/>
      <c r="EBE233" s="256"/>
      <c r="EBF233" s="257"/>
      <c r="EBH233" s="242"/>
      <c r="EBI233" s="256"/>
      <c r="EBJ233" s="257"/>
      <c r="EBL233" s="242"/>
      <c r="EBM233" s="256"/>
      <c r="EBN233" s="257"/>
      <c r="EBP233" s="242"/>
      <c r="EBQ233" s="256"/>
      <c r="EBR233" s="257"/>
      <c r="EBT233" s="242"/>
      <c r="EBU233" s="256"/>
      <c r="EBV233" s="257"/>
      <c r="EBX233" s="242"/>
      <c r="EBY233" s="256"/>
      <c r="EBZ233" s="257"/>
      <c r="ECB233" s="242"/>
      <c r="ECC233" s="256"/>
      <c r="ECD233" s="257"/>
      <c r="ECF233" s="242"/>
      <c r="ECG233" s="256"/>
      <c r="ECH233" s="257"/>
      <c r="ECJ233" s="242"/>
      <c r="ECK233" s="256"/>
      <c r="ECL233" s="257"/>
      <c r="ECN233" s="242"/>
      <c r="ECO233" s="256"/>
      <c r="ECP233" s="257"/>
      <c r="ECR233" s="242"/>
      <c r="ECS233" s="256"/>
      <c r="ECT233" s="257"/>
      <c r="ECV233" s="242"/>
      <c r="ECW233" s="256"/>
      <c r="ECX233" s="257"/>
      <c r="ECZ233" s="242"/>
      <c r="EDA233" s="256"/>
      <c r="EDB233" s="257"/>
      <c r="EDD233" s="242"/>
      <c r="EDE233" s="256"/>
      <c r="EDF233" s="257"/>
      <c r="EDH233" s="242"/>
      <c r="EDI233" s="256"/>
      <c r="EDJ233" s="257"/>
      <c r="EDL233" s="242"/>
      <c r="EDM233" s="256"/>
      <c r="EDN233" s="257"/>
      <c r="EDP233" s="242"/>
      <c r="EDQ233" s="256"/>
      <c r="EDR233" s="257"/>
      <c r="EDT233" s="242"/>
      <c r="EDU233" s="256"/>
      <c r="EDV233" s="257"/>
      <c r="EDX233" s="242"/>
      <c r="EDY233" s="256"/>
      <c r="EDZ233" s="257"/>
      <c r="EEB233" s="242"/>
      <c r="EEC233" s="256"/>
      <c r="EED233" s="257"/>
      <c r="EEF233" s="242"/>
      <c r="EEG233" s="256"/>
      <c r="EEH233" s="257"/>
      <c r="EEJ233" s="242"/>
      <c r="EEK233" s="256"/>
      <c r="EEL233" s="257"/>
      <c r="EEN233" s="242"/>
      <c r="EEO233" s="256"/>
      <c r="EEP233" s="257"/>
      <c r="EER233" s="242"/>
      <c r="EES233" s="256"/>
      <c r="EET233" s="257"/>
      <c r="EEV233" s="242"/>
      <c r="EEW233" s="256"/>
      <c r="EEX233" s="257"/>
      <c r="EEZ233" s="242"/>
      <c r="EFA233" s="256"/>
      <c r="EFB233" s="257"/>
      <c r="EFD233" s="242"/>
      <c r="EFE233" s="256"/>
      <c r="EFF233" s="257"/>
      <c r="EFH233" s="242"/>
      <c r="EFI233" s="256"/>
      <c r="EFJ233" s="257"/>
      <c r="EFL233" s="242"/>
      <c r="EFM233" s="256"/>
      <c r="EFN233" s="257"/>
      <c r="EFP233" s="242"/>
      <c r="EFQ233" s="256"/>
      <c r="EFR233" s="257"/>
      <c r="EFT233" s="242"/>
      <c r="EFU233" s="256"/>
      <c r="EFV233" s="257"/>
      <c r="EFX233" s="242"/>
      <c r="EFY233" s="256"/>
      <c r="EFZ233" s="257"/>
      <c r="EGB233" s="242"/>
      <c r="EGC233" s="256"/>
      <c r="EGD233" s="257"/>
      <c r="EGF233" s="242"/>
      <c r="EGG233" s="256"/>
      <c r="EGH233" s="257"/>
      <c r="EGJ233" s="242"/>
      <c r="EGK233" s="256"/>
      <c r="EGL233" s="257"/>
      <c r="EGN233" s="242"/>
      <c r="EGO233" s="256"/>
      <c r="EGP233" s="257"/>
      <c r="EGR233" s="242"/>
      <c r="EGS233" s="256"/>
      <c r="EGT233" s="257"/>
      <c r="EGV233" s="242"/>
      <c r="EGW233" s="256"/>
      <c r="EGX233" s="257"/>
      <c r="EGZ233" s="242"/>
      <c r="EHA233" s="256"/>
      <c r="EHB233" s="257"/>
      <c r="EHD233" s="242"/>
      <c r="EHE233" s="256"/>
      <c r="EHF233" s="257"/>
      <c r="EHH233" s="242"/>
      <c r="EHI233" s="256"/>
      <c r="EHJ233" s="257"/>
      <c r="EHL233" s="242"/>
      <c r="EHM233" s="256"/>
      <c r="EHN233" s="257"/>
      <c r="EHP233" s="242"/>
      <c r="EHQ233" s="256"/>
      <c r="EHR233" s="257"/>
      <c r="EHT233" s="242"/>
      <c r="EHU233" s="256"/>
      <c r="EHV233" s="257"/>
      <c r="EHX233" s="242"/>
      <c r="EHY233" s="256"/>
      <c r="EHZ233" s="257"/>
      <c r="EIB233" s="242"/>
      <c r="EIC233" s="256"/>
      <c r="EID233" s="257"/>
      <c r="EIF233" s="242"/>
      <c r="EIG233" s="256"/>
      <c r="EIH233" s="257"/>
      <c r="EIJ233" s="242"/>
      <c r="EIK233" s="256"/>
      <c r="EIL233" s="257"/>
      <c r="EIN233" s="242"/>
      <c r="EIO233" s="256"/>
      <c r="EIP233" s="257"/>
      <c r="EIR233" s="242"/>
      <c r="EIS233" s="256"/>
      <c r="EIT233" s="257"/>
      <c r="EIV233" s="242"/>
      <c r="EIW233" s="256"/>
      <c r="EIX233" s="257"/>
      <c r="EIZ233" s="242"/>
      <c r="EJA233" s="256"/>
      <c r="EJB233" s="257"/>
      <c r="EJD233" s="242"/>
      <c r="EJE233" s="256"/>
      <c r="EJF233" s="257"/>
      <c r="EJH233" s="242"/>
      <c r="EJI233" s="256"/>
      <c r="EJJ233" s="257"/>
      <c r="EJL233" s="242"/>
      <c r="EJM233" s="256"/>
      <c r="EJN233" s="257"/>
      <c r="EJP233" s="242"/>
      <c r="EJQ233" s="256"/>
      <c r="EJR233" s="257"/>
      <c r="EJT233" s="242"/>
      <c r="EJU233" s="256"/>
      <c r="EJV233" s="257"/>
      <c r="EJX233" s="242"/>
      <c r="EJY233" s="256"/>
      <c r="EJZ233" s="257"/>
      <c r="EKB233" s="242"/>
      <c r="EKC233" s="256"/>
      <c r="EKD233" s="257"/>
      <c r="EKF233" s="242"/>
      <c r="EKG233" s="256"/>
      <c r="EKH233" s="257"/>
      <c r="EKJ233" s="242"/>
      <c r="EKK233" s="256"/>
      <c r="EKL233" s="257"/>
      <c r="EKN233" s="242"/>
      <c r="EKO233" s="256"/>
      <c r="EKP233" s="257"/>
      <c r="EKR233" s="242"/>
      <c r="EKS233" s="256"/>
      <c r="EKT233" s="257"/>
      <c r="EKV233" s="242"/>
      <c r="EKW233" s="256"/>
      <c r="EKX233" s="257"/>
      <c r="EKZ233" s="242"/>
      <c r="ELA233" s="256"/>
      <c r="ELB233" s="257"/>
      <c r="ELD233" s="242"/>
      <c r="ELE233" s="256"/>
      <c r="ELF233" s="257"/>
      <c r="ELH233" s="242"/>
      <c r="ELI233" s="256"/>
      <c r="ELJ233" s="257"/>
      <c r="ELL233" s="242"/>
      <c r="ELM233" s="256"/>
      <c r="ELN233" s="257"/>
      <c r="ELP233" s="242"/>
      <c r="ELQ233" s="256"/>
      <c r="ELR233" s="257"/>
      <c r="ELT233" s="242"/>
      <c r="ELU233" s="256"/>
      <c r="ELV233" s="257"/>
      <c r="ELX233" s="242"/>
      <c r="ELY233" s="256"/>
      <c r="ELZ233" s="257"/>
      <c r="EMB233" s="242"/>
      <c r="EMC233" s="256"/>
      <c r="EMD233" s="257"/>
      <c r="EMF233" s="242"/>
      <c r="EMG233" s="256"/>
      <c r="EMH233" s="257"/>
      <c r="EMJ233" s="242"/>
      <c r="EMK233" s="256"/>
      <c r="EML233" s="257"/>
      <c r="EMN233" s="242"/>
      <c r="EMO233" s="256"/>
      <c r="EMP233" s="257"/>
      <c r="EMR233" s="242"/>
      <c r="EMS233" s="256"/>
      <c r="EMT233" s="257"/>
      <c r="EMV233" s="242"/>
      <c r="EMW233" s="256"/>
      <c r="EMX233" s="257"/>
      <c r="EMZ233" s="242"/>
      <c r="ENA233" s="256"/>
      <c r="ENB233" s="257"/>
      <c r="END233" s="242"/>
      <c r="ENE233" s="256"/>
      <c r="ENF233" s="257"/>
      <c r="ENH233" s="242"/>
      <c r="ENI233" s="256"/>
      <c r="ENJ233" s="257"/>
      <c r="ENL233" s="242"/>
      <c r="ENM233" s="256"/>
      <c r="ENN233" s="257"/>
      <c r="ENP233" s="242"/>
      <c r="ENQ233" s="256"/>
      <c r="ENR233" s="257"/>
      <c r="ENT233" s="242"/>
      <c r="ENU233" s="256"/>
      <c r="ENV233" s="257"/>
      <c r="ENX233" s="242"/>
      <c r="ENY233" s="256"/>
      <c r="ENZ233" s="257"/>
      <c r="EOB233" s="242"/>
      <c r="EOC233" s="256"/>
      <c r="EOD233" s="257"/>
      <c r="EOF233" s="242"/>
      <c r="EOG233" s="256"/>
      <c r="EOH233" s="257"/>
      <c r="EOJ233" s="242"/>
      <c r="EOK233" s="256"/>
      <c r="EOL233" s="257"/>
      <c r="EON233" s="242"/>
      <c r="EOO233" s="256"/>
      <c r="EOP233" s="257"/>
      <c r="EOR233" s="242"/>
      <c r="EOS233" s="256"/>
      <c r="EOT233" s="257"/>
      <c r="EOV233" s="242"/>
      <c r="EOW233" s="256"/>
      <c r="EOX233" s="257"/>
      <c r="EOZ233" s="242"/>
      <c r="EPA233" s="256"/>
      <c r="EPB233" s="257"/>
      <c r="EPD233" s="242"/>
      <c r="EPE233" s="256"/>
      <c r="EPF233" s="257"/>
      <c r="EPH233" s="242"/>
      <c r="EPI233" s="256"/>
      <c r="EPJ233" s="257"/>
      <c r="EPL233" s="242"/>
      <c r="EPM233" s="256"/>
      <c r="EPN233" s="257"/>
      <c r="EPP233" s="242"/>
      <c r="EPQ233" s="256"/>
      <c r="EPR233" s="257"/>
      <c r="EPT233" s="242"/>
      <c r="EPU233" s="256"/>
      <c r="EPV233" s="257"/>
      <c r="EPX233" s="242"/>
      <c r="EPY233" s="256"/>
      <c r="EPZ233" s="257"/>
      <c r="EQB233" s="242"/>
      <c r="EQC233" s="256"/>
      <c r="EQD233" s="257"/>
      <c r="EQF233" s="242"/>
      <c r="EQG233" s="256"/>
      <c r="EQH233" s="257"/>
      <c r="EQJ233" s="242"/>
      <c r="EQK233" s="256"/>
      <c r="EQL233" s="257"/>
      <c r="EQN233" s="242"/>
      <c r="EQO233" s="256"/>
      <c r="EQP233" s="257"/>
      <c r="EQR233" s="242"/>
      <c r="EQS233" s="256"/>
      <c r="EQT233" s="257"/>
      <c r="EQV233" s="242"/>
      <c r="EQW233" s="256"/>
      <c r="EQX233" s="257"/>
      <c r="EQZ233" s="242"/>
      <c r="ERA233" s="256"/>
      <c r="ERB233" s="257"/>
      <c r="ERD233" s="242"/>
      <c r="ERE233" s="256"/>
      <c r="ERF233" s="257"/>
      <c r="ERH233" s="242"/>
      <c r="ERI233" s="256"/>
      <c r="ERJ233" s="257"/>
      <c r="ERL233" s="242"/>
      <c r="ERM233" s="256"/>
      <c r="ERN233" s="257"/>
      <c r="ERP233" s="242"/>
      <c r="ERQ233" s="256"/>
      <c r="ERR233" s="257"/>
      <c r="ERT233" s="242"/>
      <c r="ERU233" s="256"/>
      <c r="ERV233" s="257"/>
      <c r="ERX233" s="242"/>
      <c r="ERY233" s="256"/>
      <c r="ERZ233" s="257"/>
      <c r="ESB233" s="242"/>
      <c r="ESC233" s="256"/>
      <c r="ESD233" s="257"/>
      <c r="ESF233" s="242"/>
      <c r="ESG233" s="256"/>
      <c r="ESH233" s="257"/>
      <c r="ESJ233" s="242"/>
      <c r="ESK233" s="256"/>
      <c r="ESL233" s="257"/>
      <c r="ESN233" s="242"/>
      <c r="ESO233" s="256"/>
      <c r="ESP233" s="257"/>
      <c r="ESR233" s="242"/>
      <c r="ESS233" s="256"/>
      <c r="EST233" s="257"/>
      <c r="ESV233" s="242"/>
      <c r="ESW233" s="256"/>
      <c r="ESX233" s="257"/>
      <c r="ESZ233" s="242"/>
      <c r="ETA233" s="256"/>
      <c r="ETB233" s="257"/>
      <c r="ETD233" s="242"/>
      <c r="ETE233" s="256"/>
      <c r="ETF233" s="257"/>
      <c r="ETH233" s="242"/>
      <c r="ETI233" s="256"/>
      <c r="ETJ233" s="257"/>
      <c r="ETL233" s="242"/>
      <c r="ETM233" s="256"/>
      <c r="ETN233" s="257"/>
      <c r="ETP233" s="242"/>
      <c r="ETQ233" s="256"/>
      <c r="ETR233" s="257"/>
      <c r="ETT233" s="242"/>
      <c r="ETU233" s="256"/>
      <c r="ETV233" s="257"/>
      <c r="ETX233" s="242"/>
      <c r="ETY233" s="256"/>
      <c r="ETZ233" s="257"/>
      <c r="EUB233" s="242"/>
      <c r="EUC233" s="256"/>
      <c r="EUD233" s="257"/>
      <c r="EUF233" s="242"/>
      <c r="EUG233" s="256"/>
      <c r="EUH233" s="257"/>
      <c r="EUJ233" s="242"/>
      <c r="EUK233" s="256"/>
      <c r="EUL233" s="257"/>
      <c r="EUN233" s="242"/>
      <c r="EUO233" s="256"/>
      <c r="EUP233" s="257"/>
      <c r="EUR233" s="242"/>
      <c r="EUS233" s="256"/>
      <c r="EUT233" s="257"/>
      <c r="EUV233" s="242"/>
      <c r="EUW233" s="256"/>
      <c r="EUX233" s="257"/>
      <c r="EUZ233" s="242"/>
      <c r="EVA233" s="256"/>
      <c r="EVB233" s="257"/>
      <c r="EVD233" s="242"/>
      <c r="EVE233" s="256"/>
      <c r="EVF233" s="257"/>
      <c r="EVH233" s="242"/>
      <c r="EVI233" s="256"/>
      <c r="EVJ233" s="257"/>
      <c r="EVL233" s="242"/>
      <c r="EVM233" s="256"/>
      <c r="EVN233" s="257"/>
      <c r="EVP233" s="242"/>
      <c r="EVQ233" s="256"/>
      <c r="EVR233" s="257"/>
      <c r="EVT233" s="242"/>
      <c r="EVU233" s="256"/>
      <c r="EVV233" s="257"/>
      <c r="EVX233" s="242"/>
      <c r="EVY233" s="256"/>
      <c r="EVZ233" s="257"/>
      <c r="EWB233" s="242"/>
      <c r="EWC233" s="256"/>
      <c r="EWD233" s="257"/>
      <c r="EWF233" s="242"/>
      <c r="EWG233" s="256"/>
      <c r="EWH233" s="257"/>
      <c r="EWJ233" s="242"/>
      <c r="EWK233" s="256"/>
      <c r="EWL233" s="257"/>
      <c r="EWN233" s="242"/>
      <c r="EWO233" s="256"/>
      <c r="EWP233" s="257"/>
      <c r="EWR233" s="242"/>
      <c r="EWS233" s="256"/>
      <c r="EWT233" s="257"/>
      <c r="EWV233" s="242"/>
      <c r="EWW233" s="256"/>
      <c r="EWX233" s="257"/>
      <c r="EWZ233" s="242"/>
      <c r="EXA233" s="256"/>
      <c r="EXB233" s="257"/>
      <c r="EXD233" s="242"/>
      <c r="EXE233" s="256"/>
      <c r="EXF233" s="257"/>
      <c r="EXH233" s="242"/>
      <c r="EXI233" s="256"/>
      <c r="EXJ233" s="257"/>
      <c r="EXL233" s="242"/>
      <c r="EXM233" s="256"/>
      <c r="EXN233" s="257"/>
      <c r="EXP233" s="242"/>
      <c r="EXQ233" s="256"/>
      <c r="EXR233" s="257"/>
      <c r="EXT233" s="242"/>
      <c r="EXU233" s="256"/>
      <c r="EXV233" s="257"/>
      <c r="EXX233" s="242"/>
      <c r="EXY233" s="256"/>
      <c r="EXZ233" s="257"/>
      <c r="EYB233" s="242"/>
      <c r="EYC233" s="256"/>
      <c r="EYD233" s="257"/>
      <c r="EYF233" s="242"/>
      <c r="EYG233" s="256"/>
      <c r="EYH233" s="257"/>
      <c r="EYJ233" s="242"/>
      <c r="EYK233" s="256"/>
      <c r="EYL233" s="257"/>
      <c r="EYN233" s="242"/>
      <c r="EYO233" s="256"/>
      <c r="EYP233" s="257"/>
      <c r="EYR233" s="242"/>
      <c r="EYS233" s="256"/>
      <c r="EYT233" s="257"/>
      <c r="EYV233" s="242"/>
      <c r="EYW233" s="256"/>
      <c r="EYX233" s="257"/>
      <c r="EYZ233" s="242"/>
      <c r="EZA233" s="256"/>
      <c r="EZB233" s="257"/>
      <c r="EZD233" s="242"/>
      <c r="EZE233" s="256"/>
      <c r="EZF233" s="257"/>
      <c r="EZH233" s="242"/>
      <c r="EZI233" s="256"/>
      <c r="EZJ233" s="257"/>
      <c r="EZL233" s="242"/>
      <c r="EZM233" s="256"/>
      <c r="EZN233" s="257"/>
      <c r="EZP233" s="242"/>
      <c r="EZQ233" s="256"/>
      <c r="EZR233" s="257"/>
      <c r="EZT233" s="242"/>
      <c r="EZU233" s="256"/>
      <c r="EZV233" s="257"/>
      <c r="EZX233" s="242"/>
      <c r="EZY233" s="256"/>
      <c r="EZZ233" s="257"/>
      <c r="FAB233" s="242"/>
      <c r="FAC233" s="256"/>
      <c r="FAD233" s="257"/>
      <c r="FAF233" s="242"/>
      <c r="FAG233" s="256"/>
      <c r="FAH233" s="257"/>
      <c r="FAJ233" s="242"/>
      <c r="FAK233" s="256"/>
      <c r="FAL233" s="257"/>
      <c r="FAN233" s="242"/>
      <c r="FAO233" s="256"/>
      <c r="FAP233" s="257"/>
      <c r="FAR233" s="242"/>
      <c r="FAS233" s="256"/>
      <c r="FAT233" s="257"/>
      <c r="FAV233" s="242"/>
      <c r="FAW233" s="256"/>
      <c r="FAX233" s="257"/>
      <c r="FAZ233" s="242"/>
      <c r="FBA233" s="256"/>
      <c r="FBB233" s="257"/>
      <c r="FBD233" s="242"/>
      <c r="FBE233" s="256"/>
      <c r="FBF233" s="257"/>
      <c r="FBH233" s="242"/>
      <c r="FBI233" s="256"/>
      <c r="FBJ233" s="257"/>
      <c r="FBL233" s="242"/>
      <c r="FBM233" s="256"/>
      <c r="FBN233" s="257"/>
      <c r="FBP233" s="242"/>
      <c r="FBQ233" s="256"/>
      <c r="FBR233" s="257"/>
      <c r="FBT233" s="242"/>
      <c r="FBU233" s="256"/>
      <c r="FBV233" s="257"/>
      <c r="FBX233" s="242"/>
      <c r="FBY233" s="256"/>
      <c r="FBZ233" s="257"/>
      <c r="FCB233" s="242"/>
      <c r="FCC233" s="256"/>
      <c r="FCD233" s="257"/>
      <c r="FCF233" s="242"/>
      <c r="FCG233" s="256"/>
      <c r="FCH233" s="257"/>
      <c r="FCJ233" s="242"/>
      <c r="FCK233" s="256"/>
      <c r="FCL233" s="257"/>
      <c r="FCN233" s="242"/>
      <c r="FCO233" s="256"/>
      <c r="FCP233" s="257"/>
      <c r="FCR233" s="242"/>
      <c r="FCS233" s="256"/>
      <c r="FCT233" s="257"/>
      <c r="FCV233" s="242"/>
      <c r="FCW233" s="256"/>
      <c r="FCX233" s="257"/>
      <c r="FCZ233" s="242"/>
      <c r="FDA233" s="256"/>
      <c r="FDB233" s="257"/>
      <c r="FDD233" s="242"/>
      <c r="FDE233" s="256"/>
      <c r="FDF233" s="257"/>
      <c r="FDH233" s="242"/>
      <c r="FDI233" s="256"/>
      <c r="FDJ233" s="257"/>
      <c r="FDL233" s="242"/>
      <c r="FDM233" s="256"/>
      <c r="FDN233" s="257"/>
      <c r="FDP233" s="242"/>
      <c r="FDQ233" s="256"/>
      <c r="FDR233" s="257"/>
      <c r="FDT233" s="242"/>
      <c r="FDU233" s="256"/>
      <c r="FDV233" s="257"/>
      <c r="FDX233" s="242"/>
      <c r="FDY233" s="256"/>
      <c r="FDZ233" s="257"/>
      <c r="FEB233" s="242"/>
      <c r="FEC233" s="256"/>
      <c r="FED233" s="257"/>
      <c r="FEF233" s="242"/>
      <c r="FEG233" s="256"/>
      <c r="FEH233" s="257"/>
      <c r="FEJ233" s="242"/>
      <c r="FEK233" s="256"/>
      <c r="FEL233" s="257"/>
      <c r="FEN233" s="242"/>
      <c r="FEO233" s="256"/>
      <c r="FEP233" s="257"/>
      <c r="FER233" s="242"/>
      <c r="FES233" s="256"/>
      <c r="FET233" s="257"/>
      <c r="FEV233" s="242"/>
      <c r="FEW233" s="256"/>
      <c r="FEX233" s="257"/>
      <c r="FEZ233" s="242"/>
      <c r="FFA233" s="256"/>
      <c r="FFB233" s="257"/>
      <c r="FFD233" s="242"/>
      <c r="FFE233" s="256"/>
      <c r="FFF233" s="257"/>
      <c r="FFH233" s="242"/>
      <c r="FFI233" s="256"/>
      <c r="FFJ233" s="257"/>
      <c r="FFL233" s="242"/>
      <c r="FFM233" s="256"/>
      <c r="FFN233" s="257"/>
      <c r="FFP233" s="242"/>
      <c r="FFQ233" s="256"/>
      <c r="FFR233" s="257"/>
      <c r="FFT233" s="242"/>
      <c r="FFU233" s="256"/>
      <c r="FFV233" s="257"/>
      <c r="FFX233" s="242"/>
      <c r="FFY233" s="256"/>
      <c r="FFZ233" s="257"/>
      <c r="FGB233" s="242"/>
      <c r="FGC233" s="256"/>
      <c r="FGD233" s="257"/>
      <c r="FGF233" s="242"/>
      <c r="FGG233" s="256"/>
      <c r="FGH233" s="257"/>
      <c r="FGJ233" s="242"/>
      <c r="FGK233" s="256"/>
      <c r="FGL233" s="257"/>
      <c r="FGN233" s="242"/>
      <c r="FGO233" s="256"/>
      <c r="FGP233" s="257"/>
      <c r="FGR233" s="242"/>
      <c r="FGS233" s="256"/>
      <c r="FGT233" s="257"/>
      <c r="FGV233" s="242"/>
      <c r="FGW233" s="256"/>
      <c r="FGX233" s="257"/>
      <c r="FGZ233" s="242"/>
      <c r="FHA233" s="256"/>
      <c r="FHB233" s="257"/>
      <c r="FHD233" s="242"/>
      <c r="FHE233" s="256"/>
      <c r="FHF233" s="257"/>
      <c r="FHH233" s="242"/>
      <c r="FHI233" s="256"/>
      <c r="FHJ233" s="257"/>
      <c r="FHL233" s="242"/>
      <c r="FHM233" s="256"/>
      <c r="FHN233" s="257"/>
      <c r="FHP233" s="242"/>
      <c r="FHQ233" s="256"/>
      <c r="FHR233" s="257"/>
      <c r="FHT233" s="242"/>
      <c r="FHU233" s="256"/>
      <c r="FHV233" s="257"/>
      <c r="FHX233" s="242"/>
      <c r="FHY233" s="256"/>
      <c r="FHZ233" s="257"/>
      <c r="FIB233" s="242"/>
      <c r="FIC233" s="256"/>
      <c r="FID233" s="257"/>
      <c r="FIF233" s="242"/>
      <c r="FIG233" s="256"/>
      <c r="FIH233" s="257"/>
      <c r="FIJ233" s="242"/>
      <c r="FIK233" s="256"/>
      <c r="FIL233" s="257"/>
      <c r="FIN233" s="242"/>
      <c r="FIO233" s="256"/>
      <c r="FIP233" s="257"/>
      <c r="FIR233" s="242"/>
      <c r="FIS233" s="256"/>
      <c r="FIT233" s="257"/>
      <c r="FIV233" s="242"/>
      <c r="FIW233" s="256"/>
      <c r="FIX233" s="257"/>
      <c r="FIZ233" s="242"/>
      <c r="FJA233" s="256"/>
      <c r="FJB233" s="257"/>
      <c r="FJD233" s="242"/>
      <c r="FJE233" s="256"/>
      <c r="FJF233" s="257"/>
      <c r="FJH233" s="242"/>
      <c r="FJI233" s="256"/>
      <c r="FJJ233" s="257"/>
      <c r="FJL233" s="242"/>
      <c r="FJM233" s="256"/>
      <c r="FJN233" s="257"/>
      <c r="FJP233" s="242"/>
      <c r="FJQ233" s="256"/>
      <c r="FJR233" s="257"/>
      <c r="FJT233" s="242"/>
      <c r="FJU233" s="256"/>
      <c r="FJV233" s="257"/>
      <c r="FJX233" s="242"/>
      <c r="FJY233" s="256"/>
      <c r="FJZ233" s="257"/>
      <c r="FKB233" s="242"/>
      <c r="FKC233" s="256"/>
      <c r="FKD233" s="257"/>
      <c r="FKF233" s="242"/>
      <c r="FKG233" s="256"/>
      <c r="FKH233" s="257"/>
      <c r="FKJ233" s="242"/>
      <c r="FKK233" s="256"/>
      <c r="FKL233" s="257"/>
      <c r="FKN233" s="242"/>
      <c r="FKO233" s="256"/>
      <c r="FKP233" s="257"/>
      <c r="FKR233" s="242"/>
      <c r="FKS233" s="256"/>
      <c r="FKT233" s="257"/>
      <c r="FKV233" s="242"/>
      <c r="FKW233" s="256"/>
      <c r="FKX233" s="257"/>
      <c r="FKZ233" s="242"/>
      <c r="FLA233" s="256"/>
      <c r="FLB233" s="257"/>
      <c r="FLD233" s="242"/>
      <c r="FLE233" s="256"/>
      <c r="FLF233" s="257"/>
      <c r="FLH233" s="242"/>
      <c r="FLI233" s="256"/>
      <c r="FLJ233" s="257"/>
      <c r="FLL233" s="242"/>
      <c r="FLM233" s="256"/>
      <c r="FLN233" s="257"/>
      <c r="FLP233" s="242"/>
      <c r="FLQ233" s="256"/>
      <c r="FLR233" s="257"/>
      <c r="FLT233" s="242"/>
      <c r="FLU233" s="256"/>
      <c r="FLV233" s="257"/>
      <c r="FLX233" s="242"/>
      <c r="FLY233" s="256"/>
      <c r="FLZ233" s="257"/>
      <c r="FMB233" s="242"/>
      <c r="FMC233" s="256"/>
      <c r="FMD233" s="257"/>
      <c r="FMF233" s="242"/>
      <c r="FMG233" s="256"/>
      <c r="FMH233" s="257"/>
      <c r="FMJ233" s="242"/>
      <c r="FMK233" s="256"/>
      <c r="FML233" s="257"/>
      <c r="FMN233" s="242"/>
      <c r="FMO233" s="256"/>
      <c r="FMP233" s="257"/>
      <c r="FMR233" s="242"/>
      <c r="FMS233" s="256"/>
      <c r="FMT233" s="257"/>
      <c r="FMV233" s="242"/>
      <c r="FMW233" s="256"/>
      <c r="FMX233" s="257"/>
      <c r="FMZ233" s="242"/>
      <c r="FNA233" s="256"/>
      <c r="FNB233" s="257"/>
      <c r="FND233" s="242"/>
      <c r="FNE233" s="256"/>
      <c r="FNF233" s="257"/>
      <c r="FNH233" s="242"/>
      <c r="FNI233" s="256"/>
      <c r="FNJ233" s="257"/>
      <c r="FNL233" s="242"/>
      <c r="FNM233" s="256"/>
      <c r="FNN233" s="257"/>
      <c r="FNP233" s="242"/>
      <c r="FNQ233" s="256"/>
      <c r="FNR233" s="257"/>
      <c r="FNT233" s="242"/>
      <c r="FNU233" s="256"/>
      <c r="FNV233" s="257"/>
      <c r="FNX233" s="242"/>
      <c r="FNY233" s="256"/>
      <c r="FNZ233" s="257"/>
      <c r="FOB233" s="242"/>
      <c r="FOC233" s="256"/>
      <c r="FOD233" s="257"/>
      <c r="FOF233" s="242"/>
      <c r="FOG233" s="256"/>
      <c r="FOH233" s="257"/>
      <c r="FOJ233" s="242"/>
      <c r="FOK233" s="256"/>
      <c r="FOL233" s="257"/>
      <c r="FON233" s="242"/>
      <c r="FOO233" s="256"/>
      <c r="FOP233" s="257"/>
      <c r="FOR233" s="242"/>
      <c r="FOS233" s="256"/>
      <c r="FOT233" s="257"/>
      <c r="FOV233" s="242"/>
      <c r="FOW233" s="256"/>
      <c r="FOX233" s="257"/>
      <c r="FOZ233" s="242"/>
      <c r="FPA233" s="256"/>
      <c r="FPB233" s="257"/>
      <c r="FPD233" s="242"/>
      <c r="FPE233" s="256"/>
      <c r="FPF233" s="257"/>
      <c r="FPH233" s="242"/>
      <c r="FPI233" s="256"/>
      <c r="FPJ233" s="257"/>
      <c r="FPL233" s="242"/>
      <c r="FPM233" s="256"/>
      <c r="FPN233" s="257"/>
      <c r="FPP233" s="242"/>
      <c r="FPQ233" s="256"/>
      <c r="FPR233" s="257"/>
      <c r="FPT233" s="242"/>
      <c r="FPU233" s="256"/>
      <c r="FPV233" s="257"/>
      <c r="FPX233" s="242"/>
      <c r="FPY233" s="256"/>
      <c r="FPZ233" s="257"/>
      <c r="FQB233" s="242"/>
      <c r="FQC233" s="256"/>
      <c r="FQD233" s="257"/>
      <c r="FQF233" s="242"/>
      <c r="FQG233" s="256"/>
      <c r="FQH233" s="257"/>
      <c r="FQJ233" s="242"/>
      <c r="FQK233" s="256"/>
      <c r="FQL233" s="257"/>
      <c r="FQN233" s="242"/>
      <c r="FQO233" s="256"/>
      <c r="FQP233" s="257"/>
      <c r="FQR233" s="242"/>
      <c r="FQS233" s="256"/>
      <c r="FQT233" s="257"/>
      <c r="FQV233" s="242"/>
      <c r="FQW233" s="256"/>
      <c r="FQX233" s="257"/>
      <c r="FQZ233" s="242"/>
      <c r="FRA233" s="256"/>
      <c r="FRB233" s="257"/>
      <c r="FRD233" s="242"/>
      <c r="FRE233" s="256"/>
      <c r="FRF233" s="257"/>
      <c r="FRH233" s="242"/>
      <c r="FRI233" s="256"/>
      <c r="FRJ233" s="257"/>
      <c r="FRL233" s="242"/>
      <c r="FRM233" s="256"/>
      <c r="FRN233" s="257"/>
      <c r="FRP233" s="242"/>
      <c r="FRQ233" s="256"/>
      <c r="FRR233" s="257"/>
      <c r="FRT233" s="242"/>
      <c r="FRU233" s="256"/>
      <c r="FRV233" s="257"/>
      <c r="FRX233" s="242"/>
      <c r="FRY233" s="256"/>
      <c r="FRZ233" s="257"/>
      <c r="FSB233" s="242"/>
      <c r="FSC233" s="256"/>
      <c r="FSD233" s="257"/>
      <c r="FSF233" s="242"/>
      <c r="FSG233" s="256"/>
      <c r="FSH233" s="257"/>
      <c r="FSJ233" s="242"/>
      <c r="FSK233" s="256"/>
      <c r="FSL233" s="257"/>
      <c r="FSN233" s="242"/>
      <c r="FSO233" s="256"/>
      <c r="FSP233" s="257"/>
      <c r="FSR233" s="242"/>
      <c r="FSS233" s="256"/>
      <c r="FST233" s="257"/>
      <c r="FSV233" s="242"/>
      <c r="FSW233" s="256"/>
      <c r="FSX233" s="257"/>
      <c r="FSZ233" s="242"/>
      <c r="FTA233" s="256"/>
      <c r="FTB233" s="257"/>
      <c r="FTD233" s="242"/>
      <c r="FTE233" s="256"/>
      <c r="FTF233" s="257"/>
      <c r="FTH233" s="242"/>
      <c r="FTI233" s="256"/>
      <c r="FTJ233" s="257"/>
      <c r="FTL233" s="242"/>
      <c r="FTM233" s="256"/>
      <c r="FTN233" s="257"/>
      <c r="FTP233" s="242"/>
      <c r="FTQ233" s="256"/>
      <c r="FTR233" s="257"/>
      <c r="FTT233" s="242"/>
      <c r="FTU233" s="256"/>
      <c r="FTV233" s="257"/>
      <c r="FTX233" s="242"/>
      <c r="FTY233" s="256"/>
      <c r="FTZ233" s="257"/>
      <c r="FUB233" s="242"/>
      <c r="FUC233" s="256"/>
      <c r="FUD233" s="257"/>
      <c r="FUF233" s="242"/>
      <c r="FUG233" s="256"/>
      <c r="FUH233" s="257"/>
      <c r="FUJ233" s="242"/>
      <c r="FUK233" s="256"/>
      <c r="FUL233" s="257"/>
      <c r="FUN233" s="242"/>
      <c r="FUO233" s="256"/>
      <c r="FUP233" s="257"/>
      <c r="FUR233" s="242"/>
      <c r="FUS233" s="256"/>
      <c r="FUT233" s="257"/>
      <c r="FUV233" s="242"/>
      <c r="FUW233" s="256"/>
      <c r="FUX233" s="257"/>
      <c r="FUZ233" s="242"/>
      <c r="FVA233" s="256"/>
      <c r="FVB233" s="257"/>
      <c r="FVD233" s="242"/>
      <c r="FVE233" s="256"/>
      <c r="FVF233" s="257"/>
      <c r="FVH233" s="242"/>
      <c r="FVI233" s="256"/>
      <c r="FVJ233" s="257"/>
      <c r="FVL233" s="242"/>
      <c r="FVM233" s="256"/>
      <c r="FVN233" s="257"/>
      <c r="FVP233" s="242"/>
      <c r="FVQ233" s="256"/>
      <c r="FVR233" s="257"/>
      <c r="FVT233" s="242"/>
      <c r="FVU233" s="256"/>
      <c r="FVV233" s="257"/>
      <c r="FVX233" s="242"/>
      <c r="FVY233" s="256"/>
      <c r="FVZ233" s="257"/>
      <c r="FWB233" s="242"/>
      <c r="FWC233" s="256"/>
      <c r="FWD233" s="257"/>
      <c r="FWF233" s="242"/>
      <c r="FWG233" s="256"/>
      <c r="FWH233" s="257"/>
      <c r="FWJ233" s="242"/>
      <c r="FWK233" s="256"/>
      <c r="FWL233" s="257"/>
      <c r="FWN233" s="242"/>
      <c r="FWO233" s="256"/>
      <c r="FWP233" s="257"/>
      <c r="FWR233" s="242"/>
      <c r="FWS233" s="256"/>
      <c r="FWT233" s="257"/>
      <c r="FWV233" s="242"/>
      <c r="FWW233" s="256"/>
      <c r="FWX233" s="257"/>
      <c r="FWZ233" s="242"/>
      <c r="FXA233" s="256"/>
      <c r="FXB233" s="257"/>
      <c r="FXD233" s="242"/>
      <c r="FXE233" s="256"/>
      <c r="FXF233" s="257"/>
      <c r="FXH233" s="242"/>
      <c r="FXI233" s="256"/>
      <c r="FXJ233" s="257"/>
      <c r="FXL233" s="242"/>
      <c r="FXM233" s="256"/>
      <c r="FXN233" s="257"/>
      <c r="FXP233" s="242"/>
      <c r="FXQ233" s="256"/>
      <c r="FXR233" s="257"/>
      <c r="FXT233" s="242"/>
      <c r="FXU233" s="256"/>
      <c r="FXV233" s="257"/>
      <c r="FXX233" s="242"/>
      <c r="FXY233" s="256"/>
      <c r="FXZ233" s="257"/>
      <c r="FYB233" s="242"/>
      <c r="FYC233" s="256"/>
      <c r="FYD233" s="257"/>
      <c r="FYF233" s="242"/>
      <c r="FYG233" s="256"/>
      <c r="FYH233" s="257"/>
      <c r="FYJ233" s="242"/>
      <c r="FYK233" s="256"/>
      <c r="FYL233" s="257"/>
      <c r="FYN233" s="242"/>
      <c r="FYO233" s="256"/>
      <c r="FYP233" s="257"/>
      <c r="FYR233" s="242"/>
      <c r="FYS233" s="256"/>
      <c r="FYT233" s="257"/>
      <c r="FYV233" s="242"/>
      <c r="FYW233" s="256"/>
      <c r="FYX233" s="257"/>
      <c r="FYZ233" s="242"/>
      <c r="FZA233" s="256"/>
      <c r="FZB233" s="257"/>
      <c r="FZD233" s="242"/>
      <c r="FZE233" s="256"/>
      <c r="FZF233" s="257"/>
      <c r="FZH233" s="242"/>
      <c r="FZI233" s="256"/>
      <c r="FZJ233" s="257"/>
      <c r="FZL233" s="242"/>
      <c r="FZM233" s="256"/>
      <c r="FZN233" s="257"/>
      <c r="FZP233" s="242"/>
      <c r="FZQ233" s="256"/>
      <c r="FZR233" s="257"/>
      <c r="FZT233" s="242"/>
      <c r="FZU233" s="256"/>
      <c r="FZV233" s="257"/>
      <c r="FZX233" s="242"/>
      <c r="FZY233" s="256"/>
      <c r="FZZ233" s="257"/>
      <c r="GAB233" s="242"/>
      <c r="GAC233" s="256"/>
      <c r="GAD233" s="257"/>
      <c r="GAF233" s="242"/>
      <c r="GAG233" s="256"/>
      <c r="GAH233" s="257"/>
      <c r="GAJ233" s="242"/>
      <c r="GAK233" s="256"/>
      <c r="GAL233" s="257"/>
      <c r="GAN233" s="242"/>
      <c r="GAO233" s="256"/>
      <c r="GAP233" s="257"/>
      <c r="GAR233" s="242"/>
      <c r="GAS233" s="256"/>
      <c r="GAT233" s="257"/>
      <c r="GAV233" s="242"/>
      <c r="GAW233" s="256"/>
      <c r="GAX233" s="257"/>
      <c r="GAZ233" s="242"/>
      <c r="GBA233" s="256"/>
      <c r="GBB233" s="257"/>
      <c r="GBD233" s="242"/>
      <c r="GBE233" s="256"/>
      <c r="GBF233" s="257"/>
      <c r="GBH233" s="242"/>
      <c r="GBI233" s="256"/>
      <c r="GBJ233" s="257"/>
      <c r="GBL233" s="242"/>
      <c r="GBM233" s="256"/>
      <c r="GBN233" s="257"/>
      <c r="GBP233" s="242"/>
      <c r="GBQ233" s="256"/>
      <c r="GBR233" s="257"/>
      <c r="GBT233" s="242"/>
      <c r="GBU233" s="256"/>
      <c r="GBV233" s="257"/>
      <c r="GBX233" s="242"/>
      <c r="GBY233" s="256"/>
      <c r="GBZ233" s="257"/>
      <c r="GCB233" s="242"/>
      <c r="GCC233" s="256"/>
      <c r="GCD233" s="257"/>
      <c r="GCF233" s="242"/>
      <c r="GCG233" s="256"/>
      <c r="GCH233" s="257"/>
      <c r="GCJ233" s="242"/>
      <c r="GCK233" s="256"/>
      <c r="GCL233" s="257"/>
      <c r="GCN233" s="242"/>
      <c r="GCO233" s="256"/>
      <c r="GCP233" s="257"/>
      <c r="GCR233" s="242"/>
      <c r="GCS233" s="256"/>
      <c r="GCT233" s="257"/>
      <c r="GCV233" s="242"/>
      <c r="GCW233" s="256"/>
      <c r="GCX233" s="257"/>
      <c r="GCZ233" s="242"/>
      <c r="GDA233" s="256"/>
      <c r="GDB233" s="257"/>
      <c r="GDD233" s="242"/>
      <c r="GDE233" s="256"/>
      <c r="GDF233" s="257"/>
      <c r="GDH233" s="242"/>
      <c r="GDI233" s="256"/>
      <c r="GDJ233" s="257"/>
      <c r="GDL233" s="242"/>
      <c r="GDM233" s="256"/>
      <c r="GDN233" s="257"/>
      <c r="GDP233" s="242"/>
      <c r="GDQ233" s="256"/>
      <c r="GDR233" s="257"/>
      <c r="GDT233" s="242"/>
      <c r="GDU233" s="256"/>
      <c r="GDV233" s="257"/>
      <c r="GDX233" s="242"/>
      <c r="GDY233" s="256"/>
      <c r="GDZ233" s="257"/>
      <c r="GEB233" s="242"/>
      <c r="GEC233" s="256"/>
      <c r="GED233" s="257"/>
      <c r="GEF233" s="242"/>
      <c r="GEG233" s="256"/>
      <c r="GEH233" s="257"/>
      <c r="GEJ233" s="242"/>
      <c r="GEK233" s="256"/>
      <c r="GEL233" s="257"/>
      <c r="GEN233" s="242"/>
      <c r="GEO233" s="256"/>
      <c r="GEP233" s="257"/>
      <c r="GER233" s="242"/>
      <c r="GES233" s="256"/>
      <c r="GET233" s="257"/>
      <c r="GEV233" s="242"/>
      <c r="GEW233" s="256"/>
      <c r="GEX233" s="257"/>
      <c r="GEZ233" s="242"/>
      <c r="GFA233" s="256"/>
      <c r="GFB233" s="257"/>
      <c r="GFD233" s="242"/>
      <c r="GFE233" s="256"/>
      <c r="GFF233" s="257"/>
      <c r="GFH233" s="242"/>
      <c r="GFI233" s="256"/>
      <c r="GFJ233" s="257"/>
      <c r="GFL233" s="242"/>
      <c r="GFM233" s="256"/>
      <c r="GFN233" s="257"/>
      <c r="GFP233" s="242"/>
      <c r="GFQ233" s="256"/>
      <c r="GFR233" s="257"/>
      <c r="GFT233" s="242"/>
      <c r="GFU233" s="256"/>
      <c r="GFV233" s="257"/>
      <c r="GFX233" s="242"/>
      <c r="GFY233" s="256"/>
      <c r="GFZ233" s="257"/>
      <c r="GGB233" s="242"/>
      <c r="GGC233" s="256"/>
      <c r="GGD233" s="257"/>
      <c r="GGF233" s="242"/>
      <c r="GGG233" s="256"/>
      <c r="GGH233" s="257"/>
      <c r="GGJ233" s="242"/>
      <c r="GGK233" s="256"/>
      <c r="GGL233" s="257"/>
      <c r="GGN233" s="242"/>
      <c r="GGO233" s="256"/>
      <c r="GGP233" s="257"/>
      <c r="GGR233" s="242"/>
      <c r="GGS233" s="256"/>
      <c r="GGT233" s="257"/>
      <c r="GGV233" s="242"/>
      <c r="GGW233" s="256"/>
      <c r="GGX233" s="257"/>
      <c r="GGZ233" s="242"/>
      <c r="GHA233" s="256"/>
      <c r="GHB233" s="257"/>
      <c r="GHD233" s="242"/>
      <c r="GHE233" s="256"/>
      <c r="GHF233" s="257"/>
      <c r="GHH233" s="242"/>
      <c r="GHI233" s="256"/>
      <c r="GHJ233" s="257"/>
      <c r="GHL233" s="242"/>
      <c r="GHM233" s="256"/>
      <c r="GHN233" s="257"/>
      <c r="GHP233" s="242"/>
      <c r="GHQ233" s="256"/>
      <c r="GHR233" s="257"/>
      <c r="GHT233" s="242"/>
      <c r="GHU233" s="256"/>
      <c r="GHV233" s="257"/>
      <c r="GHX233" s="242"/>
      <c r="GHY233" s="256"/>
      <c r="GHZ233" s="257"/>
      <c r="GIB233" s="242"/>
      <c r="GIC233" s="256"/>
      <c r="GID233" s="257"/>
      <c r="GIF233" s="242"/>
      <c r="GIG233" s="256"/>
      <c r="GIH233" s="257"/>
      <c r="GIJ233" s="242"/>
      <c r="GIK233" s="256"/>
      <c r="GIL233" s="257"/>
      <c r="GIN233" s="242"/>
      <c r="GIO233" s="256"/>
      <c r="GIP233" s="257"/>
      <c r="GIR233" s="242"/>
      <c r="GIS233" s="256"/>
      <c r="GIT233" s="257"/>
      <c r="GIV233" s="242"/>
      <c r="GIW233" s="256"/>
      <c r="GIX233" s="257"/>
      <c r="GIZ233" s="242"/>
      <c r="GJA233" s="256"/>
      <c r="GJB233" s="257"/>
      <c r="GJD233" s="242"/>
      <c r="GJE233" s="256"/>
      <c r="GJF233" s="257"/>
      <c r="GJH233" s="242"/>
      <c r="GJI233" s="256"/>
      <c r="GJJ233" s="257"/>
      <c r="GJL233" s="242"/>
      <c r="GJM233" s="256"/>
      <c r="GJN233" s="257"/>
      <c r="GJP233" s="242"/>
      <c r="GJQ233" s="256"/>
      <c r="GJR233" s="257"/>
      <c r="GJT233" s="242"/>
      <c r="GJU233" s="256"/>
      <c r="GJV233" s="257"/>
      <c r="GJX233" s="242"/>
      <c r="GJY233" s="256"/>
      <c r="GJZ233" s="257"/>
      <c r="GKB233" s="242"/>
      <c r="GKC233" s="256"/>
      <c r="GKD233" s="257"/>
      <c r="GKF233" s="242"/>
      <c r="GKG233" s="256"/>
      <c r="GKH233" s="257"/>
      <c r="GKJ233" s="242"/>
      <c r="GKK233" s="256"/>
      <c r="GKL233" s="257"/>
      <c r="GKN233" s="242"/>
      <c r="GKO233" s="256"/>
      <c r="GKP233" s="257"/>
      <c r="GKR233" s="242"/>
      <c r="GKS233" s="256"/>
      <c r="GKT233" s="257"/>
      <c r="GKV233" s="242"/>
      <c r="GKW233" s="256"/>
      <c r="GKX233" s="257"/>
      <c r="GKZ233" s="242"/>
      <c r="GLA233" s="256"/>
      <c r="GLB233" s="257"/>
      <c r="GLD233" s="242"/>
      <c r="GLE233" s="256"/>
      <c r="GLF233" s="257"/>
      <c r="GLH233" s="242"/>
      <c r="GLI233" s="256"/>
      <c r="GLJ233" s="257"/>
      <c r="GLL233" s="242"/>
      <c r="GLM233" s="256"/>
      <c r="GLN233" s="257"/>
      <c r="GLP233" s="242"/>
      <c r="GLQ233" s="256"/>
      <c r="GLR233" s="257"/>
      <c r="GLT233" s="242"/>
      <c r="GLU233" s="256"/>
      <c r="GLV233" s="257"/>
      <c r="GLX233" s="242"/>
      <c r="GLY233" s="256"/>
      <c r="GLZ233" s="257"/>
      <c r="GMB233" s="242"/>
      <c r="GMC233" s="256"/>
      <c r="GMD233" s="257"/>
      <c r="GMF233" s="242"/>
      <c r="GMG233" s="256"/>
      <c r="GMH233" s="257"/>
      <c r="GMJ233" s="242"/>
      <c r="GMK233" s="256"/>
      <c r="GML233" s="257"/>
      <c r="GMN233" s="242"/>
      <c r="GMO233" s="256"/>
      <c r="GMP233" s="257"/>
      <c r="GMR233" s="242"/>
      <c r="GMS233" s="256"/>
      <c r="GMT233" s="257"/>
      <c r="GMV233" s="242"/>
      <c r="GMW233" s="256"/>
      <c r="GMX233" s="257"/>
      <c r="GMZ233" s="242"/>
      <c r="GNA233" s="256"/>
      <c r="GNB233" s="257"/>
      <c r="GND233" s="242"/>
      <c r="GNE233" s="256"/>
      <c r="GNF233" s="257"/>
      <c r="GNH233" s="242"/>
      <c r="GNI233" s="256"/>
      <c r="GNJ233" s="257"/>
      <c r="GNL233" s="242"/>
      <c r="GNM233" s="256"/>
      <c r="GNN233" s="257"/>
      <c r="GNP233" s="242"/>
      <c r="GNQ233" s="256"/>
      <c r="GNR233" s="257"/>
      <c r="GNT233" s="242"/>
      <c r="GNU233" s="256"/>
      <c r="GNV233" s="257"/>
      <c r="GNX233" s="242"/>
      <c r="GNY233" s="256"/>
      <c r="GNZ233" s="257"/>
      <c r="GOB233" s="242"/>
      <c r="GOC233" s="256"/>
      <c r="GOD233" s="257"/>
      <c r="GOF233" s="242"/>
      <c r="GOG233" s="256"/>
      <c r="GOH233" s="257"/>
      <c r="GOJ233" s="242"/>
      <c r="GOK233" s="256"/>
      <c r="GOL233" s="257"/>
      <c r="GON233" s="242"/>
      <c r="GOO233" s="256"/>
      <c r="GOP233" s="257"/>
      <c r="GOR233" s="242"/>
      <c r="GOS233" s="256"/>
      <c r="GOT233" s="257"/>
      <c r="GOV233" s="242"/>
      <c r="GOW233" s="256"/>
      <c r="GOX233" s="257"/>
      <c r="GOZ233" s="242"/>
      <c r="GPA233" s="256"/>
      <c r="GPB233" s="257"/>
      <c r="GPD233" s="242"/>
      <c r="GPE233" s="256"/>
      <c r="GPF233" s="257"/>
      <c r="GPH233" s="242"/>
      <c r="GPI233" s="256"/>
      <c r="GPJ233" s="257"/>
      <c r="GPL233" s="242"/>
      <c r="GPM233" s="256"/>
      <c r="GPN233" s="257"/>
      <c r="GPP233" s="242"/>
      <c r="GPQ233" s="256"/>
      <c r="GPR233" s="257"/>
      <c r="GPT233" s="242"/>
      <c r="GPU233" s="256"/>
      <c r="GPV233" s="257"/>
      <c r="GPX233" s="242"/>
      <c r="GPY233" s="256"/>
      <c r="GPZ233" s="257"/>
      <c r="GQB233" s="242"/>
      <c r="GQC233" s="256"/>
      <c r="GQD233" s="257"/>
      <c r="GQF233" s="242"/>
      <c r="GQG233" s="256"/>
      <c r="GQH233" s="257"/>
      <c r="GQJ233" s="242"/>
      <c r="GQK233" s="256"/>
      <c r="GQL233" s="257"/>
      <c r="GQN233" s="242"/>
      <c r="GQO233" s="256"/>
      <c r="GQP233" s="257"/>
      <c r="GQR233" s="242"/>
      <c r="GQS233" s="256"/>
      <c r="GQT233" s="257"/>
      <c r="GQV233" s="242"/>
      <c r="GQW233" s="256"/>
      <c r="GQX233" s="257"/>
      <c r="GQZ233" s="242"/>
      <c r="GRA233" s="256"/>
      <c r="GRB233" s="257"/>
      <c r="GRD233" s="242"/>
      <c r="GRE233" s="256"/>
      <c r="GRF233" s="257"/>
      <c r="GRH233" s="242"/>
      <c r="GRI233" s="256"/>
      <c r="GRJ233" s="257"/>
      <c r="GRL233" s="242"/>
      <c r="GRM233" s="256"/>
      <c r="GRN233" s="257"/>
      <c r="GRP233" s="242"/>
      <c r="GRQ233" s="256"/>
      <c r="GRR233" s="257"/>
      <c r="GRT233" s="242"/>
      <c r="GRU233" s="256"/>
      <c r="GRV233" s="257"/>
      <c r="GRX233" s="242"/>
      <c r="GRY233" s="256"/>
      <c r="GRZ233" s="257"/>
      <c r="GSB233" s="242"/>
      <c r="GSC233" s="256"/>
      <c r="GSD233" s="257"/>
      <c r="GSF233" s="242"/>
      <c r="GSG233" s="256"/>
      <c r="GSH233" s="257"/>
      <c r="GSJ233" s="242"/>
      <c r="GSK233" s="256"/>
      <c r="GSL233" s="257"/>
      <c r="GSN233" s="242"/>
      <c r="GSO233" s="256"/>
      <c r="GSP233" s="257"/>
      <c r="GSR233" s="242"/>
      <c r="GSS233" s="256"/>
      <c r="GST233" s="257"/>
      <c r="GSV233" s="242"/>
      <c r="GSW233" s="256"/>
      <c r="GSX233" s="257"/>
      <c r="GSZ233" s="242"/>
      <c r="GTA233" s="256"/>
      <c r="GTB233" s="257"/>
      <c r="GTD233" s="242"/>
      <c r="GTE233" s="256"/>
      <c r="GTF233" s="257"/>
      <c r="GTH233" s="242"/>
      <c r="GTI233" s="256"/>
      <c r="GTJ233" s="257"/>
      <c r="GTL233" s="242"/>
      <c r="GTM233" s="256"/>
      <c r="GTN233" s="257"/>
      <c r="GTP233" s="242"/>
      <c r="GTQ233" s="256"/>
      <c r="GTR233" s="257"/>
      <c r="GTT233" s="242"/>
      <c r="GTU233" s="256"/>
      <c r="GTV233" s="257"/>
      <c r="GTX233" s="242"/>
      <c r="GTY233" s="256"/>
      <c r="GTZ233" s="257"/>
      <c r="GUB233" s="242"/>
      <c r="GUC233" s="256"/>
      <c r="GUD233" s="257"/>
      <c r="GUF233" s="242"/>
      <c r="GUG233" s="256"/>
      <c r="GUH233" s="257"/>
      <c r="GUJ233" s="242"/>
      <c r="GUK233" s="256"/>
      <c r="GUL233" s="257"/>
      <c r="GUN233" s="242"/>
      <c r="GUO233" s="256"/>
      <c r="GUP233" s="257"/>
      <c r="GUR233" s="242"/>
      <c r="GUS233" s="256"/>
      <c r="GUT233" s="257"/>
      <c r="GUV233" s="242"/>
      <c r="GUW233" s="256"/>
      <c r="GUX233" s="257"/>
      <c r="GUZ233" s="242"/>
      <c r="GVA233" s="256"/>
      <c r="GVB233" s="257"/>
      <c r="GVD233" s="242"/>
      <c r="GVE233" s="256"/>
      <c r="GVF233" s="257"/>
      <c r="GVH233" s="242"/>
      <c r="GVI233" s="256"/>
      <c r="GVJ233" s="257"/>
      <c r="GVL233" s="242"/>
      <c r="GVM233" s="256"/>
      <c r="GVN233" s="257"/>
      <c r="GVP233" s="242"/>
      <c r="GVQ233" s="256"/>
      <c r="GVR233" s="257"/>
      <c r="GVT233" s="242"/>
      <c r="GVU233" s="256"/>
      <c r="GVV233" s="257"/>
      <c r="GVX233" s="242"/>
      <c r="GVY233" s="256"/>
      <c r="GVZ233" s="257"/>
      <c r="GWB233" s="242"/>
      <c r="GWC233" s="256"/>
      <c r="GWD233" s="257"/>
      <c r="GWF233" s="242"/>
      <c r="GWG233" s="256"/>
      <c r="GWH233" s="257"/>
      <c r="GWJ233" s="242"/>
      <c r="GWK233" s="256"/>
      <c r="GWL233" s="257"/>
      <c r="GWN233" s="242"/>
      <c r="GWO233" s="256"/>
      <c r="GWP233" s="257"/>
      <c r="GWR233" s="242"/>
      <c r="GWS233" s="256"/>
      <c r="GWT233" s="257"/>
      <c r="GWV233" s="242"/>
      <c r="GWW233" s="256"/>
      <c r="GWX233" s="257"/>
      <c r="GWZ233" s="242"/>
      <c r="GXA233" s="256"/>
      <c r="GXB233" s="257"/>
      <c r="GXD233" s="242"/>
      <c r="GXE233" s="256"/>
      <c r="GXF233" s="257"/>
      <c r="GXH233" s="242"/>
      <c r="GXI233" s="256"/>
      <c r="GXJ233" s="257"/>
      <c r="GXL233" s="242"/>
      <c r="GXM233" s="256"/>
      <c r="GXN233" s="257"/>
      <c r="GXP233" s="242"/>
      <c r="GXQ233" s="256"/>
      <c r="GXR233" s="257"/>
      <c r="GXT233" s="242"/>
      <c r="GXU233" s="256"/>
      <c r="GXV233" s="257"/>
      <c r="GXX233" s="242"/>
      <c r="GXY233" s="256"/>
      <c r="GXZ233" s="257"/>
      <c r="GYB233" s="242"/>
      <c r="GYC233" s="256"/>
      <c r="GYD233" s="257"/>
      <c r="GYF233" s="242"/>
      <c r="GYG233" s="256"/>
      <c r="GYH233" s="257"/>
      <c r="GYJ233" s="242"/>
      <c r="GYK233" s="256"/>
      <c r="GYL233" s="257"/>
      <c r="GYN233" s="242"/>
      <c r="GYO233" s="256"/>
      <c r="GYP233" s="257"/>
      <c r="GYR233" s="242"/>
      <c r="GYS233" s="256"/>
      <c r="GYT233" s="257"/>
      <c r="GYV233" s="242"/>
      <c r="GYW233" s="256"/>
      <c r="GYX233" s="257"/>
      <c r="GYZ233" s="242"/>
      <c r="GZA233" s="256"/>
      <c r="GZB233" s="257"/>
      <c r="GZD233" s="242"/>
      <c r="GZE233" s="256"/>
      <c r="GZF233" s="257"/>
      <c r="GZH233" s="242"/>
      <c r="GZI233" s="256"/>
      <c r="GZJ233" s="257"/>
      <c r="GZL233" s="242"/>
      <c r="GZM233" s="256"/>
      <c r="GZN233" s="257"/>
      <c r="GZP233" s="242"/>
      <c r="GZQ233" s="256"/>
      <c r="GZR233" s="257"/>
      <c r="GZT233" s="242"/>
      <c r="GZU233" s="256"/>
      <c r="GZV233" s="257"/>
      <c r="GZX233" s="242"/>
      <c r="GZY233" s="256"/>
      <c r="GZZ233" s="257"/>
      <c r="HAB233" s="242"/>
      <c r="HAC233" s="256"/>
      <c r="HAD233" s="257"/>
      <c r="HAF233" s="242"/>
      <c r="HAG233" s="256"/>
      <c r="HAH233" s="257"/>
      <c r="HAJ233" s="242"/>
      <c r="HAK233" s="256"/>
      <c r="HAL233" s="257"/>
      <c r="HAN233" s="242"/>
      <c r="HAO233" s="256"/>
      <c r="HAP233" s="257"/>
      <c r="HAR233" s="242"/>
      <c r="HAS233" s="256"/>
      <c r="HAT233" s="257"/>
      <c r="HAV233" s="242"/>
      <c r="HAW233" s="256"/>
      <c r="HAX233" s="257"/>
      <c r="HAZ233" s="242"/>
      <c r="HBA233" s="256"/>
      <c r="HBB233" s="257"/>
      <c r="HBD233" s="242"/>
      <c r="HBE233" s="256"/>
      <c r="HBF233" s="257"/>
      <c r="HBH233" s="242"/>
      <c r="HBI233" s="256"/>
      <c r="HBJ233" s="257"/>
      <c r="HBL233" s="242"/>
      <c r="HBM233" s="256"/>
      <c r="HBN233" s="257"/>
      <c r="HBP233" s="242"/>
      <c r="HBQ233" s="256"/>
      <c r="HBR233" s="257"/>
      <c r="HBT233" s="242"/>
      <c r="HBU233" s="256"/>
      <c r="HBV233" s="257"/>
      <c r="HBX233" s="242"/>
      <c r="HBY233" s="256"/>
      <c r="HBZ233" s="257"/>
      <c r="HCB233" s="242"/>
      <c r="HCC233" s="256"/>
      <c r="HCD233" s="257"/>
      <c r="HCF233" s="242"/>
      <c r="HCG233" s="256"/>
      <c r="HCH233" s="257"/>
      <c r="HCJ233" s="242"/>
      <c r="HCK233" s="256"/>
      <c r="HCL233" s="257"/>
      <c r="HCN233" s="242"/>
      <c r="HCO233" s="256"/>
      <c r="HCP233" s="257"/>
      <c r="HCR233" s="242"/>
      <c r="HCS233" s="256"/>
      <c r="HCT233" s="257"/>
      <c r="HCV233" s="242"/>
      <c r="HCW233" s="256"/>
      <c r="HCX233" s="257"/>
      <c r="HCZ233" s="242"/>
      <c r="HDA233" s="256"/>
      <c r="HDB233" s="257"/>
      <c r="HDD233" s="242"/>
      <c r="HDE233" s="256"/>
      <c r="HDF233" s="257"/>
      <c r="HDH233" s="242"/>
      <c r="HDI233" s="256"/>
      <c r="HDJ233" s="257"/>
      <c r="HDL233" s="242"/>
      <c r="HDM233" s="256"/>
      <c r="HDN233" s="257"/>
      <c r="HDP233" s="242"/>
      <c r="HDQ233" s="256"/>
      <c r="HDR233" s="257"/>
      <c r="HDT233" s="242"/>
      <c r="HDU233" s="256"/>
      <c r="HDV233" s="257"/>
      <c r="HDX233" s="242"/>
      <c r="HDY233" s="256"/>
      <c r="HDZ233" s="257"/>
      <c r="HEB233" s="242"/>
      <c r="HEC233" s="256"/>
      <c r="HED233" s="257"/>
      <c r="HEF233" s="242"/>
      <c r="HEG233" s="256"/>
      <c r="HEH233" s="257"/>
      <c r="HEJ233" s="242"/>
      <c r="HEK233" s="256"/>
      <c r="HEL233" s="257"/>
      <c r="HEN233" s="242"/>
      <c r="HEO233" s="256"/>
      <c r="HEP233" s="257"/>
      <c r="HER233" s="242"/>
      <c r="HES233" s="256"/>
      <c r="HET233" s="257"/>
      <c r="HEV233" s="242"/>
      <c r="HEW233" s="256"/>
      <c r="HEX233" s="257"/>
      <c r="HEZ233" s="242"/>
      <c r="HFA233" s="256"/>
      <c r="HFB233" s="257"/>
      <c r="HFD233" s="242"/>
      <c r="HFE233" s="256"/>
      <c r="HFF233" s="257"/>
      <c r="HFH233" s="242"/>
      <c r="HFI233" s="256"/>
      <c r="HFJ233" s="257"/>
      <c r="HFL233" s="242"/>
      <c r="HFM233" s="256"/>
      <c r="HFN233" s="257"/>
      <c r="HFP233" s="242"/>
      <c r="HFQ233" s="256"/>
      <c r="HFR233" s="257"/>
      <c r="HFT233" s="242"/>
      <c r="HFU233" s="256"/>
      <c r="HFV233" s="257"/>
      <c r="HFX233" s="242"/>
      <c r="HFY233" s="256"/>
      <c r="HFZ233" s="257"/>
      <c r="HGB233" s="242"/>
      <c r="HGC233" s="256"/>
      <c r="HGD233" s="257"/>
      <c r="HGF233" s="242"/>
      <c r="HGG233" s="256"/>
      <c r="HGH233" s="257"/>
      <c r="HGJ233" s="242"/>
      <c r="HGK233" s="256"/>
      <c r="HGL233" s="257"/>
      <c r="HGN233" s="242"/>
      <c r="HGO233" s="256"/>
      <c r="HGP233" s="257"/>
      <c r="HGR233" s="242"/>
      <c r="HGS233" s="256"/>
      <c r="HGT233" s="257"/>
      <c r="HGV233" s="242"/>
      <c r="HGW233" s="256"/>
      <c r="HGX233" s="257"/>
      <c r="HGZ233" s="242"/>
      <c r="HHA233" s="256"/>
      <c r="HHB233" s="257"/>
      <c r="HHD233" s="242"/>
      <c r="HHE233" s="256"/>
      <c r="HHF233" s="257"/>
      <c r="HHH233" s="242"/>
      <c r="HHI233" s="256"/>
      <c r="HHJ233" s="257"/>
      <c r="HHL233" s="242"/>
      <c r="HHM233" s="256"/>
      <c r="HHN233" s="257"/>
      <c r="HHP233" s="242"/>
      <c r="HHQ233" s="256"/>
      <c r="HHR233" s="257"/>
      <c r="HHT233" s="242"/>
      <c r="HHU233" s="256"/>
      <c r="HHV233" s="257"/>
      <c r="HHX233" s="242"/>
      <c r="HHY233" s="256"/>
      <c r="HHZ233" s="257"/>
      <c r="HIB233" s="242"/>
      <c r="HIC233" s="256"/>
      <c r="HID233" s="257"/>
      <c r="HIF233" s="242"/>
      <c r="HIG233" s="256"/>
      <c r="HIH233" s="257"/>
      <c r="HIJ233" s="242"/>
      <c r="HIK233" s="256"/>
      <c r="HIL233" s="257"/>
      <c r="HIN233" s="242"/>
      <c r="HIO233" s="256"/>
      <c r="HIP233" s="257"/>
      <c r="HIR233" s="242"/>
      <c r="HIS233" s="256"/>
      <c r="HIT233" s="257"/>
      <c r="HIV233" s="242"/>
      <c r="HIW233" s="256"/>
      <c r="HIX233" s="257"/>
      <c r="HIZ233" s="242"/>
      <c r="HJA233" s="256"/>
      <c r="HJB233" s="257"/>
      <c r="HJD233" s="242"/>
      <c r="HJE233" s="256"/>
      <c r="HJF233" s="257"/>
      <c r="HJH233" s="242"/>
      <c r="HJI233" s="256"/>
      <c r="HJJ233" s="257"/>
      <c r="HJL233" s="242"/>
      <c r="HJM233" s="256"/>
      <c r="HJN233" s="257"/>
      <c r="HJP233" s="242"/>
      <c r="HJQ233" s="256"/>
      <c r="HJR233" s="257"/>
      <c r="HJT233" s="242"/>
      <c r="HJU233" s="256"/>
      <c r="HJV233" s="257"/>
      <c r="HJX233" s="242"/>
      <c r="HJY233" s="256"/>
      <c r="HJZ233" s="257"/>
      <c r="HKB233" s="242"/>
      <c r="HKC233" s="256"/>
      <c r="HKD233" s="257"/>
      <c r="HKF233" s="242"/>
      <c r="HKG233" s="256"/>
      <c r="HKH233" s="257"/>
      <c r="HKJ233" s="242"/>
      <c r="HKK233" s="256"/>
      <c r="HKL233" s="257"/>
      <c r="HKN233" s="242"/>
      <c r="HKO233" s="256"/>
      <c r="HKP233" s="257"/>
      <c r="HKR233" s="242"/>
      <c r="HKS233" s="256"/>
      <c r="HKT233" s="257"/>
      <c r="HKV233" s="242"/>
      <c r="HKW233" s="256"/>
      <c r="HKX233" s="257"/>
      <c r="HKZ233" s="242"/>
      <c r="HLA233" s="256"/>
      <c r="HLB233" s="257"/>
      <c r="HLD233" s="242"/>
      <c r="HLE233" s="256"/>
      <c r="HLF233" s="257"/>
      <c r="HLH233" s="242"/>
      <c r="HLI233" s="256"/>
      <c r="HLJ233" s="257"/>
      <c r="HLL233" s="242"/>
      <c r="HLM233" s="256"/>
      <c r="HLN233" s="257"/>
      <c r="HLP233" s="242"/>
      <c r="HLQ233" s="256"/>
      <c r="HLR233" s="257"/>
      <c r="HLT233" s="242"/>
      <c r="HLU233" s="256"/>
      <c r="HLV233" s="257"/>
      <c r="HLX233" s="242"/>
      <c r="HLY233" s="256"/>
      <c r="HLZ233" s="257"/>
      <c r="HMB233" s="242"/>
      <c r="HMC233" s="256"/>
      <c r="HMD233" s="257"/>
      <c r="HMF233" s="242"/>
      <c r="HMG233" s="256"/>
      <c r="HMH233" s="257"/>
      <c r="HMJ233" s="242"/>
      <c r="HMK233" s="256"/>
      <c r="HML233" s="257"/>
      <c r="HMN233" s="242"/>
      <c r="HMO233" s="256"/>
      <c r="HMP233" s="257"/>
      <c r="HMR233" s="242"/>
      <c r="HMS233" s="256"/>
      <c r="HMT233" s="257"/>
      <c r="HMV233" s="242"/>
      <c r="HMW233" s="256"/>
      <c r="HMX233" s="257"/>
      <c r="HMZ233" s="242"/>
      <c r="HNA233" s="256"/>
      <c r="HNB233" s="257"/>
      <c r="HND233" s="242"/>
      <c r="HNE233" s="256"/>
      <c r="HNF233" s="257"/>
      <c r="HNH233" s="242"/>
      <c r="HNI233" s="256"/>
      <c r="HNJ233" s="257"/>
      <c r="HNL233" s="242"/>
      <c r="HNM233" s="256"/>
      <c r="HNN233" s="257"/>
      <c r="HNP233" s="242"/>
      <c r="HNQ233" s="256"/>
      <c r="HNR233" s="257"/>
      <c r="HNT233" s="242"/>
      <c r="HNU233" s="256"/>
      <c r="HNV233" s="257"/>
      <c r="HNX233" s="242"/>
      <c r="HNY233" s="256"/>
      <c r="HNZ233" s="257"/>
      <c r="HOB233" s="242"/>
      <c r="HOC233" s="256"/>
      <c r="HOD233" s="257"/>
      <c r="HOF233" s="242"/>
      <c r="HOG233" s="256"/>
      <c r="HOH233" s="257"/>
      <c r="HOJ233" s="242"/>
      <c r="HOK233" s="256"/>
      <c r="HOL233" s="257"/>
      <c r="HON233" s="242"/>
      <c r="HOO233" s="256"/>
      <c r="HOP233" s="257"/>
      <c r="HOR233" s="242"/>
      <c r="HOS233" s="256"/>
      <c r="HOT233" s="257"/>
      <c r="HOV233" s="242"/>
      <c r="HOW233" s="256"/>
      <c r="HOX233" s="257"/>
      <c r="HOZ233" s="242"/>
      <c r="HPA233" s="256"/>
      <c r="HPB233" s="257"/>
      <c r="HPD233" s="242"/>
      <c r="HPE233" s="256"/>
      <c r="HPF233" s="257"/>
      <c r="HPH233" s="242"/>
      <c r="HPI233" s="256"/>
      <c r="HPJ233" s="257"/>
      <c r="HPL233" s="242"/>
      <c r="HPM233" s="256"/>
      <c r="HPN233" s="257"/>
      <c r="HPP233" s="242"/>
      <c r="HPQ233" s="256"/>
      <c r="HPR233" s="257"/>
      <c r="HPT233" s="242"/>
      <c r="HPU233" s="256"/>
      <c r="HPV233" s="257"/>
      <c r="HPX233" s="242"/>
      <c r="HPY233" s="256"/>
      <c r="HPZ233" s="257"/>
      <c r="HQB233" s="242"/>
      <c r="HQC233" s="256"/>
      <c r="HQD233" s="257"/>
      <c r="HQF233" s="242"/>
      <c r="HQG233" s="256"/>
      <c r="HQH233" s="257"/>
      <c r="HQJ233" s="242"/>
      <c r="HQK233" s="256"/>
      <c r="HQL233" s="257"/>
      <c r="HQN233" s="242"/>
      <c r="HQO233" s="256"/>
      <c r="HQP233" s="257"/>
      <c r="HQR233" s="242"/>
      <c r="HQS233" s="256"/>
      <c r="HQT233" s="257"/>
      <c r="HQV233" s="242"/>
      <c r="HQW233" s="256"/>
      <c r="HQX233" s="257"/>
      <c r="HQZ233" s="242"/>
      <c r="HRA233" s="256"/>
      <c r="HRB233" s="257"/>
      <c r="HRD233" s="242"/>
      <c r="HRE233" s="256"/>
      <c r="HRF233" s="257"/>
      <c r="HRH233" s="242"/>
      <c r="HRI233" s="256"/>
      <c r="HRJ233" s="257"/>
      <c r="HRL233" s="242"/>
      <c r="HRM233" s="256"/>
      <c r="HRN233" s="257"/>
      <c r="HRP233" s="242"/>
      <c r="HRQ233" s="256"/>
      <c r="HRR233" s="257"/>
      <c r="HRT233" s="242"/>
      <c r="HRU233" s="256"/>
      <c r="HRV233" s="257"/>
      <c r="HRX233" s="242"/>
      <c r="HRY233" s="256"/>
      <c r="HRZ233" s="257"/>
      <c r="HSB233" s="242"/>
      <c r="HSC233" s="256"/>
      <c r="HSD233" s="257"/>
      <c r="HSF233" s="242"/>
      <c r="HSG233" s="256"/>
      <c r="HSH233" s="257"/>
      <c r="HSJ233" s="242"/>
      <c r="HSK233" s="256"/>
      <c r="HSL233" s="257"/>
      <c r="HSN233" s="242"/>
      <c r="HSO233" s="256"/>
      <c r="HSP233" s="257"/>
      <c r="HSR233" s="242"/>
      <c r="HSS233" s="256"/>
      <c r="HST233" s="257"/>
      <c r="HSV233" s="242"/>
      <c r="HSW233" s="256"/>
      <c r="HSX233" s="257"/>
      <c r="HSZ233" s="242"/>
      <c r="HTA233" s="256"/>
      <c r="HTB233" s="257"/>
      <c r="HTD233" s="242"/>
      <c r="HTE233" s="256"/>
      <c r="HTF233" s="257"/>
      <c r="HTH233" s="242"/>
      <c r="HTI233" s="256"/>
      <c r="HTJ233" s="257"/>
      <c r="HTL233" s="242"/>
      <c r="HTM233" s="256"/>
      <c r="HTN233" s="257"/>
      <c r="HTP233" s="242"/>
      <c r="HTQ233" s="256"/>
      <c r="HTR233" s="257"/>
      <c r="HTT233" s="242"/>
      <c r="HTU233" s="256"/>
      <c r="HTV233" s="257"/>
      <c r="HTX233" s="242"/>
      <c r="HTY233" s="256"/>
      <c r="HTZ233" s="257"/>
      <c r="HUB233" s="242"/>
      <c r="HUC233" s="256"/>
      <c r="HUD233" s="257"/>
      <c r="HUF233" s="242"/>
      <c r="HUG233" s="256"/>
      <c r="HUH233" s="257"/>
      <c r="HUJ233" s="242"/>
      <c r="HUK233" s="256"/>
      <c r="HUL233" s="257"/>
      <c r="HUN233" s="242"/>
      <c r="HUO233" s="256"/>
      <c r="HUP233" s="257"/>
      <c r="HUR233" s="242"/>
      <c r="HUS233" s="256"/>
      <c r="HUT233" s="257"/>
      <c r="HUV233" s="242"/>
      <c r="HUW233" s="256"/>
      <c r="HUX233" s="257"/>
      <c r="HUZ233" s="242"/>
      <c r="HVA233" s="256"/>
      <c r="HVB233" s="257"/>
      <c r="HVD233" s="242"/>
      <c r="HVE233" s="256"/>
      <c r="HVF233" s="257"/>
      <c r="HVH233" s="242"/>
      <c r="HVI233" s="256"/>
      <c r="HVJ233" s="257"/>
      <c r="HVL233" s="242"/>
      <c r="HVM233" s="256"/>
      <c r="HVN233" s="257"/>
      <c r="HVP233" s="242"/>
      <c r="HVQ233" s="256"/>
      <c r="HVR233" s="257"/>
      <c r="HVT233" s="242"/>
      <c r="HVU233" s="256"/>
      <c r="HVV233" s="257"/>
      <c r="HVX233" s="242"/>
      <c r="HVY233" s="256"/>
      <c r="HVZ233" s="257"/>
      <c r="HWB233" s="242"/>
      <c r="HWC233" s="256"/>
      <c r="HWD233" s="257"/>
      <c r="HWF233" s="242"/>
      <c r="HWG233" s="256"/>
      <c r="HWH233" s="257"/>
      <c r="HWJ233" s="242"/>
      <c r="HWK233" s="256"/>
      <c r="HWL233" s="257"/>
      <c r="HWN233" s="242"/>
      <c r="HWO233" s="256"/>
      <c r="HWP233" s="257"/>
      <c r="HWR233" s="242"/>
      <c r="HWS233" s="256"/>
      <c r="HWT233" s="257"/>
      <c r="HWV233" s="242"/>
      <c r="HWW233" s="256"/>
      <c r="HWX233" s="257"/>
      <c r="HWZ233" s="242"/>
      <c r="HXA233" s="256"/>
      <c r="HXB233" s="257"/>
      <c r="HXD233" s="242"/>
      <c r="HXE233" s="256"/>
      <c r="HXF233" s="257"/>
      <c r="HXH233" s="242"/>
      <c r="HXI233" s="256"/>
      <c r="HXJ233" s="257"/>
      <c r="HXL233" s="242"/>
      <c r="HXM233" s="256"/>
      <c r="HXN233" s="257"/>
      <c r="HXP233" s="242"/>
      <c r="HXQ233" s="256"/>
      <c r="HXR233" s="257"/>
      <c r="HXT233" s="242"/>
      <c r="HXU233" s="256"/>
      <c r="HXV233" s="257"/>
      <c r="HXX233" s="242"/>
      <c r="HXY233" s="256"/>
      <c r="HXZ233" s="257"/>
      <c r="HYB233" s="242"/>
      <c r="HYC233" s="256"/>
      <c r="HYD233" s="257"/>
      <c r="HYF233" s="242"/>
      <c r="HYG233" s="256"/>
      <c r="HYH233" s="257"/>
      <c r="HYJ233" s="242"/>
      <c r="HYK233" s="256"/>
      <c r="HYL233" s="257"/>
      <c r="HYN233" s="242"/>
      <c r="HYO233" s="256"/>
      <c r="HYP233" s="257"/>
      <c r="HYR233" s="242"/>
      <c r="HYS233" s="256"/>
      <c r="HYT233" s="257"/>
      <c r="HYV233" s="242"/>
      <c r="HYW233" s="256"/>
      <c r="HYX233" s="257"/>
      <c r="HYZ233" s="242"/>
      <c r="HZA233" s="256"/>
      <c r="HZB233" s="257"/>
      <c r="HZD233" s="242"/>
      <c r="HZE233" s="256"/>
      <c r="HZF233" s="257"/>
      <c r="HZH233" s="242"/>
      <c r="HZI233" s="256"/>
      <c r="HZJ233" s="257"/>
      <c r="HZL233" s="242"/>
      <c r="HZM233" s="256"/>
      <c r="HZN233" s="257"/>
      <c r="HZP233" s="242"/>
      <c r="HZQ233" s="256"/>
      <c r="HZR233" s="257"/>
      <c r="HZT233" s="242"/>
      <c r="HZU233" s="256"/>
      <c r="HZV233" s="257"/>
      <c r="HZX233" s="242"/>
      <c r="HZY233" s="256"/>
      <c r="HZZ233" s="257"/>
      <c r="IAB233" s="242"/>
      <c r="IAC233" s="256"/>
      <c r="IAD233" s="257"/>
      <c r="IAF233" s="242"/>
      <c r="IAG233" s="256"/>
      <c r="IAH233" s="257"/>
      <c r="IAJ233" s="242"/>
      <c r="IAK233" s="256"/>
      <c r="IAL233" s="257"/>
      <c r="IAN233" s="242"/>
      <c r="IAO233" s="256"/>
      <c r="IAP233" s="257"/>
      <c r="IAR233" s="242"/>
      <c r="IAS233" s="256"/>
      <c r="IAT233" s="257"/>
      <c r="IAV233" s="242"/>
      <c r="IAW233" s="256"/>
      <c r="IAX233" s="257"/>
      <c r="IAZ233" s="242"/>
      <c r="IBA233" s="256"/>
      <c r="IBB233" s="257"/>
      <c r="IBD233" s="242"/>
      <c r="IBE233" s="256"/>
      <c r="IBF233" s="257"/>
      <c r="IBH233" s="242"/>
      <c r="IBI233" s="256"/>
      <c r="IBJ233" s="257"/>
      <c r="IBL233" s="242"/>
      <c r="IBM233" s="256"/>
      <c r="IBN233" s="257"/>
      <c r="IBP233" s="242"/>
      <c r="IBQ233" s="256"/>
      <c r="IBR233" s="257"/>
      <c r="IBT233" s="242"/>
      <c r="IBU233" s="256"/>
      <c r="IBV233" s="257"/>
      <c r="IBX233" s="242"/>
      <c r="IBY233" s="256"/>
      <c r="IBZ233" s="257"/>
      <c r="ICB233" s="242"/>
      <c r="ICC233" s="256"/>
      <c r="ICD233" s="257"/>
      <c r="ICF233" s="242"/>
      <c r="ICG233" s="256"/>
      <c r="ICH233" s="257"/>
      <c r="ICJ233" s="242"/>
      <c r="ICK233" s="256"/>
      <c r="ICL233" s="257"/>
      <c r="ICN233" s="242"/>
      <c r="ICO233" s="256"/>
      <c r="ICP233" s="257"/>
      <c r="ICR233" s="242"/>
      <c r="ICS233" s="256"/>
      <c r="ICT233" s="257"/>
      <c r="ICV233" s="242"/>
      <c r="ICW233" s="256"/>
      <c r="ICX233" s="257"/>
      <c r="ICZ233" s="242"/>
      <c r="IDA233" s="256"/>
      <c r="IDB233" s="257"/>
      <c r="IDD233" s="242"/>
      <c r="IDE233" s="256"/>
      <c r="IDF233" s="257"/>
      <c r="IDH233" s="242"/>
      <c r="IDI233" s="256"/>
      <c r="IDJ233" s="257"/>
      <c r="IDL233" s="242"/>
      <c r="IDM233" s="256"/>
      <c r="IDN233" s="257"/>
      <c r="IDP233" s="242"/>
      <c r="IDQ233" s="256"/>
      <c r="IDR233" s="257"/>
      <c r="IDT233" s="242"/>
      <c r="IDU233" s="256"/>
      <c r="IDV233" s="257"/>
      <c r="IDX233" s="242"/>
      <c r="IDY233" s="256"/>
      <c r="IDZ233" s="257"/>
      <c r="IEB233" s="242"/>
      <c r="IEC233" s="256"/>
      <c r="IED233" s="257"/>
      <c r="IEF233" s="242"/>
      <c r="IEG233" s="256"/>
      <c r="IEH233" s="257"/>
      <c r="IEJ233" s="242"/>
      <c r="IEK233" s="256"/>
      <c r="IEL233" s="257"/>
      <c r="IEN233" s="242"/>
      <c r="IEO233" s="256"/>
      <c r="IEP233" s="257"/>
      <c r="IER233" s="242"/>
      <c r="IES233" s="256"/>
      <c r="IET233" s="257"/>
      <c r="IEV233" s="242"/>
      <c r="IEW233" s="256"/>
      <c r="IEX233" s="257"/>
      <c r="IEZ233" s="242"/>
      <c r="IFA233" s="256"/>
      <c r="IFB233" s="257"/>
      <c r="IFD233" s="242"/>
      <c r="IFE233" s="256"/>
      <c r="IFF233" s="257"/>
      <c r="IFH233" s="242"/>
      <c r="IFI233" s="256"/>
      <c r="IFJ233" s="257"/>
      <c r="IFL233" s="242"/>
      <c r="IFM233" s="256"/>
      <c r="IFN233" s="257"/>
      <c r="IFP233" s="242"/>
      <c r="IFQ233" s="256"/>
      <c r="IFR233" s="257"/>
      <c r="IFT233" s="242"/>
      <c r="IFU233" s="256"/>
      <c r="IFV233" s="257"/>
      <c r="IFX233" s="242"/>
      <c r="IFY233" s="256"/>
      <c r="IFZ233" s="257"/>
      <c r="IGB233" s="242"/>
      <c r="IGC233" s="256"/>
      <c r="IGD233" s="257"/>
      <c r="IGF233" s="242"/>
      <c r="IGG233" s="256"/>
      <c r="IGH233" s="257"/>
      <c r="IGJ233" s="242"/>
      <c r="IGK233" s="256"/>
      <c r="IGL233" s="257"/>
      <c r="IGN233" s="242"/>
      <c r="IGO233" s="256"/>
      <c r="IGP233" s="257"/>
      <c r="IGR233" s="242"/>
      <c r="IGS233" s="256"/>
      <c r="IGT233" s="257"/>
      <c r="IGV233" s="242"/>
      <c r="IGW233" s="256"/>
      <c r="IGX233" s="257"/>
      <c r="IGZ233" s="242"/>
      <c r="IHA233" s="256"/>
      <c r="IHB233" s="257"/>
      <c r="IHD233" s="242"/>
      <c r="IHE233" s="256"/>
      <c r="IHF233" s="257"/>
      <c r="IHH233" s="242"/>
      <c r="IHI233" s="256"/>
      <c r="IHJ233" s="257"/>
      <c r="IHL233" s="242"/>
      <c r="IHM233" s="256"/>
      <c r="IHN233" s="257"/>
      <c r="IHP233" s="242"/>
      <c r="IHQ233" s="256"/>
      <c r="IHR233" s="257"/>
      <c r="IHT233" s="242"/>
      <c r="IHU233" s="256"/>
      <c r="IHV233" s="257"/>
      <c r="IHX233" s="242"/>
      <c r="IHY233" s="256"/>
      <c r="IHZ233" s="257"/>
      <c r="IIB233" s="242"/>
      <c r="IIC233" s="256"/>
      <c r="IID233" s="257"/>
      <c r="IIF233" s="242"/>
      <c r="IIG233" s="256"/>
      <c r="IIH233" s="257"/>
      <c r="IIJ233" s="242"/>
      <c r="IIK233" s="256"/>
      <c r="IIL233" s="257"/>
      <c r="IIN233" s="242"/>
      <c r="IIO233" s="256"/>
      <c r="IIP233" s="257"/>
      <c r="IIR233" s="242"/>
      <c r="IIS233" s="256"/>
      <c r="IIT233" s="257"/>
      <c r="IIV233" s="242"/>
      <c r="IIW233" s="256"/>
      <c r="IIX233" s="257"/>
      <c r="IIZ233" s="242"/>
      <c r="IJA233" s="256"/>
      <c r="IJB233" s="257"/>
      <c r="IJD233" s="242"/>
      <c r="IJE233" s="256"/>
      <c r="IJF233" s="257"/>
      <c r="IJH233" s="242"/>
      <c r="IJI233" s="256"/>
      <c r="IJJ233" s="257"/>
      <c r="IJL233" s="242"/>
      <c r="IJM233" s="256"/>
      <c r="IJN233" s="257"/>
      <c r="IJP233" s="242"/>
      <c r="IJQ233" s="256"/>
      <c r="IJR233" s="257"/>
      <c r="IJT233" s="242"/>
      <c r="IJU233" s="256"/>
      <c r="IJV233" s="257"/>
      <c r="IJX233" s="242"/>
      <c r="IJY233" s="256"/>
      <c r="IJZ233" s="257"/>
      <c r="IKB233" s="242"/>
      <c r="IKC233" s="256"/>
      <c r="IKD233" s="257"/>
      <c r="IKF233" s="242"/>
      <c r="IKG233" s="256"/>
      <c r="IKH233" s="257"/>
      <c r="IKJ233" s="242"/>
      <c r="IKK233" s="256"/>
      <c r="IKL233" s="257"/>
      <c r="IKN233" s="242"/>
      <c r="IKO233" s="256"/>
      <c r="IKP233" s="257"/>
      <c r="IKR233" s="242"/>
      <c r="IKS233" s="256"/>
      <c r="IKT233" s="257"/>
      <c r="IKV233" s="242"/>
      <c r="IKW233" s="256"/>
      <c r="IKX233" s="257"/>
      <c r="IKZ233" s="242"/>
      <c r="ILA233" s="256"/>
      <c r="ILB233" s="257"/>
      <c r="ILD233" s="242"/>
      <c r="ILE233" s="256"/>
      <c r="ILF233" s="257"/>
      <c r="ILH233" s="242"/>
      <c r="ILI233" s="256"/>
      <c r="ILJ233" s="257"/>
      <c r="ILL233" s="242"/>
      <c r="ILM233" s="256"/>
      <c r="ILN233" s="257"/>
      <c r="ILP233" s="242"/>
      <c r="ILQ233" s="256"/>
      <c r="ILR233" s="257"/>
      <c r="ILT233" s="242"/>
      <c r="ILU233" s="256"/>
      <c r="ILV233" s="257"/>
      <c r="ILX233" s="242"/>
      <c r="ILY233" s="256"/>
      <c r="ILZ233" s="257"/>
      <c r="IMB233" s="242"/>
      <c r="IMC233" s="256"/>
      <c r="IMD233" s="257"/>
      <c r="IMF233" s="242"/>
      <c r="IMG233" s="256"/>
      <c r="IMH233" s="257"/>
      <c r="IMJ233" s="242"/>
      <c r="IMK233" s="256"/>
      <c r="IML233" s="257"/>
      <c r="IMN233" s="242"/>
      <c r="IMO233" s="256"/>
      <c r="IMP233" s="257"/>
      <c r="IMR233" s="242"/>
      <c r="IMS233" s="256"/>
      <c r="IMT233" s="257"/>
      <c r="IMV233" s="242"/>
      <c r="IMW233" s="256"/>
      <c r="IMX233" s="257"/>
      <c r="IMZ233" s="242"/>
      <c r="INA233" s="256"/>
      <c r="INB233" s="257"/>
      <c r="IND233" s="242"/>
      <c r="INE233" s="256"/>
      <c r="INF233" s="257"/>
      <c r="INH233" s="242"/>
      <c r="INI233" s="256"/>
      <c r="INJ233" s="257"/>
      <c r="INL233" s="242"/>
      <c r="INM233" s="256"/>
      <c r="INN233" s="257"/>
      <c r="INP233" s="242"/>
      <c r="INQ233" s="256"/>
      <c r="INR233" s="257"/>
      <c r="INT233" s="242"/>
      <c r="INU233" s="256"/>
      <c r="INV233" s="257"/>
      <c r="INX233" s="242"/>
      <c r="INY233" s="256"/>
      <c r="INZ233" s="257"/>
      <c r="IOB233" s="242"/>
      <c r="IOC233" s="256"/>
      <c r="IOD233" s="257"/>
      <c r="IOF233" s="242"/>
      <c r="IOG233" s="256"/>
      <c r="IOH233" s="257"/>
      <c r="IOJ233" s="242"/>
      <c r="IOK233" s="256"/>
      <c r="IOL233" s="257"/>
      <c r="ION233" s="242"/>
      <c r="IOO233" s="256"/>
      <c r="IOP233" s="257"/>
      <c r="IOR233" s="242"/>
      <c r="IOS233" s="256"/>
      <c r="IOT233" s="257"/>
      <c r="IOV233" s="242"/>
      <c r="IOW233" s="256"/>
      <c r="IOX233" s="257"/>
      <c r="IOZ233" s="242"/>
      <c r="IPA233" s="256"/>
      <c r="IPB233" s="257"/>
      <c r="IPD233" s="242"/>
      <c r="IPE233" s="256"/>
      <c r="IPF233" s="257"/>
      <c r="IPH233" s="242"/>
      <c r="IPI233" s="256"/>
      <c r="IPJ233" s="257"/>
      <c r="IPL233" s="242"/>
      <c r="IPM233" s="256"/>
      <c r="IPN233" s="257"/>
      <c r="IPP233" s="242"/>
      <c r="IPQ233" s="256"/>
      <c r="IPR233" s="257"/>
      <c r="IPT233" s="242"/>
      <c r="IPU233" s="256"/>
      <c r="IPV233" s="257"/>
      <c r="IPX233" s="242"/>
      <c r="IPY233" s="256"/>
      <c r="IPZ233" s="257"/>
      <c r="IQB233" s="242"/>
      <c r="IQC233" s="256"/>
      <c r="IQD233" s="257"/>
      <c r="IQF233" s="242"/>
      <c r="IQG233" s="256"/>
      <c r="IQH233" s="257"/>
      <c r="IQJ233" s="242"/>
      <c r="IQK233" s="256"/>
      <c r="IQL233" s="257"/>
      <c r="IQN233" s="242"/>
      <c r="IQO233" s="256"/>
      <c r="IQP233" s="257"/>
      <c r="IQR233" s="242"/>
      <c r="IQS233" s="256"/>
      <c r="IQT233" s="257"/>
      <c r="IQV233" s="242"/>
      <c r="IQW233" s="256"/>
      <c r="IQX233" s="257"/>
      <c r="IQZ233" s="242"/>
      <c r="IRA233" s="256"/>
      <c r="IRB233" s="257"/>
      <c r="IRD233" s="242"/>
      <c r="IRE233" s="256"/>
      <c r="IRF233" s="257"/>
      <c r="IRH233" s="242"/>
      <c r="IRI233" s="256"/>
      <c r="IRJ233" s="257"/>
      <c r="IRL233" s="242"/>
      <c r="IRM233" s="256"/>
      <c r="IRN233" s="257"/>
      <c r="IRP233" s="242"/>
      <c r="IRQ233" s="256"/>
      <c r="IRR233" s="257"/>
      <c r="IRT233" s="242"/>
      <c r="IRU233" s="256"/>
      <c r="IRV233" s="257"/>
      <c r="IRX233" s="242"/>
      <c r="IRY233" s="256"/>
      <c r="IRZ233" s="257"/>
      <c r="ISB233" s="242"/>
      <c r="ISC233" s="256"/>
      <c r="ISD233" s="257"/>
      <c r="ISF233" s="242"/>
      <c r="ISG233" s="256"/>
      <c r="ISH233" s="257"/>
      <c r="ISJ233" s="242"/>
      <c r="ISK233" s="256"/>
      <c r="ISL233" s="257"/>
      <c r="ISN233" s="242"/>
      <c r="ISO233" s="256"/>
      <c r="ISP233" s="257"/>
      <c r="ISR233" s="242"/>
      <c r="ISS233" s="256"/>
      <c r="IST233" s="257"/>
      <c r="ISV233" s="242"/>
      <c r="ISW233" s="256"/>
      <c r="ISX233" s="257"/>
      <c r="ISZ233" s="242"/>
      <c r="ITA233" s="256"/>
      <c r="ITB233" s="257"/>
      <c r="ITD233" s="242"/>
      <c r="ITE233" s="256"/>
      <c r="ITF233" s="257"/>
      <c r="ITH233" s="242"/>
      <c r="ITI233" s="256"/>
      <c r="ITJ233" s="257"/>
      <c r="ITL233" s="242"/>
      <c r="ITM233" s="256"/>
      <c r="ITN233" s="257"/>
      <c r="ITP233" s="242"/>
      <c r="ITQ233" s="256"/>
      <c r="ITR233" s="257"/>
      <c r="ITT233" s="242"/>
      <c r="ITU233" s="256"/>
      <c r="ITV233" s="257"/>
      <c r="ITX233" s="242"/>
      <c r="ITY233" s="256"/>
      <c r="ITZ233" s="257"/>
      <c r="IUB233" s="242"/>
      <c r="IUC233" s="256"/>
      <c r="IUD233" s="257"/>
      <c r="IUF233" s="242"/>
      <c r="IUG233" s="256"/>
      <c r="IUH233" s="257"/>
      <c r="IUJ233" s="242"/>
      <c r="IUK233" s="256"/>
      <c r="IUL233" s="257"/>
      <c r="IUN233" s="242"/>
      <c r="IUO233" s="256"/>
      <c r="IUP233" s="257"/>
      <c r="IUR233" s="242"/>
      <c r="IUS233" s="256"/>
      <c r="IUT233" s="257"/>
      <c r="IUV233" s="242"/>
      <c r="IUW233" s="256"/>
      <c r="IUX233" s="257"/>
      <c r="IUZ233" s="242"/>
      <c r="IVA233" s="256"/>
      <c r="IVB233" s="257"/>
      <c r="IVD233" s="242"/>
      <c r="IVE233" s="256"/>
      <c r="IVF233" s="257"/>
      <c r="IVH233" s="242"/>
      <c r="IVI233" s="256"/>
      <c r="IVJ233" s="257"/>
      <c r="IVL233" s="242"/>
      <c r="IVM233" s="256"/>
      <c r="IVN233" s="257"/>
      <c r="IVP233" s="242"/>
      <c r="IVQ233" s="256"/>
      <c r="IVR233" s="257"/>
      <c r="IVT233" s="242"/>
      <c r="IVU233" s="256"/>
      <c r="IVV233" s="257"/>
      <c r="IVX233" s="242"/>
      <c r="IVY233" s="256"/>
      <c r="IVZ233" s="257"/>
      <c r="IWB233" s="242"/>
      <c r="IWC233" s="256"/>
      <c r="IWD233" s="257"/>
      <c r="IWF233" s="242"/>
      <c r="IWG233" s="256"/>
      <c r="IWH233" s="257"/>
      <c r="IWJ233" s="242"/>
      <c r="IWK233" s="256"/>
      <c r="IWL233" s="257"/>
      <c r="IWN233" s="242"/>
      <c r="IWO233" s="256"/>
      <c r="IWP233" s="257"/>
      <c r="IWR233" s="242"/>
      <c r="IWS233" s="256"/>
      <c r="IWT233" s="257"/>
      <c r="IWV233" s="242"/>
      <c r="IWW233" s="256"/>
      <c r="IWX233" s="257"/>
      <c r="IWZ233" s="242"/>
      <c r="IXA233" s="256"/>
      <c r="IXB233" s="257"/>
      <c r="IXD233" s="242"/>
      <c r="IXE233" s="256"/>
      <c r="IXF233" s="257"/>
      <c r="IXH233" s="242"/>
      <c r="IXI233" s="256"/>
      <c r="IXJ233" s="257"/>
      <c r="IXL233" s="242"/>
      <c r="IXM233" s="256"/>
      <c r="IXN233" s="257"/>
      <c r="IXP233" s="242"/>
      <c r="IXQ233" s="256"/>
      <c r="IXR233" s="257"/>
      <c r="IXT233" s="242"/>
      <c r="IXU233" s="256"/>
      <c r="IXV233" s="257"/>
      <c r="IXX233" s="242"/>
      <c r="IXY233" s="256"/>
      <c r="IXZ233" s="257"/>
      <c r="IYB233" s="242"/>
      <c r="IYC233" s="256"/>
      <c r="IYD233" s="257"/>
      <c r="IYF233" s="242"/>
      <c r="IYG233" s="256"/>
      <c r="IYH233" s="257"/>
      <c r="IYJ233" s="242"/>
      <c r="IYK233" s="256"/>
      <c r="IYL233" s="257"/>
      <c r="IYN233" s="242"/>
      <c r="IYO233" s="256"/>
      <c r="IYP233" s="257"/>
      <c r="IYR233" s="242"/>
      <c r="IYS233" s="256"/>
      <c r="IYT233" s="257"/>
      <c r="IYV233" s="242"/>
      <c r="IYW233" s="256"/>
      <c r="IYX233" s="257"/>
      <c r="IYZ233" s="242"/>
      <c r="IZA233" s="256"/>
      <c r="IZB233" s="257"/>
      <c r="IZD233" s="242"/>
      <c r="IZE233" s="256"/>
      <c r="IZF233" s="257"/>
      <c r="IZH233" s="242"/>
      <c r="IZI233" s="256"/>
      <c r="IZJ233" s="257"/>
      <c r="IZL233" s="242"/>
      <c r="IZM233" s="256"/>
      <c r="IZN233" s="257"/>
      <c r="IZP233" s="242"/>
      <c r="IZQ233" s="256"/>
      <c r="IZR233" s="257"/>
      <c r="IZT233" s="242"/>
      <c r="IZU233" s="256"/>
      <c r="IZV233" s="257"/>
      <c r="IZX233" s="242"/>
      <c r="IZY233" s="256"/>
      <c r="IZZ233" s="257"/>
      <c r="JAB233" s="242"/>
      <c r="JAC233" s="256"/>
      <c r="JAD233" s="257"/>
      <c r="JAF233" s="242"/>
      <c r="JAG233" s="256"/>
      <c r="JAH233" s="257"/>
      <c r="JAJ233" s="242"/>
      <c r="JAK233" s="256"/>
      <c r="JAL233" s="257"/>
      <c r="JAN233" s="242"/>
      <c r="JAO233" s="256"/>
      <c r="JAP233" s="257"/>
      <c r="JAR233" s="242"/>
      <c r="JAS233" s="256"/>
      <c r="JAT233" s="257"/>
      <c r="JAV233" s="242"/>
      <c r="JAW233" s="256"/>
      <c r="JAX233" s="257"/>
      <c r="JAZ233" s="242"/>
      <c r="JBA233" s="256"/>
      <c r="JBB233" s="257"/>
      <c r="JBD233" s="242"/>
      <c r="JBE233" s="256"/>
      <c r="JBF233" s="257"/>
      <c r="JBH233" s="242"/>
      <c r="JBI233" s="256"/>
      <c r="JBJ233" s="257"/>
      <c r="JBL233" s="242"/>
      <c r="JBM233" s="256"/>
      <c r="JBN233" s="257"/>
      <c r="JBP233" s="242"/>
      <c r="JBQ233" s="256"/>
      <c r="JBR233" s="257"/>
      <c r="JBT233" s="242"/>
      <c r="JBU233" s="256"/>
      <c r="JBV233" s="257"/>
      <c r="JBX233" s="242"/>
      <c r="JBY233" s="256"/>
      <c r="JBZ233" s="257"/>
      <c r="JCB233" s="242"/>
      <c r="JCC233" s="256"/>
      <c r="JCD233" s="257"/>
      <c r="JCF233" s="242"/>
      <c r="JCG233" s="256"/>
      <c r="JCH233" s="257"/>
      <c r="JCJ233" s="242"/>
      <c r="JCK233" s="256"/>
      <c r="JCL233" s="257"/>
      <c r="JCN233" s="242"/>
      <c r="JCO233" s="256"/>
      <c r="JCP233" s="257"/>
      <c r="JCR233" s="242"/>
      <c r="JCS233" s="256"/>
      <c r="JCT233" s="257"/>
      <c r="JCV233" s="242"/>
      <c r="JCW233" s="256"/>
      <c r="JCX233" s="257"/>
      <c r="JCZ233" s="242"/>
      <c r="JDA233" s="256"/>
      <c r="JDB233" s="257"/>
      <c r="JDD233" s="242"/>
      <c r="JDE233" s="256"/>
      <c r="JDF233" s="257"/>
      <c r="JDH233" s="242"/>
      <c r="JDI233" s="256"/>
      <c r="JDJ233" s="257"/>
      <c r="JDL233" s="242"/>
      <c r="JDM233" s="256"/>
      <c r="JDN233" s="257"/>
      <c r="JDP233" s="242"/>
      <c r="JDQ233" s="256"/>
      <c r="JDR233" s="257"/>
      <c r="JDT233" s="242"/>
      <c r="JDU233" s="256"/>
      <c r="JDV233" s="257"/>
      <c r="JDX233" s="242"/>
      <c r="JDY233" s="256"/>
      <c r="JDZ233" s="257"/>
      <c r="JEB233" s="242"/>
      <c r="JEC233" s="256"/>
      <c r="JED233" s="257"/>
      <c r="JEF233" s="242"/>
      <c r="JEG233" s="256"/>
      <c r="JEH233" s="257"/>
      <c r="JEJ233" s="242"/>
      <c r="JEK233" s="256"/>
      <c r="JEL233" s="257"/>
      <c r="JEN233" s="242"/>
      <c r="JEO233" s="256"/>
      <c r="JEP233" s="257"/>
      <c r="JER233" s="242"/>
      <c r="JES233" s="256"/>
      <c r="JET233" s="257"/>
      <c r="JEV233" s="242"/>
      <c r="JEW233" s="256"/>
      <c r="JEX233" s="257"/>
      <c r="JEZ233" s="242"/>
      <c r="JFA233" s="256"/>
      <c r="JFB233" s="257"/>
      <c r="JFD233" s="242"/>
      <c r="JFE233" s="256"/>
      <c r="JFF233" s="257"/>
      <c r="JFH233" s="242"/>
      <c r="JFI233" s="256"/>
      <c r="JFJ233" s="257"/>
      <c r="JFL233" s="242"/>
      <c r="JFM233" s="256"/>
      <c r="JFN233" s="257"/>
      <c r="JFP233" s="242"/>
      <c r="JFQ233" s="256"/>
      <c r="JFR233" s="257"/>
      <c r="JFT233" s="242"/>
      <c r="JFU233" s="256"/>
      <c r="JFV233" s="257"/>
      <c r="JFX233" s="242"/>
      <c r="JFY233" s="256"/>
      <c r="JFZ233" s="257"/>
      <c r="JGB233" s="242"/>
      <c r="JGC233" s="256"/>
      <c r="JGD233" s="257"/>
      <c r="JGF233" s="242"/>
      <c r="JGG233" s="256"/>
      <c r="JGH233" s="257"/>
      <c r="JGJ233" s="242"/>
      <c r="JGK233" s="256"/>
      <c r="JGL233" s="257"/>
      <c r="JGN233" s="242"/>
      <c r="JGO233" s="256"/>
      <c r="JGP233" s="257"/>
      <c r="JGR233" s="242"/>
      <c r="JGS233" s="256"/>
      <c r="JGT233" s="257"/>
      <c r="JGV233" s="242"/>
      <c r="JGW233" s="256"/>
      <c r="JGX233" s="257"/>
      <c r="JGZ233" s="242"/>
      <c r="JHA233" s="256"/>
      <c r="JHB233" s="257"/>
      <c r="JHD233" s="242"/>
      <c r="JHE233" s="256"/>
      <c r="JHF233" s="257"/>
      <c r="JHH233" s="242"/>
      <c r="JHI233" s="256"/>
      <c r="JHJ233" s="257"/>
      <c r="JHL233" s="242"/>
      <c r="JHM233" s="256"/>
      <c r="JHN233" s="257"/>
      <c r="JHP233" s="242"/>
      <c r="JHQ233" s="256"/>
      <c r="JHR233" s="257"/>
      <c r="JHT233" s="242"/>
      <c r="JHU233" s="256"/>
      <c r="JHV233" s="257"/>
      <c r="JHX233" s="242"/>
      <c r="JHY233" s="256"/>
      <c r="JHZ233" s="257"/>
      <c r="JIB233" s="242"/>
      <c r="JIC233" s="256"/>
      <c r="JID233" s="257"/>
      <c r="JIF233" s="242"/>
      <c r="JIG233" s="256"/>
      <c r="JIH233" s="257"/>
      <c r="JIJ233" s="242"/>
      <c r="JIK233" s="256"/>
      <c r="JIL233" s="257"/>
      <c r="JIN233" s="242"/>
      <c r="JIO233" s="256"/>
      <c r="JIP233" s="257"/>
      <c r="JIR233" s="242"/>
      <c r="JIS233" s="256"/>
      <c r="JIT233" s="257"/>
      <c r="JIV233" s="242"/>
      <c r="JIW233" s="256"/>
      <c r="JIX233" s="257"/>
      <c r="JIZ233" s="242"/>
      <c r="JJA233" s="256"/>
      <c r="JJB233" s="257"/>
      <c r="JJD233" s="242"/>
      <c r="JJE233" s="256"/>
      <c r="JJF233" s="257"/>
      <c r="JJH233" s="242"/>
      <c r="JJI233" s="256"/>
      <c r="JJJ233" s="257"/>
      <c r="JJL233" s="242"/>
      <c r="JJM233" s="256"/>
      <c r="JJN233" s="257"/>
      <c r="JJP233" s="242"/>
      <c r="JJQ233" s="256"/>
      <c r="JJR233" s="257"/>
      <c r="JJT233" s="242"/>
      <c r="JJU233" s="256"/>
      <c r="JJV233" s="257"/>
      <c r="JJX233" s="242"/>
      <c r="JJY233" s="256"/>
      <c r="JJZ233" s="257"/>
      <c r="JKB233" s="242"/>
      <c r="JKC233" s="256"/>
      <c r="JKD233" s="257"/>
      <c r="JKF233" s="242"/>
      <c r="JKG233" s="256"/>
      <c r="JKH233" s="257"/>
      <c r="JKJ233" s="242"/>
      <c r="JKK233" s="256"/>
      <c r="JKL233" s="257"/>
      <c r="JKN233" s="242"/>
      <c r="JKO233" s="256"/>
      <c r="JKP233" s="257"/>
      <c r="JKR233" s="242"/>
      <c r="JKS233" s="256"/>
      <c r="JKT233" s="257"/>
      <c r="JKV233" s="242"/>
      <c r="JKW233" s="256"/>
      <c r="JKX233" s="257"/>
      <c r="JKZ233" s="242"/>
      <c r="JLA233" s="256"/>
      <c r="JLB233" s="257"/>
      <c r="JLD233" s="242"/>
      <c r="JLE233" s="256"/>
      <c r="JLF233" s="257"/>
      <c r="JLH233" s="242"/>
      <c r="JLI233" s="256"/>
      <c r="JLJ233" s="257"/>
      <c r="JLL233" s="242"/>
      <c r="JLM233" s="256"/>
      <c r="JLN233" s="257"/>
      <c r="JLP233" s="242"/>
      <c r="JLQ233" s="256"/>
      <c r="JLR233" s="257"/>
      <c r="JLT233" s="242"/>
      <c r="JLU233" s="256"/>
      <c r="JLV233" s="257"/>
      <c r="JLX233" s="242"/>
      <c r="JLY233" s="256"/>
      <c r="JLZ233" s="257"/>
      <c r="JMB233" s="242"/>
      <c r="JMC233" s="256"/>
      <c r="JMD233" s="257"/>
      <c r="JMF233" s="242"/>
      <c r="JMG233" s="256"/>
      <c r="JMH233" s="257"/>
      <c r="JMJ233" s="242"/>
      <c r="JMK233" s="256"/>
      <c r="JML233" s="257"/>
      <c r="JMN233" s="242"/>
      <c r="JMO233" s="256"/>
      <c r="JMP233" s="257"/>
      <c r="JMR233" s="242"/>
      <c r="JMS233" s="256"/>
      <c r="JMT233" s="257"/>
      <c r="JMV233" s="242"/>
      <c r="JMW233" s="256"/>
      <c r="JMX233" s="257"/>
      <c r="JMZ233" s="242"/>
      <c r="JNA233" s="256"/>
      <c r="JNB233" s="257"/>
      <c r="JND233" s="242"/>
      <c r="JNE233" s="256"/>
      <c r="JNF233" s="257"/>
      <c r="JNH233" s="242"/>
      <c r="JNI233" s="256"/>
      <c r="JNJ233" s="257"/>
      <c r="JNL233" s="242"/>
      <c r="JNM233" s="256"/>
      <c r="JNN233" s="257"/>
      <c r="JNP233" s="242"/>
      <c r="JNQ233" s="256"/>
      <c r="JNR233" s="257"/>
      <c r="JNT233" s="242"/>
      <c r="JNU233" s="256"/>
      <c r="JNV233" s="257"/>
      <c r="JNX233" s="242"/>
      <c r="JNY233" s="256"/>
      <c r="JNZ233" s="257"/>
      <c r="JOB233" s="242"/>
      <c r="JOC233" s="256"/>
      <c r="JOD233" s="257"/>
      <c r="JOF233" s="242"/>
      <c r="JOG233" s="256"/>
      <c r="JOH233" s="257"/>
      <c r="JOJ233" s="242"/>
      <c r="JOK233" s="256"/>
      <c r="JOL233" s="257"/>
      <c r="JON233" s="242"/>
      <c r="JOO233" s="256"/>
      <c r="JOP233" s="257"/>
      <c r="JOR233" s="242"/>
      <c r="JOS233" s="256"/>
      <c r="JOT233" s="257"/>
      <c r="JOV233" s="242"/>
      <c r="JOW233" s="256"/>
      <c r="JOX233" s="257"/>
      <c r="JOZ233" s="242"/>
      <c r="JPA233" s="256"/>
      <c r="JPB233" s="257"/>
      <c r="JPD233" s="242"/>
      <c r="JPE233" s="256"/>
      <c r="JPF233" s="257"/>
      <c r="JPH233" s="242"/>
      <c r="JPI233" s="256"/>
      <c r="JPJ233" s="257"/>
      <c r="JPL233" s="242"/>
      <c r="JPM233" s="256"/>
      <c r="JPN233" s="257"/>
      <c r="JPP233" s="242"/>
      <c r="JPQ233" s="256"/>
      <c r="JPR233" s="257"/>
      <c r="JPT233" s="242"/>
      <c r="JPU233" s="256"/>
      <c r="JPV233" s="257"/>
      <c r="JPX233" s="242"/>
      <c r="JPY233" s="256"/>
      <c r="JPZ233" s="257"/>
      <c r="JQB233" s="242"/>
      <c r="JQC233" s="256"/>
      <c r="JQD233" s="257"/>
      <c r="JQF233" s="242"/>
      <c r="JQG233" s="256"/>
      <c r="JQH233" s="257"/>
      <c r="JQJ233" s="242"/>
      <c r="JQK233" s="256"/>
      <c r="JQL233" s="257"/>
      <c r="JQN233" s="242"/>
      <c r="JQO233" s="256"/>
      <c r="JQP233" s="257"/>
      <c r="JQR233" s="242"/>
      <c r="JQS233" s="256"/>
      <c r="JQT233" s="257"/>
      <c r="JQV233" s="242"/>
      <c r="JQW233" s="256"/>
      <c r="JQX233" s="257"/>
      <c r="JQZ233" s="242"/>
      <c r="JRA233" s="256"/>
      <c r="JRB233" s="257"/>
      <c r="JRD233" s="242"/>
      <c r="JRE233" s="256"/>
      <c r="JRF233" s="257"/>
      <c r="JRH233" s="242"/>
      <c r="JRI233" s="256"/>
      <c r="JRJ233" s="257"/>
      <c r="JRL233" s="242"/>
      <c r="JRM233" s="256"/>
      <c r="JRN233" s="257"/>
      <c r="JRP233" s="242"/>
      <c r="JRQ233" s="256"/>
      <c r="JRR233" s="257"/>
      <c r="JRT233" s="242"/>
      <c r="JRU233" s="256"/>
      <c r="JRV233" s="257"/>
      <c r="JRX233" s="242"/>
      <c r="JRY233" s="256"/>
      <c r="JRZ233" s="257"/>
      <c r="JSB233" s="242"/>
      <c r="JSC233" s="256"/>
      <c r="JSD233" s="257"/>
      <c r="JSF233" s="242"/>
      <c r="JSG233" s="256"/>
      <c r="JSH233" s="257"/>
      <c r="JSJ233" s="242"/>
      <c r="JSK233" s="256"/>
      <c r="JSL233" s="257"/>
      <c r="JSN233" s="242"/>
      <c r="JSO233" s="256"/>
      <c r="JSP233" s="257"/>
      <c r="JSR233" s="242"/>
      <c r="JSS233" s="256"/>
      <c r="JST233" s="257"/>
      <c r="JSV233" s="242"/>
      <c r="JSW233" s="256"/>
      <c r="JSX233" s="257"/>
      <c r="JSZ233" s="242"/>
      <c r="JTA233" s="256"/>
      <c r="JTB233" s="257"/>
      <c r="JTD233" s="242"/>
      <c r="JTE233" s="256"/>
      <c r="JTF233" s="257"/>
      <c r="JTH233" s="242"/>
      <c r="JTI233" s="256"/>
      <c r="JTJ233" s="257"/>
      <c r="JTL233" s="242"/>
      <c r="JTM233" s="256"/>
      <c r="JTN233" s="257"/>
      <c r="JTP233" s="242"/>
      <c r="JTQ233" s="256"/>
      <c r="JTR233" s="257"/>
      <c r="JTT233" s="242"/>
      <c r="JTU233" s="256"/>
      <c r="JTV233" s="257"/>
      <c r="JTX233" s="242"/>
      <c r="JTY233" s="256"/>
      <c r="JTZ233" s="257"/>
      <c r="JUB233" s="242"/>
      <c r="JUC233" s="256"/>
      <c r="JUD233" s="257"/>
      <c r="JUF233" s="242"/>
      <c r="JUG233" s="256"/>
      <c r="JUH233" s="257"/>
      <c r="JUJ233" s="242"/>
      <c r="JUK233" s="256"/>
      <c r="JUL233" s="257"/>
      <c r="JUN233" s="242"/>
      <c r="JUO233" s="256"/>
      <c r="JUP233" s="257"/>
      <c r="JUR233" s="242"/>
      <c r="JUS233" s="256"/>
      <c r="JUT233" s="257"/>
      <c r="JUV233" s="242"/>
      <c r="JUW233" s="256"/>
      <c r="JUX233" s="257"/>
      <c r="JUZ233" s="242"/>
      <c r="JVA233" s="256"/>
      <c r="JVB233" s="257"/>
      <c r="JVD233" s="242"/>
      <c r="JVE233" s="256"/>
      <c r="JVF233" s="257"/>
      <c r="JVH233" s="242"/>
      <c r="JVI233" s="256"/>
      <c r="JVJ233" s="257"/>
      <c r="JVL233" s="242"/>
      <c r="JVM233" s="256"/>
      <c r="JVN233" s="257"/>
      <c r="JVP233" s="242"/>
      <c r="JVQ233" s="256"/>
      <c r="JVR233" s="257"/>
      <c r="JVT233" s="242"/>
      <c r="JVU233" s="256"/>
      <c r="JVV233" s="257"/>
      <c r="JVX233" s="242"/>
      <c r="JVY233" s="256"/>
      <c r="JVZ233" s="257"/>
      <c r="JWB233" s="242"/>
      <c r="JWC233" s="256"/>
      <c r="JWD233" s="257"/>
      <c r="JWF233" s="242"/>
      <c r="JWG233" s="256"/>
      <c r="JWH233" s="257"/>
      <c r="JWJ233" s="242"/>
      <c r="JWK233" s="256"/>
      <c r="JWL233" s="257"/>
      <c r="JWN233" s="242"/>
      <c r="JWO233" s="256"/>
      <c r="JWP233" s="257"/>
      <c r="JWR233" s="242"/>
      <c r="JWS233" s="256"/>
      <c r="JWT233" s="257"/>
      <c r="JWV233" s="242"/>
      <c r="JWW233" s="256"/>
      <c r="JWX233" s="257"/>
      <c r="JWZ233" s="242"/>
      <c r="JXA233" s="256"/>
      <c r="JXB233" s="257"/>
      <c r="JXD233" s="242"/>
      <c r="JXE233" s="256"/>
      <c r="JXF233" s="257"/>
      <c r="JXH233" s="242"/>
      <c r="JXI233" s="256"/>
      <c r="JXJ233" s="257"/>
      <c r="JXL233" s="242"/>
      <c r="JXM233" s="256"/>
      <c r="JXN233" s="257"/>
      <c r="JXP233" s="242"/>
      <c r="JXQ233" s="256"/>
      <c r="JXR233" s="257"/>
      <c r="JXT233" s="242"/>
      <c r="JXU233" s="256"/>
      <c r="JXV233" s="257"/>
      <c r="JXX233" s="242"/>
      <c r="JXY233" s="256"/>
      <c r="JXZ233" s="257"/>
      <c r="JYB233" s="242"/>
      <c r="JYC233" s="256"/>
      <c r="JYD233" s="257"/>
      <c r="JYF233" s="242"/>
      <c r="JYG233" s="256"/>
      <c r="JYH233" s="257"/>
      <c r="JYJ233" s="242"/>
      <c r="JYK233" s="256"/>
      <c r="JYL233" s="257"/>
      <c r="JYN233" s="242"/>
      <c r="JYO233" s="256"/>
      <c r="JYP233" s="257"/>
      <c r="JYR233" s="242"/>
      <c r="JYS233" s="256"/>
      <c r="JYT233" s="257"/>
      <c r="JYV233" s="242"/>
      <c r="JYW233" s="256"/>
      <c r="JYX233" s="257"/>
      <c r="JYZ233" s="242"/>
      <c r="JZA233" s="256"/>
      <c r="JZB233" s="257"/>
      <c r="JZD233" s="242"/>
      <c r="JZE233" s="256"/>
      <c r="JZF233" s="257"/>
      <c r="JZH233" s="242"/>
      <c r="JZI233" s="256"/>
      <c r="JZJ233" s="257"/>
      <c r="JZL233" s="242"/>
      <c r="JZM233" s="256"/>
      <c r="JZN233" s="257"/>
      <c r="JZP233" s="242"/>
      <c r="JZQ233" s="256"/>
      <c r="JZR233" s="257"/>
      <c r="JZT233" s="242"/>
      <c r="JZU233" s="256"/>
      <c r="JZV233" s="257"/>
      <c r="JZX233" s="242"/>
      <c r="JZY233" s="256"/>
      <c r="JZZ233" s="257"/>
      <c r="KAB233" s="242"/>
      <c r="KAC233" s="256"/>
      <c r="KAD233" s="257"/>
      <c r="KAF233" s="242"/>
      <c r="KAG233" s="256"/>
      <c r="KAH233" s="257"/>
      <c r="KAJ233" s="242"/>
      <c r="KAK233" s="256"/>
      <c r="KAL233" s="257"/>
      <c r="KAN233" s="242"/>
      <c r="KAO233" s="256"/>
      <c r="KAP233" s="257"/>
      <c r="KAR233" s="242"/>
      <c r="KAS233" s="256"/>
      <c r="KAT233" s="257"/>
      <c r="KAV233" s="242"/>
      <c r="KAW233" s="256"/>
      <c r="KAX233" s="257"/>
      <c r="KAZ233" s="242"/>
      <c r="KBA233" s="256"/>
      <c r="KBB233" s="257"/>
      <c r="KBD233" s="242"/>
      <c r="KBE233" s="256"/>
      <c r="KBF233" s="257"/>
      <c r="KBH233" s="242"/>
      <c r="KBI233" s="256"/>
      <c r="KBJ233" s="257"/>
      <c r="KBL233" s="242"/>
      <c r="KBM233" s="256"/>
      <c r="KBN233" s="257"/>
      <c r="KBP233" s="242"/>
      <c r="KBQ233" s="256"/>
      <c r="KBR233" s="257"/>
      <c r="KBT233" s="242"/>
      <c r="KBU233" s="256"/>
      <c r="KBV233" s="257"/>
      <c r="KBX233" s="242"/>
      <c r="KBY233" s="256"/>
      <c r="KBZ233" s="257"/>
      <c r="KCB233" s="242"/>
      <c r="KCC233" s="256"/>
      <c r="KCD233" s="257"/>
      <c r="KCF233" s="242"/>
      <c r="KCG233" s="256"/>
      <c r="KCH233" s="257"/>
      <c r="KCJ233" s="242"/>
      <c r="KCK233" s="256"/>
      <c r="KCL233" s="257"/>
      <c r="KCN233" s="242"/>
      <c r="KCO233" s="256"/>
      <c r="KCP233" s="257"/>
      <c r="KCR233" s="242"/>
      <c r="KCS233" s="256"/>
      <c r="KCT233" s="257"/>
      <c r="KCV233" s="242"/>
      <c r="KCW233" s="256"/>
      <c r="KCX233" s="257"/>
      <c r="KCZ233" s="242"/>
      <c r="KDA233" s="256"/>
      <c r="KDB233" s="257"/>
      <c r="KDD233" s="242"/>
      <c r="KDE233" s="256"/>
      <c r="KDF233" s="257"/>
      <c r="KDH233" s="242"/>
      <c r="KDI233" s="256"/>
      <c r="KDJ233" s="257"/>
      <c r="KDL233" s="242"/>
      <c r="KDM233" s="256"/>
      <c r="KDN233" s="257"/>
      <c r="KDP233" s="242"/>
      <c r="KDQ233" s="256"/>
      <c r="KDR233" s="257"/>
      <c r="KDT233" s="242"/>
      <c r="KDU233" s="256"/>
      <c r="KDV233" s="257"/>
      <c r="KDX233" s="242"/>
      <c r="KDY233" s="256"/>
      <c r="KDZ233" s="257"/>
      <c r="KEB233" s="242"/>
      <c r="KEC233" s="256"/>
      <c r="KED233" s="257"/>
      <c r="KEF233" s="242"/>
      <c r="KEG233" s="256"/>
      <c r="KEH233" s="257"/>
      <c r="KEJ233" s="242"/>
      <c r="KEK233" s="256"/>
      <c r="KEL233" s="257"/>
      <c r="KEN233" s="242"/>
      <c r="KEO233" s="256"/>
      <c r="KEP233" s="257"/>
      <c r="KER233" s="242"/>
      <c r="KES233" s="256"/>
      <c r="KET233" s="257"/>
      <c r="KEV233" s="242"/>
      <c r="KEW233" s="256"/>
      <c r="KEX233" s="257"/>
      <c r="KEZ233" s="242"/>
      <c r="KFA233" s="256"/>
      <c r="KFB233" s="257"/>
      <c r="KFD233" s="242"/>
      <c r="KFE233" s="256"/>
      <c r="KFF233" s="257"/>
      <c r="KFH233" s="242"/>
      <c r="KFI233" s="256"/>
      <c r="KFJ233" s="257"/>
      <c r="KFL233" s="242"/>
      <c r="KFM233" s="256"/>
      <c r="KFN233" s="257"/>
      <c r="KFP233" s="242"/>
      <c r="KFQ233" s="256"/>
      <c r="KFR233" s="257"/>
      <c r="KFT233" s="242"/>
      <c r="KFU233" s="256"/>
      <c r="KFV233" s="257"/>
      <c r="KFX233" s="242"/>
      <c r="KFY233" s="256"/>
      <c r="KFZ233" s="257"/>
      <c r="KGB233" s="242"/>
      <c r="KGC233" s="256"/>
      <c r="KGD233" s="257"/>
      <c r="KGF233" s="242"/>
      <c r="KGG233" s="256"/>
      <c r="KGH233" s="257"/>
      <c r="KGJ233" s="242"/>
      <c r="KGK233" s="256"/>
      <c r="KGL233" s="257"/>
      <c r="KGN233" s="242"/>
      <c r="KGO233" s="256"/>
      <c r="KGP233" s="257"/>
      <c r="KGR233" s="242"/>
      <c r="KGS233" s="256"/>
      <c r="KGT233" s="257"/>
      <c r="KGV233" s="242"/>
      <c r="KGW233" s="256"/>
      <c r="KGX233" s="257"/>
      <c r="KGZ233" s="242"/>
      <c r="KHA233" s="256"/>
      <c r="KHB233" s="257"/>
      <c r="KHD233" s="242"/>
      <c r="KHE233" s="256"/>
      <c r="KHF233" s="257"/>
      <c r="KHH233" s="242"/>
      <c r="KHI233" s="256"/>
      <c r="KHJ233" s="257"/>
      <c r="KHL233" s="242"/>
      <c r="KHM233" s="256"/>
      <c r="KHN233" s="257"/>
      <c r="KHP233" s="242"/>
      <c r="KHQ233" s="256"/>
      <c r="KHR233" s="257"/>
      <c r="KHT233" s="242"/>
      <c r="KHU233" s="256"/>
      <c r="KHV233" s="257"/>
      <c r="KHX233" s="242"/>
      <c r="KHY233" s="256"/>
      <c r="KHZ233" s="257"/>
      <c r="KIB233" s="242"/>
      <c r="KIC233" s="256"/>
      <c r="KID233" s="257"/>
      <c r="KIF233" s="242"/>
      <c r="KIG233" s="256"/>
      <c r="KIH233" s="257"/>
      <c r="KIJ233" s="242"/>
      <c r="KIK233" s="256"/>
      <c r="KIL233" s="257"/>
      <c r="KIN233" s="242"/>
      <c r="KIO233" s="256"/>
      <c r="KIP233" s="257"/>
      <c r="KIR233" s="242"/>
      <c r="KIS233" s="256"/>
      <c r="KIT233" s="257"/>
      <c r="KIV233" s="242"/>
      <c r="KIW233" s="256"/>
      <c r="KIX233" s="257"/>
      <c r="KIZ233" s="242"/>
      <c r="KJA233" s="256"/>
      <c r="KJB233" s="257"/>
      <c r="KJD233" s="242"/>
      <c r="KJE233" s="256"/>
      <c r="KJF233" s="257"/>
      <c r="KJH233" s="242"/>
      <c r="KJI233" s="256"/>
      <c r="KJJ233" s="257"/>
      <c r="KJL233" s="242"/>
      <c r="KJM233" s="256"/>
      <c r="KJN233" s="257"/>
      <c r="KJP233" s="242"/>
      <c r="KJQ233" s="256"/>
      <c r="KJR233" s="257"/>
      <c r="KJT233" s="242"/>
      <c r="KJU233" s="256"/>
      <c r="KJV233" s="257"/>
      <c r="KJX233" s="242"/>
      <c r="KJY233" s="256"/>
      <c r="KJZ233" s="257"/>
      <c r="KKB233" s="242"/>
      <c r="KKC233" s="256"/>
      <c r="KKD233" s="257"/>
      <c r="KKF233" s="242"/>
      <c r="KKG233" s="256"/>
      <c r="KKH233" s="257"/>
      <c r="KKJ233" s="242"/>
      <c r="KKK233" s="256"/>
      <c r="KKL233" s="257"/>
      <c r="KKN233" s="242"/>
      <c r="KKO233" s="256"/>
      <c r="KKP233" s="257"/>
      <c r="KKR233" s="242"/>
      <c r="KKS233" s="256"/>
      <c r="KKT233" s="257"/>
      <c r="KKV233" s="242"/>
      <c r="KKW233" s="256"/>
      <c r="KKX233" s="257"/>
      <c r="KKZ233" s="242"/>
      <c r="KLA233" s="256"/>
      <c r="KLB233" s="257"/>
      <c r="KLD233" s="242"/>
      <c r="KLE233" s="256"/>
      <c r="KLF233" s="257"/>
      <c r="KLH233" s="242"/>
      <c r="KLI233" s="256"/>
      <c r="KLJ233" s="257"/>
      <c r="KLL233" s="242"/>
      <c r="KLM233" s="256"/>
      <c r="KLN233" s="257"/>
      <c r="KLP233" s="242"/>
      <c r="KLQ233" s="256"/>
      <c r="KLR233" s="257"/>
      <c r="KLT233" s="242"/>
      <c r="KLU233" s="256"/>
      <c r="KLV233" s="257"/>
      <c r="KLX233" s="242"/>
      <c r="KLY233" s="256"/>
      <c r="KLZ233" s="257"/>
      <c r="KMB233" s="242"/>
      <c r="KMC233" s="256"/>
      <c r="KMD233" s="257"/>
      <c r="KMF233" s="242"/>
      <c r="KMG233" s="256"/>
      <c r="KMH233" s="257"/>
      <c r="KMJ233" s="242"/>
      <c r="KMK233" s="256"/>
      <c r="KML233" s="257"/>
      <c r="KMN233" s="242"/>
      <c r="KMO233" s="256"/>
      <c r="KMP233" s="257"/>
      <c r="KMR233" s="242"/>
      <c r="KMS233" s="256"/>
      <c r="KMT233" s="257"/>
      <c r="KMV233" s="242"/>
      <c r="KMW233" s="256"/>
      <c r="KMX233" s="257"/>
      <c r="KMZ233" s="242"/>
      <c r="KNA233" s="256"/>
      <c r="KNB233" s="257"/>
      <c r="KND233" s="242"/>
      <c r="KNE233" s="256"/>
      <c r="KNF233" s="257"/>
      <c r="KNH233" s="242"/>
      <c r="KNI233" s="256"/>
      <c r="KNJ233" s="257"/>
      <c r="KNL233" s="242"/>
      <c r="KNM233" s="256"/>
      <c r="KNN233" s="257"/>
      <c r="KNP233" s="242"/>
      <c r="KNQ233" s="256"/>
      <c r="KNR233" s="257"/>
      <c r="KNT233" s="242"/>
      <c r="KNU233" s="256"/>
      <c r="KNV233" s="257"/>
      <c r="KNX233" s="242"/>
      <c r="KNY233" s="256"/>
      <c r="KNZ233" s="257"/>
      <c r="KOB233" s="242"/>
      <c r="KOC233" s="256"/>
      <c r="KOD233" s="257"/>
      <c r="KOF233" s="242"/>
      <c r="KOG233" s="256"/>
      <c r="KOH233" s="257"/>
      <c r="KOJ233" s="242"/>
      <c r="KOK233" s="256"/>
      <c r="KOL233" s="257"/>
      <c r="KON233" s="242"/>
      <c r="KOO233" s="256"/>
      <c r="KOP233" s="257"/>
      <c r="KOR233" s="242"/>
      <c r="KOS233" s="256"/>
      <c r="KOT233" s="257"/>
      <c r="KOV233" s="242"/>
      <c r="KOW233" s="256"/>
      <c r="KOX233" s="257"/>
      <c r="KOZ233" s="242"/>
      <c r="KPA233" s="256"/>
      <c r="KPB233" s="257"/>
      <c r="KPD233" s="242"/>
      <c r="KPE233" s="256"/>
      <c r="KPF233" s="257"/>
      <c r="KPH233" s="242"/>
      <c r="KPI233" s="256"/>
      <c r="KPJ233" s="257"/>
      <c r="KPL233" s="242"/>
      <c r="KPM233" s="256"/>
      <c r="KPN233" s="257"/>
      <c r="KPP233" s="242"/>
      <c r="KPQ233" s="256"/>
      <c r="KPR233" s="257"/>
      <c r="KPT233" s="242"/>
      <c r="KPU233" s="256"/>
      <c r="KPV233" s="257"/>
      <c r="KPX233" s="242"/>
      <c r="KPY233" s="256"/>
      <c r="KPZ233" s="257"/>
      <c r="KQB233" s="242"/>
      <c r="KQC233" s="256"/>
      <c r="KQD233" s="257"/>
      <c r="KQF233" s="242"/>
      <c r="KQG233" s="256"/>
      <c r="KQH233" s="257"/>
      <c r="KQJ233" s="242"/>
      <c r="KQK233" s="256"/>
      <c r="KQL233" s="257"/>
      <c r="KQN233" s="242"/>
      <c r="KQO233" s="256"/>
      <c r="KQP233" s="257"/>
      <c r="KQR233" s="242"/>
      <c r="KQS233" s="256"/>
      <c r="KQT233" s="257"/>
      <c r="KQV233" s="242"/>
      <c r="KQW233" s="256"/>
      <c r="KQX233" s="257"/>
      <c r="KQZ233" s="242"/>
      <c r="KRA233" s="256"/>
      <c r="KRB233" s="257"/>
      <c r="KRD233" s="242"/>
      <c r="KRE233" s="256"/>
      <c r="KRF233" s="257"/>
      <c r="KRH233" s="242"/>
      <c r="KRI233" s="256"/>
      <c r="KRJ233" s="257"/>
      <c r="KRL233" s="242"/>
      <c r="KRM233" s="256"/>
      <c r="KRN233" s="257"/>
      <c r="KRP233" s="242"/>
      <c r="KRQ233" s="256"/>
      <c r="KRR233" s="257"/>
      <c r="KRT233" s="242"/>
      <c r="KRU233" s="256"/>
      <c r="KRV233" s="257"/>
      <c r="KRX233" s="242"/>
      <c r="KRY233" s="256"/>
      <c r="KRZ233" s="257"/>
      <c r="KSB233" s="242"/>
      <c r="KSC233" s="256"/>
      <c r="KSD233" s="257"/>
      <c r="KSF233" s="242"/>
      <c r="KSG233" s="256"/>
      <c r="KSH233" s="257"/>
      <c r="KSJ233" s="242"/>
      <c r="KSK233" s="256"/>
      <c r="KSL233" s="257"/>
      <c r="KSN233" s="242"/>
      <c r="KSO233" s="256"/>
      <c r="KSP233" s="257"/>
      <c r="KSR233" s="242"/>
      <c r="KSS233" s="256"/>
      <c r="KST233" s="257"/>
      <c r="KSV233" s="242"/>
      <c r="KSW233" s="256"/>
      <c r="KSX233" s="257"/>
      <c r="KSZ233" s="242"/>
      <c r="KTA233" s="256"/>
      <c r="KTB233" s="257"/>
      <c r="KTD233" s="242"/>
      <c r="KTE233" s="256"/>
      <c r="KTF233" s="257"/>
      <c r="KTH233" s="242"/>
      <c r="KTI233" s="256"/>
      <c r="KTJ233" s="257"/>
      <c r="KTL233" s="242"/>
      <c r="KTM233" s="256"/>
      <c r="KTN233" s="257"/>
      <c r="KTP233" s="242"/>
      <c r="KTQ233" s="256"/>
      <c r="KTR233" s="257"/>
      <c r="KTT233" s="242"/>
      <c r="KTU233" s="256"/>
      <c r="KTV233" s="257"/>
      <c r="KTX233" s="242"/>
      <c r="KTY233" s="256"/>
      <c r="KTZ233" s="257"/>
      <c r="KUB233" s="242"/>
      <c r="KUC233" s="256"/>
      <c r="KUD233" s="257"/>
      <c r="KUF233" s="242"/>
      <c r="KUG233" s="256"/>
      <c r="KUH233" s="257"/>
      <c r="KUJ233" s="242"/>
      <c r="KUK233" s="256"/>
      <c r="KUL233" s="257"/>
      <c r="KUN233" s="242"/>
      <c r="KUO233" s="256"/>
      <c r="KUP233" s="257"/>
      <c r="KUR233" s="242"/>
      <c r="KUS233" s="256"/>
      <c r="KUT233" s="257"/>
      <c r="KUV233" s="242"/>
      <c r="KUW233" s="256"/>
      <c r="KUX233" s="257"/>
      <c r="KUZ233" s="242"/>
      <c r="KVA233" s="256"/>
      <c r="KVB233" s="257"/>
      <c r="KVD233" s="242"/>
      <c r="KVE233" s="256"/>
      <c r="KVF233" s="257"/>
      <c r="KVH233" s="242"/>
      <c r="KVI233" s="256"/>
      <c r="KVJ233" s="257"/>
      <c r="KVL233" s="242"/>
      <c r="KVM233" s="256"/>
      <c r="KVN233" s="257"/>
      <c r="KVP233" s="242"/>
      <c r="KVQ233" s="256"/>
      <c r="KVR233" s="257"/>
      <c r="KVT233" s="242"/>
      <c r="KVU233" s="256"/>
      <c r="KVV233" s="257"/>
      <c r="KVX233" s="242"/>
      <c r="KVY233" s="256"/>
      <c r="KVZ233" s="257"/>
      <c r="KWB233" s="242"/>
      <c r="KWC233" s="256"/>
      <c r="KWD233" s="257"/>
      <c r="KWF233" s="242"/>
      <c r="KWG233" s="256"/>
      <c r="KWH233" s="257"/>
      <c r="KWJ233" s="242"/>
      <c r="KWK233" s="256"/>
      <c r="KWL233" s="257"/>
      <c r="KWN233" s="242"/>
      <c r="KWO233" s="256"/>
      <c r="KWP233" s="257"/>
      <c r="KWR233" s="242"/>
      <c r="KWS233" s="256"/>
      <c r="KWT233" s="257"/>
      <c r="KWV233" s="242"/>
      <c r="KWW233" s="256"/>
      <c r="KWX233" s="257"/>
      <c r="KWZ233" s="242"/>
      <c r="KXA233" s="256"/>
      <c r="KXB233" s="257"/>
      <c r="KXD233" s="242"/>
      <c r="KXE233" s="256"/>
      <c r="KXF233" s="257"/>
      <c r="KXH233" s="242"/>
      <c r="KXI233" s="256"/>
      <c r="KXJ233" s="257"/>
      <c r="KXL233" s="242"/>
      <c r="KXM233" s="256"/>
      <c r="KXN233" s="257"/>
      <c r="KXP233" s="242"/>
      <c r="KXQ233" s="256"/>
      <c r="KXR233" s="257"/>
      <c r="KXT233" s="242"/>
      <c r="KXU233" s="256"/>
      <c r="KXV233" s="257"/>
      <c r="KXX233" s="242"/>
      <c r="KXY233" s="256"/>
      <c r="KXZ233" s="257"/>
      <c r="KYB233" s="242"/>
      <c r="KYC233" s="256"/>
      <c r="KYD233" s="257"/>
      <c r="KYF233" s="242"/>
      <c r="KYG233" s="256"/>
      <c r="KYH233" s="257"/>
      <c r="KYJ233" s="242"/>
      <c r="KYK233" s="256"/>
      <c r="KYL233" s="257"/>
      <c r="KYN233" s="242"/>
      <c r="KYO233" s="256"/>
      <c r="KYP233" s="257"/>
      <c r="KYR233" s="242"/>
      <c r="KYS233" s="256"/>
      <c r="KYT233" s="257"/>
      <c r="KYV233" s="242"/>
      <c r="KYW233" s="256"/>
      <c r="KYX233" s="257"/>
      <c r="KYZ233" s="242"/>
      <c r="KZA233" s="256"/>
      <c r="KZB233" s="257"/>
      <c r="KZD233" s="242"/>
      <c r="KZE233" s="256"/>
      <c r="KZF233" s="257"/>
      <c r="KZH233" s="242"/>
      <c r="KZI233" s="256"/>
      <c r="KZJ233" s="257"/>
      <c r="KZL233" s="242"/>
      <c r="KZM233" s="256"/>
      <c r="KZN233" s="257"/>
      <c r="KZP233" s="242"/>
      <c r="KZQ233" s="256"/>
      <c r="KZR233" s="257"/>
      <c r="KZT233" s="242"/>
      <c r="KZU233" s="256"/>
      <c r="KZV233" s="257"/>
      <c r="KZX233" s="242"/>
      <c r="KZY233" s="256"/>
      <c r="KZZ233" s="257"/>
      <c r="LAB233" s="242"/>
      <c r="LAC233" s="256"/>
      <c r="LAD233" s="257"/>
      <c r="LAF233" s="242"/>
      <c r="LAG233" s="256"/>
      <c r="LAH233" s="257"/>
      <c r="LAJ233" s="242"/>
      <c r="LAK233" s="256"/>
      <c r="LAL233" s="257"/>
      <c r="LAN233" s="242"/>
      <c r="LAO233" s="256"/>
      <c r="LAP233" s="257"/>
      <c r="LAR233" s="242"/>
      <c r="LAS233" s="256"/>
      <c r="LAT233" s="257"/>
      <c r="LAV233" s="242"/>
      <c r="LAW233" s="256"/>
      <c r="LAX233" s="257"/>
      <c r="LAZ233" s="242"/>
      <c r="LBA233" s="256"/>
      <c r="LBB233" s="257"/>
      <c r="LBD233" s="242"/>
      <c r="LBE233" s="256"/>
      <c r="LBF233" s="257"/>
      <c r="LBH233" s="242"/>
      <c r="LBI233" s="256"/>
      <c r="LBJ233" s="257"/>
      <c r="LBL233" s="242"/>
      <c r="LBM233" s="256"/>
      <c r="LBN233" s="257"/>
      <c r="LBP233" s="242"/>
      <c r="LBQ233" s="256"/>
      <c r="LBR233" s="257"/>
      <c r="LBT233" s="242"/>
      <c r="LBU233" s="256"/>
      <c r="LBV233" s="257"/>
      <c r="LBX233" s="242"/>
      <c r="LBY233" s="256"/>
      <c r="LBZ233" s="257"/>
      <c r="LCB233" s="242"/>
      <c r="LCC233" s="256"/>
      <c r="LCD233" s="257"/>
      <c r="LCF233" s="242"/>
      <c r="LCG233" s="256"/>
      <c r="LCH233" s="257"/>
      <c r="LCJ233" s="242"/>
      <c r="LCK233" s="256"/>
      <c r="LCL233" s="257"/>
      <c r="LCN233" s="242"/>
      <c r="LCO233" s="256"/>
      <c r="LCP233" s="257"/>
      <c r="LCR233" s="242"/>
      <c r="LCS233" s="256"/>
      <c r="LCT233" s="257"/>
      <c r="LCV233" s="242"/>
      <c r="LCW233" s="256"/>
      <c r="LCX233" s="257"/>
      <c r="LCZ233" s="242"/>
      <c r="LDA233" s="256"/>
      <c r="LDB233" s="257"/>
      <c r="LDD233" s="242"/>
      <c r="LDE233" s="256"/>
      <c r="LDF233" s="257"/>
      <c r="LDH233" s="242"/>
      <c r="LDI233" s="256"/>
      <c r="LDJ233" s="257"/>
      <c r="LDL233" s="242"/>
      <c r="LDM233" s="256"/>
      <c r="LDN233" s="257"/>
      <c r="LDP233" s="242"/>
      <c r="LDQ233" s="256"/>
      <c r="LDR233" s="257"/>
      <c r="LDT233" s="242"/>
      <c r="LDU233" s="256"/>
      <c r="LDV233" s="257"/>
      <c r="LDX233" s="242"/>
      <c r="LDY233" s="256"/>
      <c r="LDZ233" s="257"/>
      <c r="LEB233" s="242"/>
      <c r="LEC233" s="256"/>
      <c r="LED233" s="257"/>
      <c r="LEF233" s="242"/>
      <c r="LEG233" s="256"/>
      <c r="LEH233" s="257"/>
      <c r="LEJ233" s="242"/>
      <c r="LEK233" s="256"/>
      <c r="LEL233" s="257"/>
      <c r="LEN233" s="242"/>
      <c r="LEO233" s="256"/>
      <c r="LEP233" s="257"/>
      <c r="LER233" s="242"/>
      <c r="LES233" s="256"/>
      <c r="LET233" s="257"/>
      <c r="LEV233" s="242"/>
      <c r="LEW233" s="256"/>
      <c r="LEX233" s="257"/>
      <c r="LEZ233" s="242"/>
      <c r="LFA233" s="256"/>
      <c r="LFB233" s="257"/>
      <c r="LFD233" s="242"/>
      <c r="LFE233" s="256"/>
      <c r="LFF233" s="257"/>
      <c r="LFH233" s="242"/>
      <c r="LFI233" s="256"/>
      <c r="LFJ233" s="257"/>
      <c r="LFL233" s="242"/>
      <c r="LFM233" s="256"/>
      <c r="LFN233" s="257"/>
      <c r="LFP233" s="242"/>
      <c r="LFQ233" s="256"/>
      <c r="LFR233" s="257"/>
      <c r="LFT233" s="242"/>
      <c r="LFU233" s="256"/>
      <c r="LFV233" s="257"/>
      <c r="LFX233" s="242"/>
      <c r="LFY233" s="256"/>
      <c r="LFZ233" s="257"/>
      <c r="LGB233" s="242"/>
      <c r="LGC233" s="256"/>
      <c r="LGD233" s="257"/>
      <c r="LGF233" s="242"/>
      <c r="LGG233" s="256"/>
      <c r="LGH233" s="257"/>
      <c r="LGJ233" s="242"/>
      <c r="LGK233" s="256"/>
      <c r="LGL233" s="257"/>
      <c r="LGN233" s="242"/>
      <c r="LGO233" s="256"/>
      <c r="LGP233" s="257"/>
      <c r="LGR233" s="242"/>
      <c r="LGS233" s="256"/>
      <c r="LGT233" s="257"/>
      <c r="LGV233" s="242"/>
      <c r="LGW233" s="256"/>
      <c r="LGX233" s="257"/>
      <c r="LGZ233" s="242"/>
      <c r="LHA233" s="256"/>
      <c r="LHB233" s="257"/>
      <c r="LHD233" s="242"/>
      <c r="LHE233" s="256"/>
      <c r="LHF233" s="257"/>
      <c r="LHH233" s="242"/>
      <c r="LHI233" s="256"/>
      <c r="LHJ233" s="257"/>
      <c r="LHL233" s="242"/>
      <c r="LHM233" s="256"/>
      <c r="LHN233" s="257"/>
      <c r="LHP233" s="242"/>
      <c r="LHQ233" s="256"/>
      <c r="LHR233" s="257"/>
      <c r="LHT233" s="242"/>
      <c r="LHU233" s="256"/>
      <c r="LHV233" s="257"/>
      <c r="LHX233" s="242"/>
      <c r="LHY233" s="256"/>
      <c r="LHZ233" s="257"/>
      <c r="LIB233" s="242"/>
      <c r="LIC233" s="256"/>
      <c r="LID233" s="257"/>
      <c r="LIF233" s="242"/>
      <c r="LIG233" s="256"/>
      <c r="LIH233" s="257"/>
      <c r="LIJ233" s="242"/>
      <c r="LIK233" s="256"/>
      <c r="LIL233" s="257"/>
      <c r="LIN233" s="242"/>
      <c r="LIO233" s="256"/>
      <c r="LIP233" s="257"/>
      <c r="LIR233" s="242"/>
      <c r="LIS233" s="256"/>
      <c r="LIT233" s="257"/>
      <c r="LIV233" s="242"/>
      <c r="LIW233" s="256"/>
      <c r="LIX233" s="257"/>
      <c r="LIZ233" s="242"/>
      <c r="LJA233" s="256"/>
      <c r="LJB233" s="257"/>
      <c r="LJD233" s="242"/>
      <c r="LJE233" s="256"/>
      <c r="LJF233" s="257"/>
      <c r="LJH233" s="242"/>
      <c r="LJI233" s="256"/>
      <c r="LJJ233" s="257"/>
      <c r="LJL233" s="242"/>
      <c r="LJM233" s="256"/>
      <c r="LJN233" s="257"/>
      <c r="LJP233" s="242"/>
      <c r="LJQ233" s="256"/>
      <c r="LJR233" s="257"/>
      <c r="LJT233" s="242"/>
      <c r="LJU233" s="256"/>
      <c r="LJV233" s="257"/>
      <c r="LJX233" s="242"/>
      <c r="LJY233" s="256"/>
      <c r="LJZ233" s="257"/>
      <c r="LKB233" s="242"/>
      <c r="LKC233" s="256"/>
      <c r="LKD233" s="257"/>
      <c r="LKF233" s="242"/>
      <c r="LKG233" s="256"/>
      <c r="LKH233" s="257"/>
      <c r="LKJ233" s="242"/>
      <c r="LKK233" s="256"/>
      <c r="LKL233" s="257"/>
      <c r="LKN233" s="242"/>
      <c r="LKO233" s="256"/>
      <c r="LKP233" s="257"/>
      <c r="LKR233" s="242"/>
      <c r="LKS233" s="256"/>
      <c r="LKT233" s="257"/>
      <c r="LKV233" s="242"/>
      <c r="LKW233" s="256"/>
      <c r="LKX233" s="257"/>
      <c r="LKZ233" s="242"/>
      <c r="LLA233" s="256"/>
      <c r="LLB233" s="257"/>
      <c r="LLD233" s="242"/>
      <c r="LLE233" s="256"/>
      <c r="LLF233" s="257"/>
      <c r="LLH233" s="242"/>
      <c r="LLI233" s="256"/>
      <c r="LLJ233" s="257"/>
      <c r="LLL233" s="242"/>
      <c r="LLM233" s="256"/>
      <c r="LLN233" s="257"/>
      <c r="LLP233" s="242"/>
      <c r="LLQ233" s="256"/>
      <c r="LLR233" s="257"/>
      <c r="LLT233" s="242"/>
      <c r="LLU233" s="256"/>
      <c r="LLV233" s="257"/>
      <c r="LLX233" s="242"/>
      <c r="LLY233" s="256"/>
      <c r="LLZ233" s="257"/>
      <c r="LMB233" s="242"/>
      <c r="LMC233" s="256"/>
      <c r="LMD233" s="257"/>
      <c r="LMF233" s="242"/>
      <c r="LMG233" s="256"/>
      <c r="LMH233" s="257"/>
      <c r="LMJ233" s="242"/>
      <c r="LMK233" s="256"/>
      <c r="LML233" s="257"/>
      <c r="LMN233" s="242"/>
      <c r="LMO233" s="256"/>
      <c r="LMP233" s="257"/>
      <c r="LMR233" s="242"/>
      <c r="LMS233" s="256"/>
      <c r="LMT233" s="257"/>
      <c r="LMV233" s="242"/>
      <c r="LMW233" s="256"/>
      <c r="LMX233" s="257"/>
      <c r="LMZ233" s="242"/>
      <c r="LNA233" s="256"/>
      <c r="LNB233" s="257"/>
      <c r="LND233" s="242"/>
      <c r="LNE233" s="256"/>
      <c r="LNF233" s="257"/>
      <c r="LNH233" s="242"/>
      <c r="LNI233" s="256"/>
      <c r="LNJ233" s="257"/>
      <c r="LNL233" s="242"/>
      <c r="LNM233" s="256"/>
      <c r="LNN233" s="257"/>
      <c r="LNP233" s="242"/>
      <c r="LNQ233" s="256"/>
      <c r="LNR233" s="257"/>
      <c r="LNT233" s="242"/>
      <c r="LNU233" s="256"/>
      <c r="LNV233" s="257"/>
      <c r="LNX233" s="242"/>
      <c r="LNY233" s="256"/>
      <c r="LNZ233" s="257"/>
      <c r="LOB233" s="242"/>
      <c r="LOC233" s="256"/>
      <c r="LOD233" s="257"/>
      <c r="LOF233" s="242"/>
      <c r="LOG233" s="256"/>
      <c r="LOH233" s="257"/>
      <c r="LOJ233" s="242"/>
      <c r="LOK233" s="256"/>
      <c r="LOL233" s="257"/>
      <c r="LON233" s="242"/>
      <c r="LOO233" s="256"/>
      <c r="LOP233" s="257"/>
      <c r="LOR233" s="242"/>
      <c r="LOS233" s="256"/>
      <c r="LOT233" s="257"/>
      <c r="LOV233" s="242"/>
      <c r="LOW233" s="256"/>
      <c r="LOX233" s="257"/>
      <c r="LOZ233" s="242"/>
      <c r="LPA233" s="256"/>
      <c r="LPB233" s="257"/>
      <c r="LPD233" s="242"/>
      <c r="LPE233" s="256"/>
      <c r="LPF233" s="257"/>
      <c r="LPH233" s="242"/>
      <c r="LPI233" s="256"/>
      <c r="LPJ233" s="257"/>
      <c r="LPL233" s="242"/>
      <c r="LPM233" s="256"/>
      <c r="LPN233" s="257"/>
      <c r="LPP233" s="242"/>
      <c r="LPQ233" s="256"/>
      <c r="LPR233" s="257"/>
      <c r="LPT233" s="242"/>
      <c r="LPU233" s="256"/>
      <c r="LPV233" s="257"/>
      <c r="LPX233" s="242"/>
      <c r="LPY233" s="256"/>
      <c r="LPZ233" s="257"/>
      <c r="LQB233" s="242"/>
      <c r="LQC233" s="256"/>
      <c r="LQD233" s="257"/>
      <c r="LQF233" s="242"/>
      <c r="LQG233" s="256"/>
      <c r="LQH233" s="257"/>
      <c r="LQJ233" s="242"/>
      <c r="LQK233" s="256"/>
      <c r="LQL233" s="257"/>
      <c r="LQN233" s="242"/>
      <c r="LQO233" s="256"/>
      <c r="LQP233" s="257"/>
      <c r="LQR233" s="242"/>
      <c r="LQS233" s="256"/>
      <c r="LQT233" s="257"/>
      <c r="LQV233" s="242"/>
      <c r="LQW233" s="256"/>
      <c r="LQX233" s="257"/>
      <c r="LQZ233" s="242"/>
      <c r="LRA233" s="256"/>
      <c r="LRB233" s="257"/>
      <c r="LRD233" s="242"/>
      <c r="LRE233" s="256"/>
      <c r="LRF233" s="257"/>
      <c r="LRH233" s="242"/>
      <c r="LRI233" s="256"/>
      <c r="LRJ233" s="257"/>
      <c r="LRL233" s="242"/>
      <c r="LRM233" s="256"/>
      <c r="LRN233" s="257"/>
      <c r="LRP233" s="242"/>
      <c r="LRQ233" s="256"/>
      <c r="LRR233" s="257"/>
      <c r="LRT233" s="242"/>
      <c r="LRU233" s="256"/>
      <c r="LRV233" s="257"/>
      <c r="LRX233" s="242"/>
      <c r="LRY233" s="256"/>
      <c r="LRZ233" s="257"/>
      <c r="LSB233" s="242"/>
      <c r="LSC233" s="256"/>
      <c r="LSD233" s="257"/>
      <c r="LSF233" s="242"/>
      <c r="LSG233" s="256"/>
      <c r="LSH233" s="257"/>
      <c r="LSJ233" s="242"/>
      <c r="LSK233" s="256"/>
      <c r="LSL233" s="257"/>
      <c r="LSN233" s="242"/>
      <c r="LSO233" s="256"/>
      <c r="LSP233" s="257"/>
      <c r="LSR233" s="242"/>
      <c r="LSS233" s="256"/>
      <c r="LST233" s="257"/>
      <c r="LSV233" s="242"/>
      <c r="LSW233" s="256"/>
      <c r="LSX233" s="257"/>
      <c r="LSZ233" s="242"/>
      <c r="LTA233" s="256"/>
      <c r="LTB233" s="257"/>
      <c r="LTD233" s="242"/>
      <c r="LTE233" s="256"/>
      <c r="LTF233" s="257"/>
      <c r="LTH233" s="242"/>
      <c r="LTI233" s="256"/>
      <c r="LTJ233" s="257"/>
      <c r="LTL233" s="242"/>
      <c r="LTM233" s="256"/>
      <c r="LTN233" s="257"/>
      <c r="LTP233" s="242"/>
      <c r="LTQ233" s="256"/>
      <c r="LTR233" s="257"/>
      <c r="LTT233" s="242"/>
      <c r="LTU233" s="256"/>
      <c r="LTV233" s="257"/>
      <c r="LTX233" s="242"/>
      <c r="LTY233" s="256"/>
      <c r="LTZ233" s="257"/>
      <c r="LUB233" s="242"/>
      <c r="LUC233" s="256"/>
      <c r="LUD233" s="257"/>
      <c r="LUF233" s="242"/>
      <c r="LUG233" s="256"/>
      <c r="LUH233" s="257"/>
      <c r="LUJ233" s="242"/>
      <c r="LUK233" s="256"/>
      <c r="LUL233" s="257"/>
      <c r="LUN233" s="242"/>
      <c r="LUO233" s="256"/>
      <c r="LUP233" s="257"/>
      <c r="LUR233" s="242"/>
      <c r="LUS233" s="256"/>
      <c r="LUT233" s="257"/>
      <c r="LUV233" s="242"/>
      <c r="LUW233" s="256"/>
      <c r="LUX233" s="257"/>
      <c r="LUZ233" s="242"/>
      <c r="LVA233" s="256"/>
      <c r="LVB233" s="257"/>
      <c r="LVD233" s="242"/>
      <c r="LVE233" s="256"/>
      <c r="LVF233" s="257"/>
      <c r="LVH233" s="242"/>
      <c r="LVI233" s="256"/>
      <c r="LVJ233" s="257"/>
      <c r="LVL233" s="242"/>
      <c r="LVM233" s="256"/>
      <c r="LVN233" s="257"/>
      <c r="LVP233" s="242"/>
      <c r="LVQ233" s="256"/>
      <c r="LVR233" s="257"/>
      <c r="LVT233" s="242"/>
      <c r="LVU233" s="256"/>
      <c r="LVV233" s="257"/>
      <c r="LVX233" s="242"/>
      <c r="LVY233" s="256"/>
      <c r="LVZ233" s="257"/>
      <c r="LWB233" s="242"/>
      <c r="LWC233" s="256"/>
      <c r="LWD233" s="257"/>
      <c r="LWF233" s="242"/>
      <c r="LWG233" s="256"/>
      <c r="LWH233" s="257"/>
      <c r="LWJ233" s="242"/>
      <c r="LWK233" s="256"/>
      <c r="LWL233" s="257"/>
      <c r="LWN233" s="242"/>
      <c r="LWO233" s="256"/>
      <c r="LWP233" s="257"/>
      <c r="LWR233" s="242"/>
      <c r="LWS233" s="256"/>
      <c r="LWT233" s="257"/>
      <c r="LWV233" s="242"/>
      <c r="LWW233" s="256"/>
      <c r="LWX233" s="257"/>
      <c r="LWZ233" s="242"/>
      <c r="LXA233" s="256"/>
      <c r="LXB233" s="257"/>
      <c r="LXD233" s="242"/>
      <c r="LXE233" s="256"/>
      <c r="LXF233" s="257"/>
      <c r="LXH233" s="242"/>
      <c r="LXI233" s="256"/>
      <c r="LXJ233" s="257"/>
      <c r="LXL233" s="242"/>
      <c r="LXM233" s="256"/>
      <c r="LXN233" s="257"/>
      <c r="LXP233" s="242"/>
      <c r="LXQ233" s="256"/>
      <c r="LXR233" s="257"/>
      <c r="LXT233" s="242"/>
      <c r="LXU233" s="256"/>
      <c r="LXV233" s="257"/>
      <c r="LXX233" s="242"/>
      <c r="LXY233" s="256"/>
      <c r="LXZ233" s="257"/>
      <c r="LYB233" s="242"/>
      <c r="LYC233" s="256"/>
      <c r="LYD233" s="257"/>
      <c r="LYF233" s="242"/>
      <c r="LYG233" s="256"/>
      <c r="LYH233" s="257"/>
      <c r="LYJ233" s="242"/>
      <c r="LYK233" s="256"/>
      <c r="LYL233" s="257"/>
      <c r="LYN233" s="242"/>
      <c r="LYO233" s="256"/>
      <c r="LYP233" s="257"/>
      <c r="LYR233" s="242"/>
      <c r="LYS233" s="256"/>
      <c r="LYT233" s="257"/>
      <c r="LYV233" s="242"/>
      <c r="LYW233" s="256"/>
      <c r="LYX233" s="257"/>
      <c r="LYZ233" s="242"/>
      <c r="LZA233" s="256"/>
      <c r="LZB233" s="257"/>
      <c r="LZD233" s="242"/>
      <c r="LZE233" s="256"/>
      <c r="LZF233" s="257"/>
      <c r="LZH233" s="242"/>
      <c r="LZI233" s="256"/>
      <c r="LZJ233" s="257"/>
      <c r="LZL233" s="242"/>
      <c r="LZM233" s="256"/>
      <c r="LZN233" s="257"/>
      <c r="LZP233" s="242"/>
      <c r="LZQ233" s="256"/>
      <c r="LZR233" s="257"/>
      <c r="LZT233" s="242"/>
      <c r="LZU233" s="256"/>
      <c r="LZV233" s="257"/>
      <c r="LZX233" s="242"/>
      <c r="LZY233" s="256"/>
      <c r="LZZ233" s="257"/>
      <c r="MAB233" s="242"/>
      <c r="MAC233" s="256"/>
      <c r="MAD233" s="257"/>
      <c r="MAF233" s="242"/>
      <c r="MAG233" s="256"/>
      <c r="MAH233" s="257"/>
      <c r="MAJ233" s="242"/>
      <c r="MAK233" s="256"/>
      <c r="MAL233" s="257"/>
      <c r="MAN233" s="242"/>
      <c r="MAO233" s="256"/>
      <c r="MAP233" s="257"/>
      <c r="MAR233" s="242"/>
      <c r="MAS233" s="256"/>
      <c r="MAT233" s="257"/>
      <c r="MAV233" s="242"/>
      <c r="MAW233" s="256"/>
      <c r="MAX233" s="257"/>
      <c r="MAZ233" s="242"/>
      <c r="MBA233" s="256"/>
      <c r="MBB233" s="257"/>
      <c r="MBD233" s="242"/>
      <c r="MBE233" s="256"/>
      <c r="MBF233" s="257"/>
      <c r="MBH233" s="242"/>
      <c r="MBI233" s="256"/>
      <c r="MBJ233" s="257"/>
      <c r="MBL233" s="242"/>
      <c r="MBM233" s="256"/>
      <c r="MBN233" s="257"/>
      <c r="MBP233" s="242"/>
      <c r="MBQ233" s="256"/>
      <c r="MBR233" s="257"/>
      <c r="MBT233" s="242"/>
      <c r="MBU233" s="256"/>
      <c r="MBV233" s="257"/>
      <c r="MBX233" s="242"/>
      <c r="MBY233" s="256"/>
      <c r="MBZ233" s="257"/>
      <c r="MCB233" s="242"/>
      <c r="MCC233" s="256"/>
      <c r="MCD233" s="257"/>
      <c r="MCF233" s="242"/>
      <c r="MCG233" s="256"/>
      <c r="MCH233" s="257"/>
      <c r="MCJ233" s="242"/>
      <c r="MCK233" s="256"/>
      <c r="MCL233" s="257"/>
      <c r="MCN233" s="242"/>
      <c r="MCO233" s="256"/>
      <c r="MCP233" s="257"/>
      <c r="MCR233" s="242"/>
      <c r="MCS233" s="256"/>
      <c r="MCT233" s="257"/>
      <c r="MCV233" s="242"/>
      <c r="MCW233" s="256"/>
      <c r="MCX233" s="257"/>
      <c r="MCZ233" s="242"/>
      <c r="MDA233" s="256"/>
      <c r="MDB233" s="257"/>
      <c r="MDD233" s="242"/>
      <c r="MDE233" s="256"/>
      <c r="MDF233" s="257"/>
      <c r="MDH233" s="242"/>
      <c r="MDI233" s="256"/>
      <c r="MDJ233" s="257"/>
      <c r="MDL233" s="242"/>
      <c r="MDM233" s="256"/>
      <c r="MDN233" s="257"/>
      <c r="MDP233" s="242"/>
      <c r="MDQ233" s="256"/>
      <c r="MDR233" s="257"/>
      <c r="MDT233" s="242"/>
      <c r="MDU233" s="256"/>
      <c r="MDV233" s="257"/>
      <c r="MDX233" s="242"/>
      <c r="MDY233" s="256"/>
      <c r="MDZ233" s="257"/>
      <c r="MEB233" s="242"/>
      <c r="MEC233" s="256"/>
      <c r="MED233" s="257"/>
      <c r="MEF233" s="242"/>
      <c r="MEG233" s="256"/>
      <c r="MEH233" s="257"/>
      <c r="MEJ233" s="242"/>
      <c r="MEK233" s="256"/>
      <c r="MEL233" s="257"/>
      <c r="MEN233" s="242"/>
      <c r="MEO233" s="256"/>
      <c r="MEP233" s="257"/>
      <c r="MER233" s="242"/>
      <c r="MES233" s="256"/>
      <c r="MET233" s="257"/>
      <c r="MEV233" s="242"/>
      <c r="MEW233" s="256"/>
      <c r="MEX233" s="257"/>
      <c r="MEZ233" s="242"/>
      <c r="MFA233" s="256"/>
      <c r="MFB233" s="257"/>
      <c r="MFD233" s="242"/>
      <c r="MFE233" s="256"/>
      <c r="MFF233" s="257"/>
      <c r="MFH233" s="242"/>
      <c r="MFI233" s="256"/>
      <c r="MFJ233" s="257"/>
      <c r="MFL233" s="242"/>
      <c r="MFM233" s="256"/>
      <c r="MFN233" s="257"/>
      <c r="MFP233" s="242"/>
      <c r="MFQ233" s="256"/>
      <c r="MFR233" s="257"/>
      <c r="MFT233" s="242"/>
      <c r="MFU233" s="256"/>
      <c r="MFV233" s="257"/>
      <c r="MFX233" s="242"/>
      <c r="MFY233" s="256"/>
      <c r="MFZ233" s="257"/>
      <c r="MGB233" s="242"/>
      <c r="MGC233" s="256"/>
      <c r="MGD233" s="257"/>
      <c r="MGF233" s="242"/>
      <c r="MGG233" s="256"/>
      <c r="MGH233" s="257"/>
      <c r="MGJ233" s="242"/>
      <c r="MGK233" s="256"/>
      <c r="MGL233" s="257"/>
      <c r="MGN233" s="242"/>
      <c r="MGO233" s="256"/>
      <c r="MGP233" s="257"/>
      <c r="MGR233" s="242"/>
      <c r="MGS233" s="256"/>
      <c r="MGT233" s="257"/>
      <c r="MGV233" s="242"/>
      <c r="MGW233" s="256"/>
      <c r="MGX233" s="257"/>
      <c r="MGZ233" s="242"/>
      <c r="MHA233" s="256"/>
      <c r="MHB233" s="257"/>
      <c r="MHD233" s="242"/>
      <c r="MHE233" s="256"/>
      <c r="MHF233" s="257"/>
      <c r="MHH233" s="242"/>
      <c r="MHI233" s="256"/>
      <c r="MHJ233" s="257"/>
      <c r="MHL233" s="242"/>
      <c r="MHM233" s="256"/>
      <c r="MHN233" s="257"/>
      <c r="MHP233" s="242"/>
      <c r="MHQ233" s="256"/>
      <c r="MHR233" s="257"/>
      <c r="MHT233" s="242"/>
      <c r="MHU233" s="256"/>
      <c r="MHV233" s="257"/>
      <c r="MHX233" s="242"/>
      <c r="MHY233" s="256"/>
      <c r="MHZ233" s="257"/>
      <c r="MIB233" s="242"/>
      <c r="MIC233" s="256"/>
      <c r="MID233" s="257"/>
      <c r="MIF233" s="242"/>
      <c r="MIG233" s="256"/>
      <c r="MIH233" s="257"/>
      <c r="MIJ233" s="242"/>
      <c r="MIK233" s="256"/>
      <c r="MIL233" s="257"/>
      <c r="MIN233" s="242"/>
      <c r="MIO233" s="256"/>
      <c r="MIP233" s="257"/>
      <c r="MIR233" s="242"/>
      <c r="MIS233" s="256"/>
      <c r="MIT233" s="257"/>
      <c r="MIV233" s="242"/>
      <c r="MIW233" s="256"/>
      <c r="MIX233" s="257"/>
      <c r="MIZ233" s="242"/>
      <c r="MJA233" s="256"/>
      <c r="MJB233" s="257"/>
      <c r="MJD233" s="242"/>
      <c r="MJE233" s="256"/>
      <c r="MJF233" s="257"/>
      <c r="MJH233" s="242"/>
      <c r="MJI233" s="256"/>
      <c r="MJJ233" s="257"/>
      <c r="MJL233" s="242"/>
      <c r="MJM233" s="256"/>
      <c r="MJN233" s="257"/>
      <c r="MJP233" s="242"/>
      <c r="MJQ233" s="256"/>
      <c r="MJR233" s="257"/>
      <c r="MJT233" s="242"/>
      <c r="MJU233" s="256"/>
      <c r="MJV233" s="257"/>
      <c r="MJX233" s="242"/>
      <c r="MJY233" s="256"/>
      <c r="MJZ233" s="257"/>
      <c r="MKB233" s="242"/>
      <c r="MKC233" s="256"/>
      <c r="MKD233" s="257"/>
      <c r="MKF233" s="242"/>
      <c r="MKG233" s="256"/>
      <c r="MKH233" s="257"/>
      <c r="MKJ233" s="242"/>
      <c r="MKK233" s="256"/>
      <c r="MKL233" s="257"/>
      <c r="MKN233" s="242"/>
      <c r="MKO233" s="256"/>
      <c r="MKP233" s="257"/>
      <c r="MKR233" s="242"/>
      <c r="MKS233" s="256"/>
      <c r="MKT233" s="257"/>
      <c r="MKV233" s="242"/>
      <c r="MKW233" s="256"/>
      <c r="MKX233" s="257"/>
      <c r="MKZ233" s="242"/>
      <c r="MLA233" s="256"/>
      <c r="MLB233" s="257"/>
      <c r="MLD233" s="242"/>
      <c r="MLE233" s="256"/>
      <c r="MLF233" s="257"/>
      <c r="MLH233" s="242"/>
      <c r="MLI233" s="256"/>
      <c r="MLJ233" s="257"/>
      <c r="MLL233" s="242"/>
      <c r="MLM233" s="256"/>
      <c r="MLN233" s="257"/>
      <c r="MLP233" s="242"/>
      <c r="MLQ233" s="256"/>
      <c r="MLR233" s="257"/>
      <c r="MLT233" s="242"/>
      <c r="MLU233" s="256"/>
      <c r="MLV233" s="257"/>
      <c r="MLX233" s="242"/>
      <c r="MLY233" s="256"/>
      <c r="MLZ233" s="257"/>
      <c r="MMB233" s="242"/>
      <c r="MMC233" s="256"/>
      <c r="MMD233" s="257"/>
      <c r="MMF233" s="242"/>
      <c r="MMG233" s="256"/>
      <c r="MMH233" s="257"/>
      <c r="MMJ233" s="242"/>
      <c r="MMK233" s="256"/>
      <c r="MML233" s="257"/>
      <c r="MMN233" s="242"/>
      <c r="MMO233" s="256"/>
      <c r="MMP233" s="257"/>
      <c r="MMR233" s="242"/>
      <c r="MMS233" s="256"/>
      <c r="MMT233" s="257"/>
      <c r="MMV233" s="242"/>
      <c r="MMW233" s="256"/>
      <c r="MMX233" s="257"/>
      <c r="MMZ233" s="242"/>
      <c r="MNA233" s="256"/>
      <c r="MNB233" s="257"/>
      <c r="MND233" s="242"/>
      <c r="MNE233" s="256"/>
      <c r="MNF233" s="257"/>
      <c r="MNH233" s="242"/>
      <c r="MNI233" s="256"/>
      <c r="MNJ233" s="257"/>
      <c r="MNL233" s="242"/>
      <c r="MNM233" s="256"/>
      <c r="MNN233" s="257"/>
      <c r="MNP233" s="242"/>
      <c r="MNQ233" s="256"/>
      <c r="MNR233" s="257"/>
      <c r="MNT233" s="242"/>
      <c r="MNU233" s="256"/>
      <c r="MNV233" s="257"/>
      <c r="MNX233" s="242"/>
      <c r="MNY233" s="256"/>
      <c r="MNZ233" s="257"/>
      <c r="MOB233" s="242"/>
      <c r="MOC233" s="256"/>
      <c r="MOD233" s="257"/>
      <c r="MOF233" s="242"/>
      <c r="MOG233" s="256"/>
      <c r="MOH233" s="257"/>
      <c r="MOJ233" s="242"/>
      <c r="MOK233" s="256"/>
      <c r="MOL233" s="257"/>
      <c r="MON233" s="242"/>
      <c r="MOO233" s="256"/>
      <c r="MOP233" s="257"/>
      <c r="MOR233" s="242"/>
      <c r="MOS233" s="256"/>
      <c r="MOT233" s="257"/>
      <c r="MOV233" s="242"/>
      <c r="MOW233" s="256"/>
      <c r="MOX233" s="257"/>
      <c r="MOZ233" s="242"/>
      <c r="MPA233" s="256"/>
      <c r="MPB233" s="257"/>
      <c r="MPD233" s="242"/>
      <c r="MPE233" s="256"/>
      <c r="MPF233" s="257"/>
      <c r="MPH233" s="242"/>
      <c r="MPI233" s="256"/>
      <c r="MPJ233" s="257"/>
      <c r="MPL233" s="242"/>
      <c r="MPM233" s="256"/>
      <c r="MPN233" s="257"/>
      <c r="MPP233" s="242"/>
      <c r="MPQ233" s="256"/>
      <c r="MPR233" s="257"/>
      <c r="MPT233" s="242"/>
      <c r="MPU233" s="256"/>
      <c r="MPV233" s="257"/>
      <c r="MPX233" s="242"/>
      <c r="MPY233" s="256"/>
      <c r="MPZ233" s="257"/>
      <c r="MQB233" s="242"/>
      <c r="MQC233" s="256"/>
      <c r="MQD233" s="257"/>
      <c r="MQF233" s="242"/>
      <c r="MQG233" s="256"/>
      <c r="MQH233" s="257"/>
      <c r="MQJ233" s="242"/>
      <c r="MQK233" s="256"/>
      <c r="MQL233" s="257"/>
      <c r="MQN233" s="242"/>
      <c r="MQO233" s="256"/>
      <c r="MQP233" s="257"/>
      <c r="MQR233" s="242"/>
      <c r="MQS233" s="256"/>
      <c r="MQT233" s="257"/>
      <c r="MQV233" s="242"/>
      <c r="MQW233" s="256"/>
      <c r="MQX233" s="257"/>
      <c r="MQZ233" s="242"/>
      <c r="MRA233" s="256"/>
      <c r="MRB233" s="257"/>
      <c r="MRD233" s="242"/>
      <c r="MRE233" s="256"/>
      <c r="MRF233" s="257"/>
      <c r="MRH233" s="242"/>
      <c r="MRI233" s="256"/>
      <c r="MRJ233" s="257"/>
      <c r="MRL233" s="242"/>
      <c r="MRM233" s="256"/>
      <c r="MRN233" s="257"/>
      <c r="MRP233" s="242"/>
      <c r="MRQ233" s="256"/>
      <c r="MRR233" s="257"/>
      <c r="MRT233" s="242"/>
      <c r="MRU233" s="256"/>
      <c r="MRV233" s="257"/>
      <c r="MRX233" s="242"/>
      <c r="MRY233" s="256"/>
      <c r="MRZ233" s="257"/>
      <c r="MSB233" s="242"/>
      <c r="MSC233" s="256"/>
      <c r="MSD233" s="257"/>
      <c r="MSF233" s="242"/>
      <c r="MSG233" s="256"/>
      <c r="MSH233" s="257"/>
      <c r="MSJ233" s="242"/>
      <c r="MSK233" s="256"/>
      <c r="MSL233" s="257"/>
      <c r="MSN233" s="242"/>
      <c r="MSO233" s="256"/>
      <c r="MSP233" s="257"/>
      <c r="MSR233" s="242"/>
      <c r="MSS233" s="256"/>
      <c r="MST233" s="257"/>
      <c r="MSV233" s="242"/>
      <c r="MSW233" s="256"/>
      <c r="MSX233" s="257"/>
      <c r="MSZ233" s="242"/>
      <c r="MTA233" s="256"/>
      <c r="MTB233" s="257"/>
      <c r="MTD233" s="242"/>
      <c r="MTE233" s="256"/>
      <c r="MTF233" s="257"/>
      <c r="MTH233" s="242"/>
      <c r="MTI233" s="256"/>
      <c r="MTJ233" s="257"/>
      <c r="MTL233" s="242"/>
      <c r="MTM233" s="256"/>
      <c r="MTN233" s="257"/>
      <c r="MTP233" s="242"/>
      <c r="MTQ233" s="256"/>
      <c r="MTR233" s="257"/>
      <c r="MTT233" s="242"/>
      <c r="MTU233" s="256"/>
      <c r="MTV233" s="257"/>
      <c r="MTX233" s="242"/>
      <c r="MTY233" s="256"/>
      <c r="MTZ233" s="257"/>
      <c r="MUB233" s="242"/>
      <c r="MUC233" s="256"/>
      <c r="MUD233" s="257"/>
      <c r="MUF233" s="242"/>
      <c r="MUG233" s="256"/>
      <c r="MUH233" s="257"/>
      <c r="MUJ233" s="242"/>
      <c r="MUK233" s="256"/>
      <c r="MUL233" s="257"/>
      <c r="MUN233" s="242"/>
      <c r="MUO233" s="256"/>
      <c r="MUP233" s="257"/>
      <c r="MUR233" s="242"/>
      <c r="MUS233" s="256"/>
      <c r="MUT233" s="257"/>
      <c r="MUV233" s="242"/>
      <c r="MUW233" s="256"/>
      <c r="MUX233" s="257"/>
      <c r="MUZ233" s="242"/>
      <c r="MVA233" s="256"/>
      <c r="MVB233" s="257"/>
      <c r="MVD233" s="242"/>
      <c r="MVE233" s="256"/>
      <c r="MVF233" s="257"/>
      <c r="MVH233" s="242"/>
      <c r="MVI233" s="256"/>
      <c r="MVJ233" s="257"/>
      <c r="MVL233" s="242"/>
      <c r="MVM233" s="256"/>
      <c r="MVN233" s="257"/>
      <c r="MVP233" s="242"/>
      <c r="MVQ233" s="256"/>
      <c r="MVR233" s="257"/>
      <c r="MVT233" s="242"/>
      <c r="MVU233" s="256"/>
      <c r="MVV233" s="257"/>
      <c r="MVX233" s="242"/>
      <c r="MVY233" s="256"/>
      <c r="MVZ233" s="257"/>
      <c r="MWB233" s="242"/>
      <c r="MWC233" s="256"/>
      <c r="MWD233" s="257"/>
      <c r="MWF233" s="242"/>
      <c r="MWG233" s="256"/>
      <c r="MWH233" s="257"/>
      <c r="MWJ233" s="242"/>
      <c r="MWK233" s="256"/>
      <c r="MWL233" s="257"/>
      <c r="MWN233" s="242"/>
      <c r="MWO233" s="256"/>
      <c r="MWP233" s="257"/>
      <c r="MWR233" s="242"/>
      <c r="MWS233" s="256"/>
      <c r="MWT233" s="257"/>
      <c r="MWV233" s="242"/>
      <c r="MWW233" s="256"/>
      <c r="MWX233" s="257"/>
      <c r="MWZ233" s="242"/>
      <c r="MXA233" s="256"/>
      <c r="MXB233" s="257"/>
      <c r="MXD233" s="242"/>
      <c r="MXE233" s="256"/>
      <c r="MXF233" s="257"/>
      <c r="MXH233" s="242"/>
      <c r="MXI233" s="256"/>
      <c r="MXJ233" s="257"/>
      <c r="MXL233" s="242"/>
      <c r="MXM233" s="256"/>
      <c r="MXN233" s="257"/>
      <c r="MXP233" s="242"/>
      <c r="MXQ233" s="256"/>
      <c r="MXR233" s="257"/>
      <c r="MXT233" s="242"/>
      <c r="MXU233" s="256"/>
      <c r="MXV233" s="257"/>
      <c r="MXX233" s="242"/>
      <c r="MXY233" s="256"/>
      <c r="MXZ233" s="257"/>
      <c r="MYB233" s="242"/>
      <c r="MYC233" s="256"/>
      <c r="MYD233" s="257"/>
      <c r="MYF233" s="242"/>
      <c r="MYG233" s="256"/>
      <c r="MYH233" s="257"/>
      <c r="MYJ233" s="242"/>
      <c r="MYK233" s="256"/>
      <c r="MYL233" s="257"/>
      <c r="MYN233" s="242"/>
      <c r="MYO233" s="256"/>
      <c r="MYP233" s="257"/>
      <c r="MYR233" s="242"/>
      <c r="MYS233" s="256"/>
      <c r="MYT233" s="257"/>
      <c r="MYV233" s="242"/>
      <c r="MYW233" s="256"/>
      <c r="MYX233" s="257"/>
      <c r="MYZ233" s="242"/>
      <c r="MZA233" s="256"/>
      <c r="MZB233" s="257"/>
      <c r="MZD233" s="242"/>
      <c r="MZE233" s="256"/>
      <c r="MZF233" s="257"/>
      <c r="MZH233" s="242"/>
      <c r="MZI233" s="256"/>
      <c r="MZJ233" s="257"/>
      <c r="MZL233" s="242"/>
      <c r="MZM233" s="256"/>
      <c r="MZN233" s="257"/>
      <c r="MZP233" s="242"/>
      <c r="MZQ233" s="256"/>
      <c r="MZR233" s="257"/>
      <c r="MZT233" s="242"/>
      <c r="MZU233" s="256"/>
      <c r="MZV233" s="257"/>
      <c r="MZX233" s="242"/>
      <c r="MZY233" s="256"/>
      <c r="MZZ233" s="257"/>
      <c r="NAB233" s="242"/>
      <c r="NAC233" s="256"/>
      <c r="NAD233" s="257"/>
      <c r="NAF233" s="242"/>
      <c r="NAG233" s="256"/>
      <c r="NAH233" s="257"/>
      <c r="NAJ233" s="242"/>
      <c r="NAK233" s="256"/>
      <c r="NAL233" s="257"/>
      <c r="NAN233" s="242"/>
      <c r="NAO233" s="256"/>
      <c r="NAP233" s="257"/>
      <c r="NAR233" s="242"/>
      <c r="NAS233" s="256"/>
      <c r="NAT233" s="257"/>
      <c r="NAV233" s="242"/>
      <c r="NAW233" s="256"/>
      <c r="NAX233" s="257"/>
      <c r="NAZ233" s="242"/>
      <c r="NBA233" s="256"/>
      <c r="NBB233" s="257"/>
      <c r="NBD233" s="242"/>
      <c r="NBE233" s="256"/>
      <c r="NBF233" s="257"/>
      <c r="NBH233" s="242"/>
      <c r="NBI233" s="256"/>
      <c r="NBJ233" s="257"/>
      <c r="NBL233" s="242"/>
      <c r="NBM233" s="256"/>
      <c r="NBN233" s="257"/>
      <c r="NBP233" s="242"/>
      <c r="NBQ233" s="256"/>
      <c r="NBR233" s="257"/>
      <c r="NBT233" s="242"/>
      <c r="NBU233" s="256"/>
      <c r="NBV233" s="257"/>
      <c r="NBX233" s="242"/>
      <c r="NBY233" s="256"/>
      <c r="NBZ233" s="257"/>
      <c r="NCB233" s="242"/>
      <c r="NCC233" s="256"/>
      <c r="NCD233" s="257"/>
      <c r="NCF233" s="242"/>
      <c r="NCG233" s="256"/>
      <c r="NCH233" s="257"/>
      <c r="NCJ233" s="242"/>
      <c r="NCK233" s="256"/>
      <c r="NCL233" s="257"/>
      <c r="NCN233" s="242"/>
      <c r="NCO233" s="256"/>
      <c r="NCP233" s="257"/>
      <c r="NCR233" s="242"/>
      <c r="NCS233" s="256"/>
      <c r="NCT233" s="257"/>
      <c r="NCV233" s="242"/>
      <c r="NCW233" s="256"/>
      <c r="NCX233" s="257"/>
      <c r="NCZ233" s="242"/>
      <c r="NDA233" s="256"/>
      <c r="NDB233" s="257"/>
      <c r="NDD233" s="242"/>
      <c r="NDE233" s="256"/>
      <c r="NDF233" s="257"/>
      <c r="NDH233" s="242"/>
      <c r="NDI233" s="256"/>
      <c r="NDJ233" s="257"/>
      <c r="NDL233" s="242"/>
      <c r="NDM233" s="256"/>
      <c r="NDN233" s="257"/>
      <c r="NDP233" s="242"/>
      <c r="NDQ233" s="256"/>
      <c r="NDR233" s="257"/>
      <c r="NDT233" s="242"/>
      <c r="NDU233" s="256"/>
      <c r="NDV233" s="257"/>
      <c r="NDX233" s="242"/>
      <c r="NDY233" s="256"/>
      <c r="NDZ233" s="257"/>
      <c r="NEB233" s="242"/>
      <c r="NEC233" s="256"/>
      <c r="NED233" s="257"/>
      <c r="NEF233" s="242"/>
      <c r="NEG233" s="256"/>
      <c r="NEH233" s="257"/>
      <c r="NEJ233" s="242"/>
      <c r="NEK233" s="256"/>
      <c r="NEL233" s="257"/>
      <c r="NEN233" s="242"/>
      <c r="NEO233" s="256"/>
      <c r="NEP233" s="257"/>
      <c r="NER233" s="242"/>
      <c r="NES233" s="256"/>
      <c r="NET233" s="257"/>
      <c r="NEV233" s="242"/>
      <c r="NEW233" s="256"/>
      <c r="NEX233" s="257"/>
      <c r="NEZ233" s="242"/>
      <c r="NFA233" s="256"/>
      <c r="NFB233" s="257"/>
      <c r="NFD233" s="242"/>
      <c r="NFE233" s="256"/>
      <c r="NFF233" s="257"/>
      <c r="NFH233" s="242"/>
      <c r="NFI233" s="256"/>
      <c r="NFJ233" s="257"/>
      <c r="NFL233" s="242"/>
      <c r="NFM233" s="256"/>
      <c r="NFN233" s="257"/>
      <c r="NFP233" s="242"/>
      <c r="NFQ233" s="256"/>
      <c r="NFR233" s="257"/>
      <c r="NFT233" s="242"/>
      <c r="NFU233" s="256"/>
      <c r="NFV233" s="257"/>
      <c r="NFX233" s="242"/>
      <c r="NFY233" s="256"/>
      <c r="NFZ233" s="257"/>
      <c r="NGB233" s="242"/>
      <c r="NGC233" s="256"/>
      <c r="NGD233" s="257"/>
      <c r="NGF233" s="242"/>
      <c r="NGG233" s="256"/>
      <c r="NGH233" s="257"/>
      <c r="NGJ233" s="242"/>
      <c r="NGK233" s="256"/>
      <c r="NGL233" s="257"/>
      <c r="NGN233" s="242"/>
      <c r="NGO233" s="256"/>
      <c r="NGP233" s="257"/>
      <c r="NGR233" s="242"/>
      <c r="NGS233" s="256"/>
      <c r="NGT233" s="257"/>
      <c r="NGV233" s="242"/>
      <c r="NGW233" s="256"/>
      <c r="NGX233" s="257"/>
      <c r="NGZ233" s="242"/>
      <c r="NHA233" s="256"/>
      <c r="NHB233" s="257"/>
      <c r="NHD233" s="242"/>
      <c r="NHE233" s="256"/>
      <c r="NHF233" s="257"/>
      <c r="NHH233" s="242"/>
      <c r="NHI233" s="256"/>
      <c r="NHJ233" s="257"/>
      <c r="NHL233" s="242"/>
      <c r="NHM233" s="256"/>
      <c r="NHN233" s="257"/>
      <c r="NHP233" s="242"/>
      <c r="NHQ233" s="256"/>
      <c r="NHR233" s="257"/>
      <c r="NHT233" s="242"/>
      <c r="NHU233" s="256"/>
      <c r="NHV233" s="257"/>
      <c r="NHX233" s="242"/>
      <c r="NHY233" s="256"/>
      <c r="NHZ233" s="257"/>
      <c r="NIB233" s="242"/>
      <c r="NIC233" s="256"/>
      <c r="NID233" s="257"/>
      <c r="NIF233" s="242"/>
      <c r="NIG233" s="256"/>
      <c r="NIH233" s="257"/>
      <c r="NIJ233" s="242"/>
      <c r="NIK233" s="256"/>
      <c r="NIL233" s="257"/>
      <c r="NIN233" s="242"/>
      <c r="NIO233" s="256"/>
      <c r="NIP233" s="257"/>
      <c r="NIR233" s="242"/>
      <c r="NIS233" s="256"/>
      <c r="NIT233" s="257"/>
      <c r="NIV233" s="242"/>
      <c r="NIW233" s="256"/>
      <c r="NIX233" s="257"/>
      <c r="NIZ233" s="242"/>
      <c r="NJA233" s="256"/>
      <c r="NJB233" s="257"/>
      <c r="NJD233" s="242"/>
      <c r="NJE233" s="256"/>
      <c r="NJF233" s="257"/>
      <c r="NJH233" s="242"/>
      <c r="NJI233" s="256"/>
      <c r="NJJ233" s="257"/>
      <c r="NJL233" s="242"/>
      <c r="NJM233" s="256"/>
      <c r="NJN233" s="257"/>
      <c r="NJP233" s="242"/>
      <c r="NJQ233" s="256"/>
      <c r="NJR233" s="257"/>
      <c r="NJT233" s="242"/>
      <c r="NJU233" s="256"/>
      <c r="NJV233" s="257"/>
      <c r="NJX233" s="242"/>
      <c r="NJY233" s="256"/>
      <c r="NJZ233" s="257"/>
      <c r="NKB233" s="242"/>
      <c r="NKC233" s="256"/>
      <c r="NKD233" s="257"/>
      <c r="NKF233" s="242"/>
      <c r="NKG233" s="256"/>
      <c r="NKH233" s="257"/>
      <c r="NKJ233" s="242"/>
      <c r="NKK233" s="256"/>
      <c r="NKL233" s="257"/>
      <c r="NKN233" s="242"/>
      <c r="NKO233" s="256"/>
      <c r="NKP233" s="257"/>
      <c r="NKR233" s="242"/>
      <c r="NKS233" s="256"/>
      <c r="NKT233" s="257"/>
      <c r="NKV233" s="242"/>
      <c r="NKW233" s="256"/>
      <c r="NKX233" s="257"/>
      <c r="NKZ233" s="242"/>
      <c r="NLA233" s="256"/>
      <c r="NLB233" s="257"/>
      <c r="NLD233" s="242"/>
      <c r="NLE233" s="256"/>
      <c r="NLF233" s="257"/>
      <c r="NLH233" s="242"/>
      <c r="NLI233" s="256"/>
      <c r="NLJ233" s="257"/>
      <c r="NLL233" s="242"/>
      <c r="NLM233" s="256"/>
      <c r="NLN233" s="257"/>
      <c r="NLP233" s="242"/>
      <c r="NLQ233" s="256"/>
      <c r="NLR233" s="257"/>
      <c r="NLT233" s="242"/>
      <c r="NLU233" s="256"/>
      <c r="NLV233" s="257"/>
      <c r="NLX233" s="242"/>
      <c r="NLY233" s="256"/>
      <c r="NLZ233" s="257"/>
      <c r="NMB233" s="242"/>
      <c r="NMC233" s="256"/>
      <c r="NMD233" s="257"/>
      <c r="NMF233" s="242"/>
      <c r="NMG233" s="256"/>
      <c r="NMH233" s="257"/>
      <c r="NMJ233" s="242"/>
      <c r="NMK233" s="256"/>
      <c r="NML233" s="257"/>
      <c r="NMN233" s="242"/>
      <c r="NMO233" s="256"/>
      <c r="NMP233" s="257"/>
      <c r="NMR233" s="242"/>
      <c r="NMS233" s="256"/>
      <c r="NMT233" s="257"/>
      <c r="NMV233" s="242"/>
      <c r="NMW233" s="256"/>
      <c r="NMX233" s="257"/>
      <c r="NMZ233" s="242"/>
      <c r="NNA233" s="256"/>
      <c r="NNB233" s="257"/>
      <c r="NND233" s="242"/>
      <c r="NNE233" s="256"/>
      <c r="NNF233" s="257"/>
      <c r="NNH233" s="242"/>
      <c r="NNI233" s="256"/>
      <c r="NNJ233" s="257"/>
      <c r="NNL233" s="242"/>
      <c r="NNM233" s="256"/>
      <c r="NNN233" s="257"/>
      <c r="NNP233" s="242"/>
      <c r="NNQ233" s="256"/>
      <c r="NNR233" s="257"/>
      <c r="NNT233" s="242"/>
      <c r="NNU233" s="256"/>
      <c r="NNV233" s="257"/>
      <c r="NNX233" s="242"/>
      <c r="NNY233" s="256"/>
      <c r="NNZ233" s="257"/>
      <c r="NOB233" s="242"/>
      <c r="NOC233" s="256"/>
      <c r="NOD233" s="257"/>
      <c r="NOF233" s="242"/>
      <c r="NOG233" s="256"/>
      <c r="NOH233" s="257"/>
      <c r="NOJ233" s="242"/>
      <c r="NOK233" s="256"/>
      <c r="NOL233" s="257"/>
      <c r="NON233" s="242"/>
      <c r="NOO233" s="256"/>
      <c r="NOP233" s="257"/>
      <c r="NOR233" s="242"/>
      <c r="NOS233" s="256"/>
      <c r="NOT233" s="257"/>
      <c r="NOV233" s="242"/>
      <c r="NOW233" s="256"/>
      <c r="NOX233" s="257"/>
      <c r="NOZ233" s="242"/>
      <c r="NPA233" s="256"/>
      <c r="NPB233" s="257"/>
      <c r="NPD233" s="242"/>
      <c r="NPE233" s="256"/>
      <c r="NPF233" s="257"/>
      <c r="NPH233" s="242"/>
      <c r="NPI233" s="256"/>
      <c r="NPJ233" s="257"/>
      <c r="NPL233" s="242"/>
      <c r="NPM233" s="256"/>
      <c r="NPN233" s="257"/>
      <c r="NPP233" s="242"/>
      <c r="NPQ233" s="256"/>
      <c r="NPR233" s="257"/>
      <c r="NPT233" s="242"/>
      <c r="NPU233" s="256"/>
      <c r="NPV233" s="257"/>
      <c r="NPX233" s="242"/>
      <c r="NPY233" s="256"/>
      <c r="NPZ233" s="257"/>
      <c r="NQB233" s="242"/>
      <c r="NQC233" s="256"/>
      <c r="NQD233" s="257"/>
      <c r="NQF233" s="242"/>
      <c r="NQG233" s="256"/>
      <c r="NQH233" s="257"/>
      <c r="NQJ233" s="242"/>
      <c r="NQK233" s="256"/>
      <c r="NQL233" s="257"/>
      <c r="NQN233" s="242"/>
      <c r="NQO233" s="256"/>
      <c r="NQP233" s="257"/>
      <c r="NQR233" s="242"/>
      <c r="NQS233" s="256"/>
      <c r="NQT233" s="257"/>
      <c r="NQV233" s="242"/>
      <c r="NQW233" s="256"/>
      <c r="NQX233" s="257"/>
      <c r="NQZ233" s="242"/>
      <c r="NRA233" s="256"/>
      <c r="NRB233" s="257"/>
      <c r="NRD233" s="242"/>
      <c r="NRE233" s="256"/>
      <c r="NRF233" s="257"/>
      <c r="NRH233" s="242"/>
      <c r="NRI233" s="256"/>
      <c r="NRJ233" s="257"/>
      <c r="NRL233" s="242"/>
      <c r="NRM233" s="256"/>
      <c r="NRN233" s="257"/>
      <c r="NRP233" s="242"/>
      <c r="NRQ233" s="256"/>
      <c r="NRR233" s="257"/>
      <c r="NRT233" s="242"/>
      <c r="NRU233" s="256"/>
      <c r="NRV233" s="257"/>
      <c r="NRX233" s="242"/>
      <c r="NRY233" s="256"/>
      <c r="NRZ233" s="257"/>
      <c r="NSB233" s="242"/>
      <c r="NSC233" s="256"/>
      <c r="NSD233" s="257"/>
      <c r="NSF233" s="242"/>
      <c r="NSG233" s="256"/>
      <c r="NSH233" s="257"/>
      <c r="NSJ233" s="242"/>
      <c r="NSK233" s="256"/>
      <c r="NSL233" s="257"/>
      <c r="NSN233" s="242"/>
      <c r="NSO233" s="256"/>
      <c r="NSP233" s="257"/>
      <c r="NSR233" s="242"/>
      <c r="NSS233" s="256"/>
      <c r="NST233" s="257"/>
      <c r="NSV233" s="242"/>
      <c r="NSW233" s="256"/>
      <c r="NSX233" s="257"/>
      <c r="NSZ233" s="242"/>
      <c r="NTA233" s="256"/>
      <c r="NTB233" s="257"/>
      <c r="NTD233" s="242"/>
      <c r="NTE233" s="256"/>
      <c r="NTF233" s="257"/>
      <c r="NTH233" s="242"/>
      <c r="NTI233" s="256"/>
      <c r="NTJ233" s="257"/>
      <c r="NTL233" s="242"/>
      <c r="NTM233" s="256"/>
      <c r="NTN233" s="257"/>
      <c r="NTP233" s="242"/>
      <c r="NTQ233" s="256"/>
      <c r="NTR233" s="257"/>
      <c r="NTT233" s="242"/>
      <c r="NTU233" s="256"/>
      <c r="NTV233" s="257"/>
      <c r="NTX233" s="242"/>
      <c r="NTY233" s="256"/>
      <c r="NTZ233" s="257"/>
      <c r="NUB233" s="242"/>
      <c r="NUC233" s="256"/>
      <c r="NUD233" s="257"/>
      <c r="NUF233" s="242"/>
      <c r="NUG233" s="256"/>
      <c r="NUH233" s="257"/>
      <c r="NUJ233" s="242"/>
      <c r="NUK233" s="256"/>
      <c r="NUL233" s="257"/>
      <c r="NUN233" s="242"/>
      <c r="NUO233" s="256"/>
      <c r="NUP233" s="257"/>
      <c r="NUR233" s="242"/>
      <c r="NUS233" s="256"/>
      <c r="NUT233" s="257"/>
      <c r="NUV233" s="242"/>
      <c r="NUW233" s="256"/>
      <c r="NUX233" s="257"/>
      <c r="NUZ233" s="242"/>
      <c r="NVA233" s="256"/>
      <c r="NVB233" s="257"/>
      <c r="NVD233" s="242"/>
      <c r="NVE233" s="256"/>
      <c r="NVF233" s="257"/>
      <c r="NVH233" s="242"/>
      <c r="NVI233" s="256"/>
      <c r="NVJ233" s="257"/>
      <c r="NVL233" s="242"/>
      <c r="NVM233" s="256"/>
      <c r="NVN233" s="257"/>
      <c r="NVP233" s="242"/>
      <c r="NVQ233" s="256"/>
      <c r="NVR233" s="257"/>
      <c r="NVT233" s="242"/>
      <c r="NVU233" s="256"/>
      <c r="NVV233" s="257"/>
      <c r="NVX233" s="242"/>
      <c r="NVY233" s="256"/>
      <c r="NVZ233" s="257"/>
      <c r="NWB233" s="242"/>
      <c r="NWC233" s="256"/>
      <c r="NWD233" s="257"/>
      <c r="NWF233" s="242"/>
      <c r="NWG233" s="256"/>
      <c r="NWH233" s="257"/>
      <c r="NWJ233" s="242"/>
      <c r="NWK233" s="256"/>
      <c r="NWL233" s="257"/>
      <c r="NWN233" s="242"/>
      <c r="NWO233" s="256"/>
      <c r="NWP233" s="257"/>
      <c r="NWR233" s="242"/>
      <c r="NWS233" s="256"/>
      <c r="NWT233" s="257"/>
      <c r="NWV233" s="242"/>
      <c r="NWW233" s="256"/>
      <c r="NWX233" s="257"/>
      <c r="NWZ233" s="242"/>
      <c r="NXA233" s="256"/>
      <c r="NXB233" s="257"/>
      <c r="NXD233" s="242"/>
      <c r="NXE233" s="256"/>
      <c r="NXF233" s="257"/>
      <c r="NXH233" s="242"/>
      <c r="NXI233" s="256"/>
      <c r="NXJ233" s="257"/>
      <c r="NXL233" s="242"/>
      <c r="NXM233" s="256"/>
      <c r="NXN233" s="257"/>
      <c r="NXP233" s="242"/>
      <c r="NXQ233" s="256"/>
      <c r="NXR233" s="257"/>
      <c r="NXT233" s="242"/>
      <c r="NXU233" s="256"/>
      <c r="NXV233" s="257"/>
      <c r="NXX233" s="242"/>
      <c r="NXY233" s="256"/>
      <c r="NXZ233" s="257"/>
      <c r="NYB233" s="242"/>
      <c r="NYC233" s="256"/>
      <c r="NYD233" s="257"/>
      <c r="NYF233" s="242"/>
      <c r="NYG233" s="256"/>
      <c r="NYH233" s="257"/>
      <c r="NYJ233" s="242"/>
      <c r="NYK233" s="256"/>
      <c r="NYL233" s="257"/>
      <c r="NYN233" s="242"/>
      <c r="NYO233" s="256"/>
      <c r="NYP233" s="257"/>
      <c r="NYR233" s="242"/>
      <c r="NYS233" s="256"/>
      <c r="NYT233" s="257"/>
      <c r="NYV233" s="242"/>
      <c r="NYW233" s="256"/>
      <c r="NYX233" s="257"/>
      <c r="NYZ233" s="242"/>
      <c r="NZA233" s="256"/>
      <c r="NZB233" s="257"/>
      <c r="NZD233" s="242"/>
      <c r="NZE233" s="256"/>
      <c r="NZF233" s="257"/>
      <c r="NZH233" s="242"/>
      <c r="NZI233" s="256"/>
      <c r="NZJ233" s="257"/>
      <c r="NZL233" s="242"/>
      <c r="NZM233" s="256"/>
      <c r="NZN233" s="257"/>
      <c r="NZP233" s="242"/>
      <c r="NZQ233" s="256"/>
      <c r="NZR233" s="257"/>
      <c r="NZT233" s="242"/>
      <c r="NZU233" s="256"/>
      <c r="NZV233" s="257"/>
      <c r="NZX233" s="242"/>
      <c r="NZY233" s="256"/>
      <c r="NZZ233" s="257"/>
      <c r="OAB233" s="242"/>
      <c r="OAC233" s="256"/>
      <c r="OAD233" s="257"/>
      <c r="OAF233" s="242"/>
      <c r="OAG233" s="256"/>
      <c r="OAH233" s="257"/>
      <c r="OAJ233" s="242"/>
      <c r="OAK233" s="256"/>
      <c r="OAL233" s="257"/>
      <c r="OAN233" s="242"/>
      <c r="OAO233" s="256"/>
      <c r="OAP233" s="257"/>
      <c r="OAR233" s="242"/>
      <c r="OAS233" s="256"/>
      <c r="OAT233" s="257"/>
      <c r="OAV233" s="242"/>
      <c r="OAW233" s="256"/>
      <c r="OAX233" s="257"/>
      <c r="OAZ233" s="242"/>
      <c r="OBA233" s="256"/>
      <c r="OBB233" s="257"/>
      <c r="OBD233" s="242"/>
      <c r="OBE233" s="256"/>
      <c r="OBF233" s="257"/>
      <c r="OBH233" s="242"/>
      <c r="OBI233" s="256"/>
      <c r="OBJ233" s="257"/>
      <c r="OBL233" s="242"/>
      <c r="OBM233" s="256"/>
      <c r="OBN233" s="257"/>
      <c r="OBP233" s="242"/>
      <c r="OBQ233" s="256"/>
      <c r="OBR233" s="257"/>
      <c r="OBT233" s="242"/>
      <c r="OBU233" s="256"/>
      <c r="OBV233" s="257"/>
      <c r="OBX233" s="242"/>
      <c r="OBY233" s="256"/>
      <c r="OBZ233" s="257"/>
      <c r="OCB233" s="242"/>
      <c r="OCC233" s="256"/>
      <c r="OCD233" s="257"/>
      <c r="OCF233" s="242"/>
      <c r="OCG233" s="256"/>
      <c r="OCH233" s="257"/>
      <c r="OCJ233" s="242"/>
      <c r="OCK233" s="256"/>
      <c r="OCL233" s="257"/>
      <c r="OCN233" s="242"/>
      <c r="OCO233" s="256"/>
      <c r="OCP233" s="257"/>
      <c r="OCR233" s="242"/>
      <c r="OCS233" s="256"/>
      <c r="OCT233" s="257"/>
      <c r="OCV233" s="242"/>
      <c r="OCW233" s="256"/>
      <c r="OCX233" s="257"/>
      <c r="OCZ233" s="242"/>
      <c r="ODA233" s="256"/>
      <c r="ODB233" s="257"/>
      <c r="ODD233" s="242"/>
      <c r="ODE233" s="256"/>
      <c r="ODF233" s="257"/>
      <c r="ODH233" s="242"/>
      <c r="ODI233" s="256"/>
      <c r="ODJ233" s="257"/>
      <c r="ODL233" s="242"/>
      <c r="ODM233" s="256"/>
      <c r="ODN233" s="257"/>
      <c r="ODP233" s="242"/>
      <c r="ODQ233" s="256"/>
      <c r="ODR233" s="257"/>
      <c r="ODT233" s="242"/>
      <c r="ODU233" s="256"/>
      <c r="ODV233" s="257"/>
      <c r="ODX233" s="242"/>
      <c r="ODY233" s="256"/>
      <c r="ODZ233" s="257"/>
      <c r="OEB233" s="242"/>
      <c r="OEC233" s="256"/>
      <c r="OED233" s="257"/>
      <c r="OEF233" s="242"/>
      <c r="OEG233" s="256"/>
      <c r="OEH233" s="257"/>
      <c r="OEJ233" s="242"/>
      <c r="OEK233" s="256"/>
      <c r="OEL233" s="257"/>
      <c r="OEN233" s="242"/>
      <c r="OEO233" s="256"/>
      <c r="OEP233" s="257"/>
      <c r="OER233" s="242"/>
      <c r="OES233" s="256"/>
      <c r="OET233" s="257"/>
      <c r="OEV233" s="242"/>
      <c r="OEW233" s="256"/>
      <c r="OEX233" s="257"/>
      <c r="OEZ233" s="242"/>
      <c r="OFA233" s="256"/>
      <c r="OFB233" s="257"/>
      <c r="OFD233" s="242"/>
      <c r="OFE233" s="256"/>
      <c r="OFF233" s="257"/>
      <c r="OFH233" s="242"/>
      <c r="OFI233" s="256"/>
      <c r="OFJ233" s="257"/>
      <c r="OFL233" s="242"/>
      <c r="OFM233" s="256"/>
      <c r="OFN233" s="257"/>
      <c r="OFP233" s="242"/>
      <c r="OFQ233" s="256"/>
      <c r="OFR233" s="257"/>
      <c r="OFT233" s="242"/>
      <c r="OFU233" s="256"/>
      <c r="OFV233" s="257"/>
      <c r="OFX233" s="242"/>
      <c r="OFY233" s="256"/>
      <c r="OFZ233" s="257"/>
      <c r="OGB233" s="242"/>
      <c r="OGC233" s="256"/>
      <c r="OGD233" s="257"/>
      <c r="OGF233" s="242"/>
      <c r="OGG233" s="256"/>
      <c r="OGH233" s="257"/>
      <c r="OGJ233" s="242"/>
      <c r="OGK233" s="256"/>
      <c r="OGL233" s="257"/>
      <c r="OGN233" s="242"/>
      <c r="OGO233" s="256"/>
      <c r="OGP233" s="257"/>
      <c r="OGR233" s="242"/>
      <c r="OGS233" s="256"/>
      <c r="OGT233" s="257"/>
      <c r="OGV233" s="242"/>
      <c r="OGW233" s="256"/>
      <c r="OGX233" s="257"/>
      <c r="OGZ233" s="242"/>
      <c r="OHA233" s="256"/>
      <c r="OHB233" s="257"/>
      <c r="OHD233" s="242"/>
      <c r="OHE233" s="256"/>
      <c r="OHF233" s="257"/>
      <c r="OHH233" s="242"/>
      <c r="OHI233" s="256"/>
      <c r="OHJ233" s="257"/>
      <c r="OHL233" s="242"/>
      <c r="OHM233" s="256"/>
      <c r="OHN233" s="257"/>
      <c r="OHP233" s="242"/>
      <c r="OHQ233" s="256"/>
      <c r="OHR233" s="257"/>
      <c r="OHT233" s="242"/>
      <c r="OHU233" s="256"/>
      <c r="OHV233" s="257"/>
      <c r="OHX233" s="242"/>
      <c r="OHY233" s="256"/>
      <c r="OHZ233" s="257"/>
      <c r="OIB233" s="242"/>
      <c r="OIC233" s="256"/>
      <c r="OID233" s="257"/>
      <c r="OIF233" s="242"/>
      <c r="OIG233" s="256"/>
      <c r="OIH233" s="257"/>
      <c r="OIJ233" s="242"/>
      <c r="OIK233" s="256"/>
      <c r="OIL233" s="257"/>
      <c r="OIN233" s="242"/>
      <c r="OIO233" s="256"/>
      <c r="OIP233" s="257"/>
      <c r="OIR233" s="242"/>
      <c r="OIS233" s="256"/>
      <c r="OIT233" s="257"/>
      <c r="OIV233" s="242"/>
      <c r="OIW233" s="256"/>
      <c r="OIX233" s="257"/>
      <c r="OIZ233" s="242"/>
      <c r="OJA233" s="256"/>
      <c r="OJB233" s="257"/>
      <c r="OJD233" s="242"/>
      <c r="OJE233" s="256"/>
      <c r="OJF233" s="257"/>
      <c r="OJH233" s="242"/>
      <c r="OJI233" s="256"/>
      <c r="OJJ233" s="257"/>
      <c r="OJL233" s="242"/>
      <c r="OJM233" s="256"/>
      <c r="OJN233" s="257"/>
      <c r="OJP233" s="242"/>
      <c r="OJQ233" s="256"/>
      <c r="OJR233" s="257"/>
      <c r="OJT233" s="242"/>
      <c r="OJU233" s="256"/>
      <c r="OJV233" s="257"/>
      <c r="OJX233" s="242"/>
      <c r="OJY233" s="256"/>
      <c r="OJZ233" s="257"/>
      <c r="OKB233" s="242"/>
      <c r="OKC233" s="256"/>
      <c r="OKD233" s="257"/>
      <c r="OKF233" s="242"/>
      <c r="OKG233" s="256"/>
      <c r="OKH233" s="257"/>
      <c r="OKJ233" s="242"/>
      <c r="OKK233" s="256"/>
      <c r="OKL233" s="257"/>
      <c r="OKN233" s="242"/>
      <c r="OKO233" s="256"/>
      <c r="OKP233" s="257"/>
      <c r="OKR233" s="242"/>
      <c r="OKS233" s="256"/>
      <c r="OKT233" s="257"/>
      <c r="OKV233" s="242"/>
      <c r="OKW233" s="256"/>
      <c r="OKX233" s="257"/>
      <c r="OKZ233" s="242"/>
      <c r="OLA233" s="256"/>
      <c r="OLB233" s="257"/>
      <c r="OLD233" s="242"/>
      <c r="OLE233" s="256"/>
      <c r="OLF233" s="257"/>
      <c r="OLH233" s="242"/>
      <c r="OLI233" s="256"/>
      <c r="OLJ233" s="257"/>
      <c r="OLL233" s="242"/>
      <c r="OLM233" s="256"/>
      <c r="OLN233" s="257"/>
      <c r="OLP233" s="242"/>
      <c r="OLQ233" s="256"/>
      <c r="OLR233" s="257"/>
      <c r="OLT233" s="242"/>
      <c r="OLU233" s="256"/>
      <c r="OLV233" s="257"/>
      <c r="OLX233" s="242"/>
      <c r="OLY233" s="256"/>
      <c r="OLZ233" s="257"/>
      <c r="OMB233" s="242"/>
      <c r="OMC233" s="256"/>
      <c r="OMD233" s="257"/>
      <c r="OMF233" s="242"/>
      <c r="OMG233" s="256"/>
      <c r="OMH233" s="257"/>
      <c r="OMJ233" s="242"/>
      <c r="OMK233" s="256"/>
      <c r="OML233" s="257"/>
      <c r="OMN233" s="242"/>
      <c r="OMO233" s="256"/>
      <c r="OMP233" s="257"/>
      <c r="OMR233" s="242"/>
      <c r="OMS233" s="256"/>
      <c r="OMT233" s="257"/>
      <c r="OMV233" s="242"/>
      <c r="OMW233" s="256"/>
      <c r="OMX233" s="257"/>
      <c r="OMZ233" s="242"/>
      <c r="ONA233" s="256"/>
      <c r="ONB233" s="257"/>
      <c r="OND233" s="242"/>
      <c r="ONE233" s="256"/>
      <c r="ONF233" s="257"/>
      <c r="ONH233" s="242"/>
      <c r="ONI233" s="256"/>
      <c r="ONJ233" s="257"/>
      <c r="ONL233" s="242"/>
      <c r="ONM233" s="256"/>
      <c r="ONN233" s="257"/>
      <c r="ONP233" s="242"/>
      <c r="ONQ233" s="256"/>
      <c r="ONR233" s="257"/>
      <c r="ONT233" s="242"/>
      <c r="ONU233" s="256"/>
      <c r="ONV233" s="257"/>
      <c r="ONX233" s="242"/>
      <c r="ONY233" s="256"/>
      <c r="ONZ233" s="257"/>
      <c r="OOB233" s="242"/>
      <c r="OOC233" s="256"/>
      <c r="OOD233" s="257"/>
      <c r="OOF233" s="242"/>
      <c r="OOG233" s="256"/>
      <c r="OOH233" s="257"/>
      <c r="OOJ233" s="242"/>
      <c r="OOK233" s="256"/>
      <c r="OOL233" s="257"/>
      <c r="OON233" s="242"/>
      <c r="OOO233" s="256"/>
      <c r="OOP233" s="257"/>
      <c r="OOR233" s="242"/>
      <c r="OOS233" s="256"/>
      <c r="OOT233" s="257"/>
      <c r="OOV233" s="242"/>
      <c r="OOW233" s="256"/>
      <c r="OOX233" s="257"/>
      <c r="OOZ233" s="242"/>
      <c r="OPA233" s="256"/>
      <c r="OPB233" s="257"/>
      <c r="OPD233" s="242"/>
      <c r="OPE233" s="256"/>
      <c r="OPF233" s="257"/>
      <c r="OPH233" s="242"/>
      <c r="OPI233" s="256"/>
      <c r="OPJ233" s="257"/>
      <c r="OPL233" s="242"/>
      <c r="OPM233" s="256"/>
      <c r="OPN233" s="257"/>
      <c r="OPP233" s="242"/>
      <c r="OPQ233" s="256"/>
      <c r="OPR233" s="257"/>
      <c r="OPT233" s="242"/>
      <c r="OPU233" s="256"/>
      <c r="OPV233" s="257"/>
      <c r="OPX233" s="242"/>
      <c r="OPY233" s="256"/>
      <c r="OPZ233" s="257"/>
      <c r="OQB233" s="242"/>
      <c r="OQC233" s="256"/>
      <c r="OQD233" s="257"/>
      <c r="OQF233" s="242"/>
      <c r="OQG233" s="256"/>
      <c r="OQH233" s="257"/>
      <c r="OQJ233" s="242"/>
      <c r="OQK233" s="256"/>
      <c r="OQL233" s="257"/>
      <c r="OQN233" s="242"/>
      <c r="OQO233" s="256"/>
      <c r="OQP233" s="257"/>
      <c r="OQR233" s="242"/>
      <c r="OQS233" s="256"/>
      <c r="OQT233" s="257"/>
      <c r="OQV233" s="242"/>
      <c r="OQW233" s="256"/>
      <c r="OQX233" s="257"/>
      <c r="OQZ233" s="242"/>
      <c r="ORA233" s="256"/>
      <c r="ORB233" s="257"/>
      <c r="ORD233" s="242"/>
      <c r="ORE233" s="256"/>
      <c r="ORF233" s="257"/>
      <c r="ORH233" s="242"/>
      <c r="ORI233" s="256"/>
      <c r="ORJ233" s="257"/>
      <c r="ORL233" s="242"/>
      <c r="ORM233" s="256"/>
      <c r="ORN233" s="257"/>
      <c r="ORP233" s="242"/>
      <c r="ORQ233" s="256"/>
      <c r="ORR233" s="257"/>
      <c r="ORT233" s="242"/>
      <c r="ORU233" s="256"/>
      <c r="ORV233" s="257"/>
      <c r="ORX233" s="242"/>
      <c r="ORY233" s="256"/>
      <c r="ORZ233" s="257"/>
      <c r="OSB233" s="242"/>
      <c r="OSC233" s="256"/>
      <c r="OSD233" s="257"/>
      <c r="OSF233" s="242"/>
      <c r="OSG233" s="256"/>
      <c r="OSH233" s="257"/>
      <c r="OSJ233" s="242"/>
      <c r="OSK233" s="256"/>
      <c r="OSL233" s="257"/>
      <c r="OSN233" s="242"/>
      <c r="OSO233" s="256"/>
      <c r="OSP233" s="257"/>
      <c r="OSR233" s="242"/>
      <c r="OSS233" s="256"/>
      <c r="OST233" s="257"/>
      <c r="OSV233" s="242"/>
      <c r="OSW233" s="256"/>
      <c r="OSX233" s="257"/>
      <c r="OSZ233" s="242"/>
      <c r="OTA233" s="256"/>
      <c r="OTB233" s="257"/>
      <c r="OTD233" s="242"/>
      <c r="OTE233" s="256"/>
      <c r="OTF233" s="257"/>
      <c r="OTH233" s="242"/>
      <c r="OTI233" s="256"/>
      <c r="OTJ233" s="257"/>
      <c r="OTL233" s="242"/>
      <c r="OTM233" s="256"/>
      <c r="OTN233" s="257"/>
      <c r="OTP233" s="242"/>
      <c r="OTQ233" s="256"/>
      <c r="OTR233" s="257"/>
      <c r="OTT233" s="242"/>
      <c r="OTU233" s="256"/>
      <c r="OTV233" s="257"/>
      <c r="OTX233" s="242"/>
      <c r="OTY233" s="256"/>
      <c r="OTZ233" s="257"/>
      <c r="OUB233" s="242"/>
      <c r="OUC233" s="256"/>
      <c r="OUD233" s="257"/>
      <c r="OUF233" s="242"/>
      <c r="OUG233" s="256"/>
      <c r="OUH233" s="257"/>
      <c r="OUJ233" s="242"/>
      <c r="OUK233" s="256"/>
      <c r="OUL233" s="257"/>
      <c r="OUN233" s="242"/>
      <c r="OUO233" s="256"/>
      <c r="OUP233" s="257"/>
      <c r="OUR233" s="242"/>
      <c r="OUS233" s="256"/>
      <c r="OUT233" s="257"/>
      <c r="OUV233" s="242"/>
      <c r="OUW233" s="256"/>
      <c r="OUX233" s="257"/>
      <c r="OUZ233" s="242"/>
      <c r="OVA233" s="256"/>
      <c r="OVB233" s="257"/>
      <c r="OVD233" s="242"/>
      <c r="OVE233" s="256"/>
      <c r="OVF233" s="257"/>
      <c r="OVH233" s="242"/>
      <c r="OVI233" s="256"/>
      <c r="OVJ233" s="257"/>
      <c r="OVL233" s="242"/>
      <c r="OVM233" s="256"/>
      <c r="OVN233" s="257"/>
      <c r="OVP233" s="242"/>
      <c r="OVQ233" s="256"/>
      <c r="OVR233" s="257"/>
      <c r="OVT233" s="242"/>
      <c r="OVU233" s="256"/>
      <c r="OVV233" s="257"/>
      <c r="OVX233" s="242"/>
      <c r="OVY233" s="256"/>
      <c r="OVZ233" s="257"/>
      <c r="OWB233" s="242"/>
      <c r="OWC233" s="256"/>
      <c r="OWD233" s="257"/>
      <c r="OWF233" s="242"/>
      <c r="OWG233" s="256"/>
      <c r="OWH233" s="257"/>
      <c r="OWJ233" s="242"/>
      <c r="OWK233" s="256"/>
      <c r="OWL233" s="257"/>
      <c r="OWN233" s="242"/>
      <c r="OWO233" s="256"/>
      <c r="OWP233" s="257"/>
      <c r="OWR233" s="242"/>
      <c r="OWS233" s="256"/>
      <c r="OWT233" s="257"/>
      <c r="OWV233" s="242"/>
      <c r="OWW233" s="256"/>
      <c r="OWX233" s="257"/>
      <c r="OWZ233" s="242"/>
      <c r="OXA233" s="256"/>
      <c r="OXB233" s="257"/>
      <c r="OXD233" s="242"/>
      <c r="OXE233" s="256"/>
      <c r="OXF233" s="257"/>
      <c r="OXH233" s="242"/>
      <c r="OXI233" s="256"/>
      <c r="OXJ233" s="257"/>
      <c r="OXL233" s="242"/>
      <c r="OXM233" s="256"/>
      <c r="OXN233" s="257"/>
      <c r="OXP233" s="242"/>
      <c r="OXQ233" s="256"/>
      <c r="OXR233" s="257"/>
      <c r="OXT233" s="242"/>
      <c r="OXU233" s="256"/>
      <c r="OXV233" s="257"/>
      <c r="OXX233" s="242"/>
      <c r="OXY233" s="256"/>
      <c r="OXZ233" s="257"/>
      <c r="OYB233" s="242"/>
      <c r="OYC233" s="256"/>
      <c r="OYD233" s="257"/>
      <c r="OYF233" s="242"/>
      <c r="OYG233" s="256"/>
      <c r="OYH233" s="257"/>
      <c r="OYJ233" s="242"/>
      <c r="OYK233" s="256"/>
      <c r="OYL233" s="257"/>
      <c r="OYN233" s="242"/>
      <c r="OYO233" s="256"/>
      <c r="OYP233" s="257"/>
      <c r="OYR233" s="242"/>
      <c r="OYS233" s="256"/>
      <c r="OYT233" s="257"/>
      <c r="OYV233" s="242"/>
      <c r="OYW233" s="256"/>
      <c r="OYX233" s="257"/>
      <c r="OYZ233" s="242"/>
      <c r="OZA233" s="256"/>
      <c r="OZB233" s="257"/>
      <c r="OZD233" s="242"/>
      <c r="OZE233" s="256"/>
      <c r="OZF233" s="257"/>
      <c r="OZH233" s="242"/>
      <c r="OZI233" s="256"/>
      <c r="OZJ233" s="257"/>
      <c r="OZL233" s="242"/>
      <c r="OZM233" s="256"/>
      <c r="OZN233" s="257"/>
      <c r="OZP233" s="242"/>
      <c r="OZQ233" s="256"/>
      <c r="OZR233" s="257"/>
      <c r="OZT233" s="242"/>
      <c r="OZU233" s="256"/>
      <c r="OZV233" s="257"/>
      <c r="OZX233" s="242"/>
      <c r="OZY233" s="256"/>
      <c r="OZZ233" s="257"/>
      <c r="PAB233" s="242"/>
      <c r="PAC233" s="256"/>
      <c r="PAD233" s="257"/>
      <c r="PAF233" s="242"/>
      <c r="PAG233" s="256"/>
      <c r="PAH233" s="257"/>
      <c r="PAJ233" s="242"/>
      <c r="PAK233" s="256"/>
      <c r="PAL233" s="257"/>
      <c r="PAN233" s="242"/>
      <c r="PAO233" s="256"/>
      <c r="PAP233" s="257"/>
      <c r="PAR233" s="242"/>
      <c r="PAS233" s="256"/>
      <c r="PAT233" s="257"/>
      <c r="PAV233" s="242"/>
      <c r="PAW233" s="256"/>
      <c r="PAX233" s="257"/>
      <c r="PAZ233" s="242"/>
      <c r="PBA233" s="256"/>
      <c r="PBB233" s="257"/>
      <c r="PBD233" s="242"/>
      <c r="PBE233" s="256"/>
      <c r="PBF233" s="257"/>
      <c r="PBH233" s="242"/>
      <c r="PBI233" s="256"/>
      <c r="PBJ233" s="257"/>
      <c r="PBL233" s="242"/>
      <c r="PBM233" s="256"/>
      <c r="PBN233" s="257"/>
      <c r="PBP233" s="242"/>
      <c r="PBQ233" s="256"/>
      <c r="PBR233" s="257"/>
      <c r="PBT233" s="242"/>
      <c r="PBU233" s="256"/>
      <c r="PBV233" s="257"/>
      <c r="PBX233" s="242"/>
      <c r="PBY233" s="256"/>
      <c r="PBZ233" s="257"/>
      <c r="PCB233" s="242"/>
      <c r="PCC233" s="256"/>
      <c r="PCD233" s="257"/>
      <c r="PCF233" s="242"/>
      <c r="PCG233" s="256"/>
      <c r="PCH233" s="257"/>
      <c r="PCJ233" s="242"/>
      <c r="PCK233" s="256"/>
      <c r="PCL233" s="257"/>
      <c r="PCN233" s="242"/>
      <c r="PCO233" s="256"/>
      <c r="PCP233" s="257"/>
      <c r="PCR233" s="242"/>
      <c r="PCS233" s="256"/>
      <c r="PCT233" s="257"/>
      <c r="PCV233" s="242"/>
      <c r="PCW233" s="256"/>
      <c r="PCX233" s="257"/>
      <c r="PCZ233" s="242"/>
      <c r="PDA233" s="256"/>
      <c r="PDB233" s="257"/>
      <c r="PDD233" s="242"/>
      <c r="PDE233" s="256"/>
      <c r="PDF233" s="257"/>
      <c r="PDH233" s="242"/>
      <c r="PDI233" s="256"/>
      <c r="PDJ233" s="257"/>
      <c r="PDL233" s="242"/>
      <c r="PDM233" s="256"/>
      <c r="PDN233" s="257"/>
      <c r="PDP233" s="242"/>
      <c r="PDQ233" s="256"/>
      <c r="PDR233" s="257"/>
      <c r="PDT233" s="242"/>
      <c r="PDU233" s="256"/>
      <c r="PDV233" s="257"/>
      <c r="PDX233" s="242"/>
      <c r="PDY233" s="256"/>
      <c r="PDZ233" s="257"/>
      <c r="PEB233" s="242"/>
      <c r="PEC233" s="256"/>
      <c r="PED233" s="257"/>
      <c r="PEF233" s="242"/>
      <c r="PEG233" s="256"/>
      <c r="PEH233" s="257"/>
      <c r="PEJ233" s="242"/>
      <c r="PEK233" s="256"/>
      <c r="PEL233" s="257"/>
      <c r="PEN233" s="242"/>
      <c r="PEO233" s="256"/>
      <c r="PEP233" s="257"/>
      <c r="PER233" s="242"/>
      <c r="PES233" s="256"/>
      <c r="PET233" s="257"/>
      <c r="PEV233" s="242"/>
      <c r="PEW233" s="256"/>
      <c r="PEX233" s="257"/>
      <c r="PEZ233" s="242"/>
      <c r="PFA233" s="256"/>
      <c r="PFB233" s="257"/>
      <c r="PFD233" s="242"/>
      <c r="PFE233" s="256"/>
      <c r="PFF233" s="257"/>
      <c r="PFH233" s="242"/>
      <c r="PFI233" s="256"/>
      <c r="PFJ233" s="257"/>
      <c r="PFL233" s="242"/>
      <c r="PFM233" s="256"/>
      <c r="PFN233" s="257"/>
      <c r="PFP233" s="242"/>
      <c r="PFQ233" s="256"/>
      <c r="PFR233" s="257"/>
      <c r="PFT233" s="242"/>
      <c r="PFU233" s="256"/>
      <c r="PFV233" s="257"/>
      <c r="PFX233" s="242"/>
      <c r="PFY233" s="256"/>
      <c r="PFZ233" s="257"/>
      <c r="PGB233" s="242"/>
      <c r="PGC233" s="256"/>
      <c r="PGD233" s="257"/>
      <c r="PGF233" s="242"/>
      <c r="PGG233" s="256"/>
      <c r="PGH233" s="257"/>
      <c r="PGJ233" s="242"/>
      <c r="PGK233" s="256"/>
      <c r="PGL233" s="257"/>
      <c r="PGN233" s="242"/>
      <c r="PGO233" s="256"/>
      <c r="PGP233" s="257"/>
      <c r="PGR233" s="242"/>
      <c r="PGS233" s="256"/>
      <c r="PGT233" s="257"/>
      <c r="PGV233" s="242"/>
      <c r="PGW233" s="256"/>
      <c r="PGX233" s="257"/>
      <c r="PGZ233" s="242"/>
      <c r="PHA233" s="256"/>
      <c r="PHB233" s="257"/>
      <c r="PHD233" s="242"/>
      <c r="PHE233" s="256"/>
      <c r="PHF233" s="257"/>
      <c r="PHH233" s="242"/>
      <c r="PHI233" s="256"/>
      <c r="PHJ233" s="257"/>
      <c r="PHL233" s="242"/>
      <c r="PHM233" s="256"/>
      <c r="PHN233" s="257"/>
      <c r="PHP233" s="242"/>
      <c r="PHQ233" s="256"/>
      <c r="PHR233" s="257"/>
      <c r="PHT233" s="242"/>
      <c r="PHU233" s="256"/>
      <c r="PHV233" s="257"/>
      <c r="PHX233" s="242"/>
      <c r="PHY233" s="256"/>
      <c r="PHZ233" s="257"/>
      <c r="PIB233" s="242"/>
      <c r="PIC233" s="256"/>
      <c r="PID233" s="257"/>
      <c r="PIF233" s="242"/>
      <c r="PIG233" s="256"/>
      <c r="PIH233" s="257"/>
      <c r="PIJ233" s="242"/>
      <c r="PIK233" s="256"/>
      <c r="PIL233" s="257"/>
      <c r="PIN233" s="242"/>
      <c r="PIO233" s="256"/>
      <c r="PIP233" s="257"/>
      <c r="PIR233" s="242"/>
      <c r="PIS233" s="256"/>
      <c r="PIT233" s="257"/>
      <c r="PIV233" s="242"/>
      <c r="PIW233" s="256"/>
      <c r="PIX233" s="257"/>
      <c r="PIZ233" s="242"/>
      <c r="PJA233" s="256"/>
      <c r="PJB233" s="257"/>
      <c r="PJD233" s="242"/>
      <c r="PJE233" s="256"/>
      <c r="PJF233" s="257"/>
      <c r="PJH233" s="242"/>
      <c r="PJI233" s="256"/>
      <c r="PJJ233" s="257"/>
      <c r="PJL233" s="242"/>
      <c r="PJM233" s="256"/>
      <c r="PJN233" s="257"/>
      <c r="PJP233" s="242"/>
      <c r="PJQ233" s="256"/>
      <c r="PJR233" s="257"/>
      <c r="PJT233" s="242"/>
      <c r="PJU233" s="256"/>
      <c r="PJV233" s="257"/>
      <c r="PJX233" s="242"/>
      <c r="PJY233" s="256"/>
      <c r="PJZ233" s="257"/>
      <c r="PKB233" s="242"/>
      <c r="PKC233" s="256"/>
      <c r="PKD233" s="257"/>
      <c r="PKF233" s="242"/>
      <c r="PKG233" s="256"/>
      <c r="PKH233" s="257"/>
      <c r="PKJ233" s="242"/>
      <c r="PKK233" s="256"/>
      <c r="PKL233" s="257"/>
      <c r="PKN233" s="242"/>
      <c r="PKO233" s="256"/>
      <c r="PKP233" s="257"/>
      <c r="PKR233" s="242"/>
      <c r="PKS233" s="256"/>
      <c r="PKT233" s="257"/>
      <c r="PKV233" s="242"/>
      <c r="PKW233" s="256"/>
      <c r="PKX233" s="257"/>
      <c r="PKZ233" s="242"/>
      <c r="PLA233" s="256"/>
      <c r="PLB233" s="257"/>
      <c r="PLD233" s="242"/>
      <c r="PLE233" s="256"/>
      <c r="PLF233" s="257"/>
      <c r="PLH233" s="242"/>
      <c r="PLI233" s="256"/>
      <c r="PLJ233" s="257"/>
      <c r="PLL233" s="242"/>
      <c r="PLM233" s="256"/>
      <c r="PLN233" s="257"/>
      <c r="PLP233" s="242"/>
      <c r="PLQ233" s="256"/>
      <c r="PLR233" s="257"/>
      <c r="PLT233" s="242"/>
      <c r="PLU233" s="256"/>
      <c r="PLV233" s="257"/>
      <c r="PLX233" s="242"/>
      <c r="PLY233" s="256"/>
      <c r="PLZ233" s="257"/>
      <c r="PMB233" s="242"/>
      <c r="PMC233" s="256"/>
      <c r="PMD233" s="257"/>
      <c r="PMF233" s="242"/>
      <c r="PMG233" s="256"/>
      <c r="PMH233" s="257"/>
      <c r="PMJ233" s="242"/>
      <c r="PMK233" s="256"/>
      <c r="PML233" s="257"/>
      <c r="PMN233" s="242"/>
      <c r="PMO233" s="256"/>
      <c r="PMP233" s="257"/>
      <c r="PMR233" s="242"/>
      <c r="PMS233" s="256"/>
      <c r="PMT233" s="257"/>
      <c r="PMV233" s="242"/>
      <c r="PMW233" s="256"/>
      <c r="PMX233" s="257"/>
      <c r="PMZ233" s="242"/>
      <c r="PNA233" s="256"/>
      <c r="PNB233" s="257"/>
      <c r="PND233" s="242"/>
      <c r="PNE233" s="256"/>
      <c r="PNF233" s="257"/>
      <c r="PNH233" s="242"/>
      <c r="PNI233" s="256"/>
      <c r="PNJ233" s="257"/>
      <c r="PNL233" s="242"/>
      <c r="PNM233" s="256"/>
      <c r="PNN233" s="257"/>
      <c r="PNP233" s="242"/>
      <c r="PNQ233" s="256"/>
      <c r="PNR233" s="257"/>
      <c r="PNT233" s="242"/>
      <c r="PNU233" s="256"/>
      <c r="PNV233" s="257"/>
      <c r="PNX233" s="242"/>
      <c r="PNY233" s="256"/>
      <c r="PNZ233" s="257"/>
      <c r="POB233" s="242"/>
      <c r="POC233" s="256"/>
      <c r="POD233" s="257"/>
      <c r="POF233" s="242"/>
      <c r="POG233" s="256"/>
      <c r="POH233" s="257"/>
      <c r="POJ233" s="242"/>
      <c r="POK233" s="256"/>
      <c r="POL233" s="257"/>
      <c r="PON233" s="242"/>
      <c r="POO233" s="256"/>
      <c r="POP233" s="257"/>
      <c r="POR233" s="242"/>
      <c r="POS233" s="256"/>
      <c r="POT233" s="257"/>
      <c r="POV233" s="242"/>
      <c r="POW233" s="256"/>
      <c r="POX233" s="257"/>
      <c r="POZ233" s="242"/>
      <c r="PPA233" s="256"/>
      <c r="PPB233" s="257"/>
      <c r="PPD233" s="242"/>
      <c r="PPE233" s="256"/>
      <c r="PPF233" s="257"/>
      <c r="PPH233" s="242"/>
      <c r="PPI233" s="256"/>
      <c r="PPJ233" s="257"/>
      <c r="PPL233" s="242"/>
      <c r="PPM233" s="256"/>
      <c r="PPN233" s="257"/>
      <c r="PPP233" s="242"/>
      <c r="PPQ233" s="256"/>
      <c r="PPR233" s="257"/>
      <c r="PPT233" s="242"/>
      <c r="PPU233" s="256"/>
      <c r="PPV233" s="257"/>
      <c r="PPX233" s="242"/>
      <c r="PPY233" s="256"/>
      <c r="PPZ233" s="257"/>
      <c r="PQB233" s="242"/>
      <c r="PQC233" s="256"/>
      <c r="PQD233" s="257"/>
      <c r="PQF233" s="242"/>
      <c r="PQG233" s="256"/>
      <c r="PQH233" s="257"/>
      <c r="PQJ233" s="242"/>
      <c r="PQK233" s="256"/>
      <c r="PQL233" s="257"/>
      <c r="PQN233" s="242"/>
      <c r="PQO233" s="256"/>
      <c r="PQP233" s="257"/>
      <c r="PQR233" s="242"/>
      <c r="PQS233" s="256"/>
      <c r="PQT233" s="257"/>
      <c r="PQV233" s="242"/>
      <c r="PQW233" s="256"/>
      <c r="PQX233" s="257"/>
      <c r="PQZ233" s="242"/>
      <c r="PRA233" s="256"/>
      <c r="PRB233" s="257"/>
      <c r="PRD233" s="242"/>
      <c r="PRE233" s="256"/>
      <c r="PRF233" s="257"/>
      <c r="PRH233" s="242"/>
      <c r="PRI233" s="256"/>
      <c r="PRJ233" s="257"/>
      <c r="PRL233" s="242"/>
      <c r="PRM233" s="256"/>
      <c r="PRN233" s="257"/>
      <c r="PRP233" s="242"/>
      <c r="PRQ233" s="256"/>
      <c r="PRR233" s="257"/>
      <c r="PRT233" s="242"/>
      <c r="PRU233" s="256"/>
      <c r="PRV233" s="257"/>
      <c r="PRX233" s="242"/>
      <c r="PRY233" s="256"/>
      <c r="PRZ233" s="257"/>
      <c r="PSB233" s="242"/>
      <c r="PSC233" s="256"/>
      <c r="PSD233" s="257"/>
      <c r="PSF233" s="242"/>
      <c r="PSG233" s="256"/>
      <c r="PSH233" s="257"/>
      <c r="PSJ233" s="242"/>
      <c r="PSK233" s="256"/>
      <c r="PSL233" s="257"/>
      <c r="PSN233" s="242"/>
      <c r="PSO233" s="256"/>
      <c r="PSP233" s="257"/>
      <c r="PSR233" s="242"/>
      <c r="PSS233" s="256"/>
      <c r="PST233" s="257"/>
      <c r="PSV233" s="242"/>
      <c r="PSW233" s="256"/>
      <c r="PSX233" s="257"/>
      <c r="PSZ233" s="242"/>
      <c r="PTA233" s="256"/>
      <c r="PTB233" s="257"/>
      <c r="PTD233" s="242"/>
      <c r="PTE233" s="256"/>
      <c r="PTF233" s="257"/>
      <c r="PTH233" s="242"/>
      <c r="PTI233" s="256"/>
      <c r="PTJ233" s="257"/>
      <c r="PTL233" s="242"/>
      <c r="PTM233" s="256"/>
      <c r="PTN233" s="257"/>
      <c r="PTP233" s="242"/>
      <c r="PTQ233" s="256"/>
      <c r="PTR233" s="257"/>
      <c r="PTT233" s="242"/>
      <c r="PTU233" s="256"/>
      <c r="PTV233" s="257"/>
      <c r="PTX233" s="242"/>
      <c r="PTY233" s="256"/>
      <c r="PTZ233" s="257"/>
      <c r="PUB233" s="242"/>
      <c r="PUC233" s="256"/>
      <c r="PUD233" s="257"/>
      <c r="PUF233" s="242"/>
      <c r="PUG233" s="256"/>
      <c r="PUH233" s="257"/>
      <c r="PUJ233" s="242"/>
      <c r="PUK233" s="256"/>
      <c r="PUL233" s="257"/>
      <c r="PUN233" s="242"/>
      <c r="PUO233" s="256"/>
      <c r="PUP233" s="257"/>
      <c r="PUR233" s="242"/>
      <c r="PUS233" s="256"/>
      <c r="PUT233" s="257"/>
      <c r="PUV233" s="242"/>
      <c r="PUW233" s="256"/>
      <c r="PUX233" s="257"/>
      <c r="PUZ233" s="242"/>
      <c r="PVA233" s="256"/>
      <c r="PVB233" s="257"/>
      <c r="PVD233" s="242"/>
      <c r="PVE233" s="256"/>
      <c r="PVF233" s="257"/>
      <c r="PVH233" s="242"/>
      <c r="PVI233" s="256"/>
      <c r="PVJ233" s="257"/>
      <c r="PVL233" s="242"/>
      <c r="PVM233" s="256"/>
      <c r="PVN233" s="257"/>
      <c r="PVP233" s="242"/>
      <c r="PVQ233" s="256"/>
      <c r="PVR233" s="257"/>
      <c r="PVT233" s="242"/>
      <c r="PVU233" s="256"/>
      <c r="PVV233" s="257"/>
      <c r="PVX233" s="242"/>
      <c r="PVY233" s="256"/>
      <c r="PVZ233" s="257"/>
      <c r="PWB233" s="242"/>
      <c r="PWC233" s="256"/>
      <c r="PWD233" s="257"/>
      <c r="PWF233" s="242"/>
      <c r="PWG233" s="256"/>
      <c r="PWH233" s="257"/>
      <c r="PWJ233" s="242"/>
      <c r="PWK233" s="256"/>
      <c r="PWL233" s="257"/>
      <c r="PWN233" s="242"/>
      <c r="PWO233" s="256"/>
      <c r="PWP233" s="257"/>
      <c r="PWR233" s="242"/>
      <c r="PWS233" s="256"/>
      <c r="PWT233" s="257"/>
      <c r="PWV233" s="242"/>
      <c r="PWW233" s="256"/>
      <c r="PWX233" s="257"/>
      <c r="PWZ233" s="242"/>
      <c r="PXA233" s="256"/>
      <c r="PXB233" s="257"/>
      <c r="PXD233" s="242"/>
      <c r="PXE233" s="256"/>
      <c r="PXF233" s="257"/>
      <c r="PXH233" s="242"/>
      <c r="PXI233" s="256"/>
      <c r="PXJ233" s="257"/>
      <c r="PXL233" s="242"/>
      <c r="PXM233" s="256"/>
      <c r="PXN233" s="257"/>
      <c r="PXP233" s="242"/>
      <c r="PXQ233" s="256"/>
      <c r="PXR233" s="257"/>
      <c r="PXT233" s="242"/>
      <c r="PXU233" s="256"/>
      <c r="PXV233" s="257"/>
      <c r="PXX233" s="242"/>
      <c r="PXY233" s="256"/>
      <c r="PXZ233" s="257"/>
      <c r="PYB233" s="242"/>
      <c r="PYC233" s="256"/>
      <c r="PYD233" s="257"/>
      <c r="PYF233" s="242"/>
      <c r="PYG233" s="256"/>
      <c r="PYH233" s="257"/>
      <c r="PYJ233" s="242"/>
      <c r="PYK233" s="256"/>
      <c r="PYL233" s="257"/>
      <c r="PYN233" s="242"/>
      <c r="PYO233" s="256"/>
      <c r="PYP233" s="257"/>
      <c r="PYR233" s="242"/>
      <c r="PYS233" s="256"/>
      <c r="PYT233" s="257"/>
      <c r="PYV233" s="242"/>
      <c r="PYW233" s="256"/>
      <c r="PYX233" s="257"/>
      <c r="PYZ233" s="242"/>
      <c r="PZA233" s="256"/>
      <c r="PZB233" s="257"/>
      <c r="PZD233" s="242"/>
      <c r="PZE233" s="256"/>
      <c r="PZF233" s="257"/>
      <c r="PZH233" s="242"/>
      <c r="PZI233" s="256"/>
      <c r="PZJ233" s="257"/>
      <c r="PZL233" s="242"/>
      <c r="PZM233" s="256"/>
      <c r="PZN233" s="257"/>
      <c r="PZP233" s="242"/>
      <c r="PZQ233" s="256"/>
      <c r="PZR233" s="257"/>
      <c r="PZT233" s="242"/>
      <c r="PZU233" s="256"/>
      <c r="PZV233" s="257"/>
      <c r="PZX233" s="242"/>
      <c r="PZY233" s="256"/>
      <c r="PZZ233" s="257"/>
      <c r="QAB233" s="242"/>
      <c r="QAC233" s="256"/>
      <c r="QAD233" s="257"/>
      <c r="QAF233" s="242"/>
      <c r="QAG233" s="256"/>
      <c r="QAH233" s="257"/>
      <c r="QAJ233" s="242"/>
      <c r="QAK233" s="256"/>
      <c r="QAL233" s="257"/>
      <c r="QAN233" s="242"/>
      <c r="QAO233" s="256"/>
      <c r="QAP233" s="257"/>
      <c r="QAR233" s="242"/>
      <c r="QAS233" s="256"/>
      <c r="QAT233" s="257"/>
      <c r="QAV233" s="242"/>
      <c r="QAW233" s="256"/>
      <c r="QAX233" s="257"/>
      <c r="QAZ233" s="242"/>
      <c r="QBA233" s="256"/>
      <c r="QBB233" s="257"/>
      <c r="QBD233" s="242"/>
      <c r="QBE233" s="256"/>
      <c r="QBF233" s="257"/>
      <c r="QBH233" s="242"/>
      <c r="QBI233" s="256"/>
      <c r="QBJ233" s="257"/>
      <c r="QBL233" s="242"/>
      <c r="QBM233" s="256"/>
      <c r="QBN233" s="257"/>
      <c r="QBP233" s="242"/>
      <c r="QBQ233" s="256"/>
      <c r="QBR233" s="257"/>
      <c r="QBT233" s="242"/>
      <c r="QBU233" s="256"/>
      <c r="QBV233" s="257"/>
      <c r="QBX233" s="242"/>
      <c r="QBY233" s="256"/>
      <c r="QBZ233" s="257"/>
      <c r="QCB233" s="242"/>
      <c r="QCC233" s="256"/>
      <c r="QCD233" s="257"/>
      <c r="QCF233" s="242"/>
      <c r="QCG233" s="256"/>
      <c r="QCH233" s="257"/>
      <c r="QCJ233" s="242"/>
      <c r="QCK233" s="256"/>
      <c r="QCL233" s="257"/>
      <c r="QCN233" s="242"/>
      <c r="QCO233" s="256"/>
      <c r="QCP233" s="257"/>
      <c r="QCR233" s="242"/>
      <c r="QCS233" s="256"/>
      <c r="QCT233" s="257"/>
      <c r="QCV233" s="242"/>
      <c r="QCW233" s="256"/>
      <c r="QCX233" s="257"/>
      <c r="QCZ233" s="242"/>
      <c r="QDA233" s="256"/>
      <c r="QDB233" s="257"/>
      <c r="QDD233" s="242"/>
      <c r="QDE233" s="256"/>
      <c r="QDF233" s="257"/>
      <c r="QDH233" s="242"/>
      <c r="QDI233" s="256"/>
      <c r="QDJ233" s="257"/>
      <c r="QDL233" s="242"/>
      <c r="QDM233" s="256"/>
      <c r="QDN233" s="257"/>
      <c r="QDP233" s="242"/>
      <c r="QDQ233" s="256"/>
      <c r="QDR233" s="257"/>
      <c r="QDT233" s="242"/>
      <c r="QDU233" s="256"/>
      <c r="QDV233" s="257"/>
      <c r="QDX233" s="242"/>
      <c r="QDY233" s="256"/>
      <c r="QDZ233" s="257"/>
      <c r="QEB233" s="242"/>
      <c r="QEC233" s="256"/>
      <c r="QED233" s="257"/>
      <c r="QEF233" s="242"/>
      <c r="QEG233" s="256"/>
      <c r="QEH233" s="257"/>
      <c r="QEJ233" s="242"/>
      <c r="QEK233" s="256"/>
      <c r="QEL233" s="257"/>
      <c r="QEN233" s="242"/>
      <c r="QEO233" s="256"/>
      <c r="QEP233" s="257"/>
      <c r="QER233" s="242"/>
      <c r="QES233" s="256"/>
      <c r="QET233" s="257"/>
      <c r="QEV233" s="242"/>
      <c r="QEW233" s="256"/>
      <c r="QEX233" s="257"/>
      <c r="QEZ233" s="242"/>
      <c r="QFA233" s="256"/>
      <c r="QFB233" s="257"/>
      <c r="QFD233" s="242"/>
      <c r="QFE233" s="256"/>
      <c r="QFF233" s="257"/>
      <c r="QFH233" s="242"/>
      <c r="QFI233" s="256"/>
      <c r="QFJ233" s="257"/>
      <c r="QFL233" s="242"/>
      <c r="QFM233" s="256"/>
      <c r="QFN233" s="257"/>
      <c r="QFP233" s="242"/>
      <c r="QFQ233" s="256"/>
      <c r="QFR233" s="257"/>
      <c r="QFT233" s="242"/>
      <c r="QFU233" s="256"/>
      <c r="QFV233" s="257"/>
      <c r="QFX233" s="242"/>
      <c r="QFY233" s="256"/>
      <c r="QFZ233" s="257"/>
      <c r="QGB233" s="242"/>
      <c r="QGC233" s="256"/>
      <c r="QGD233" s="257"/>
      <c r="QGF233" s="242"/>
      <c r="QGG233" s="256"/>
      <c r="QGH233" s="257"/>
      <c r="QGJ233" s="242"/>
      <c r="QGK233" s="256"/>
      <c r="QGL233" s="257"/>
      <c r="QGN233" s="242"/>
      <c r="QGO233" s="256"/>
      <c r="QGP233" s="257"/>
      <c r="QGR233" s="242"/>
      <c r="QGS233" s="256"/>
      <c r="QGT233" s="257"/>
      <c r="QGV233" s="242"/>
      <c r="QGW233" s="256"/>
      <c r="QGX233" s="257"/>
      <c r="QGZ233" s="242"/>
      <c r="QHA233" s="256"/>
      <c r="QHB233" s="257"/>
      <c r="QHD233" s="242"/>
      <c r="QHE233" s="256"/>
      <c r="QHF233" s="257"/>
      <c r="QHH233" s="242"/>
      <c r="QHI233" s="256"/>
      <c r="QHJ233" s="257"/>
      <c r="QHL233" s="242"/>
      <c r="QHM233" s="256"/>
      <c r="QHN233" s="257"/>
      <c r="QHP233" s="242"/>
      <c r="QHQ233" s="256"/>
      <c r="QHR233" s="257"/>
      <c r="QHT233" s="242"/>
      <c r="QHU233" s="256"/>
      <c r="QHV233" s="257"/>
      <c r="QHX233" s="242"/>
      <c r="QHY233" s="256"/>
      <c r="QHZ233" s="257"/>
      <c r="QIB233" s="242"/>
      <c r="QIC233" s="256"/>
      <c r="QID233" s="257"/>
      <c r="QIF233" s="242"/>
      <c r="QIG233" s="256"/>
      <c r="QIH233" s="257"/>
      <c r="QIJ233" s="242"/>
      <c r="QIK233" s="256"/>
      <c r="QIL233" s="257"/>
      <c r="QIN233" s="242"/>
      <c r="QIO233" s="256"/>
      <c r="QIP233" s="257"/>
      <c r="QIR233" s="242"/>
      <c r="QIS233" s="256"/>
      <c r="QIT233" s="257"/>
      <c r="QIV233" s="242"/>
      <c r="QIW233" s="256"/>
      <c r="QIX233" s="257"/>
      <c r="QIZ233" s="242"/>
      <c r="QJA233" s="256"/>
      <c r="QJB233" s="257"/>
      <c r="QJD233" s="242"/>
      <c r="QJE233" s="256"/>
      <c r="QJF233" s="257"/>
      <c r="QJH233" s="242"/>
      <c r="QJI233" s="256"/>
      <c r="QJJ233" s="257"/>
      <c r="QJL233" s="242"/>
      <c r="QJM233" s="256"/>
      <c r="QJN233" s="257"/>
      <c r="QJP233" s="242"/>
      <c r="QJQ233" s="256"/>
      <c r="QJR233" s="257"/>
      <c r="QJT233" s="242"/>
      <c r="QJU233" s="256"/>
      <c r="QJV233" s="257"/>
      <c r="QJX233" s="242"/>
      <c r="QJY233" s="256"/>
      <c r="QJZ233" s="257"/>
      <c r="QKB233" s="242"/>
      <c r="QKC233" s="256"/>
      <c r="QKD233" s="257"/>
      <c r="QKF233" s="242"/>
      <c r="QKG233" s="256"/>
      <c r="QKH233" s="257"/>
      <c r="QKJ233" s="242"/>
      <c r="QKK233" s="256"/>
      <c r="QKL233" s="257"/>
      <c r="QKN233" s="242"/>
      <c r="QKO233" s="256"/>
      <c r="QKP233" s="257"/>
      <c r="QKR233" s="242"/>
      <c r="QKS233" s="256"/>
      <c r="QKT233" s="257"/>
      <c r="QKV233" s="242"/>
      <c r="QKW233" s="256"/>
      <c r="QKX233" s="257"/>
      <c r="QKZ233" s="242"/>
      <c r="QLA233" s="256"/>
      <c r="QLB233" s="257"/>
      <c r="QLD233" s="242"/>
      <c r="QLE233" s="256"/>
      <c r="QLF233" s="257"/>
      <c r="QLH233" s="242"/>
      <c r="QLI233" s="256"/>
      <c r="QLJ233" s="257"/>
      <c r="QLL233" s="242"/>
      <c r="QLM233" s="256"/>
      <c r="QLN233" s="257"/>
      <c r="QLP233" s="242"/>
      <c r="QLQ233" s="256"/>
      <c r="QLR233" s="257"/>
      <c r="QLT233" s="242"/>
      <c r="QLU233" s="256"/>
      <c r="QLV233" s="257"/>
      <c r="QLX233" s="242"/>
      <c r="QLY233" s="256"/>
      <c r="QLZ233" s="257"/>
      <c r="QMB233" s="242"/>
      <c r="QMC233" s="256"/>
      <c r="QMD233" s="257"/>
      <c r="QMF233" s="242"/>
      <c r="QMG233" s="256"/>
      <c r="QMH233" s="257"/>
      <c r="QMJ233" s="242"/>
      <c r="QMK233" s="256"/>
      <c r="QML233" s="257"/>
      <c r="QMN233" s="242"/>
      <c r="QMO233" s="256"/>
      <c r="QMP233" s="257"/>
      <c r="QMR233" s="242"/>
      <c r="QMS233" s="256"/>
      <c r="QMT233" s="257"/>
      <c r="QMV233" s="242"/>
      <c r="QMW233" s="256"/>
      <c r="QMX233" s="257"/>
      <c r="QMZ233" s="242"/>
      <c r="QNA233" s="256"/>
      <c r="QNB233" s="257"/>
      <c r="QND233" s="242"/>
      <c r="QNE233" s="256"/>
      <c r="QNF233" s="257"/>
      <c r="QNH233" s="242"/>
      <c r="QNI233" s="256"/>
      <c r="QNJ233" s="257"/>
      <c r="QNL233" s="242"/>
      <c r="QNM233" s="256"/>
      <c r="QNN233" s="257"/>
      <c r="QNP233" s="242"/>
      <c r="QNQ233" s="256"/>
      <c r="QNR233" s="257"/>
      <c r="QNT233" s="242"/>
      <c r="QNU233" s="256"/>
      <c r="QNV233" s="257"/>
      <c r="QNX233" s="242"/>
      <c r="QNY233" s="256"/>
      <c r="QNZ233" s="257"/>
      <c r="QOB233" s="242"/>
      <c r="QOC233" s="256"/>
      <c r="QOD233" s="257"/>
      <c r="QOF233" s="242"/>
      <c r="QOG233" s="256"/>
      <c r="QOH233" s="257"/>
      <c r="QOJ233" s="242"/>
      <c r="QOK233" s="256"/>
      <c r="QOL233" s="257"/>
      <c r="QON233" s="242"/>
      <c r="QOO233" s="256"/>
      <c r="QOP233" s="257"/>
      <c r="QOR233" s="242"/>
      <c r="QOS233" s="256"/>
      <c r="QOT233" s="257"/>
      <c r="QOV233" s="242"/>
      <c r="QOW233" s="256"/>
      <c r="QOX233" s="257"/>
      <c r="QOZ233" s="242"/>
      <c r="QPA233" s="256"/>
      <c r="QPB233" s="257"/>
      <c r="QPD233" s="242"/>
      <c r="QPE233" s="256"/>
      <c r="QPF233" s="257"/>
      <c r="QPH233" s="242"/>
      <c r="QPI233" s="256"/>
      <c r="QPJ233" s="257"/>
      <c r="QPL233" s="242"/>
      <c r="QPM233" s="256"/>
      <c r="QPN233" s="257"/>
      <c r="QPP233" s="242"/>
      <c r="QPQ233" s="256"/>
      <c r="QPR233" s="257"/>
      <c r="QPT233" s="242"/>
      <c r="QPU233" s="256"/>
      <c r="QPV233" s="257"/>
      <c r="QPX233" s="242"/>
      <c r="QPY233" s="256"/>
      <c r="QPZ233" s="257"/>
      <c r="QQB233" s="242"/>
      <c r="QQC233" s="256"/>
      <c r="QQD233" s="257"/>
      <c r="QQF233" s="242"/>
      <c r="QQG233" s="256"/>
      <c r="QQH233" s="257"/>
      <c r="QQJ233" s="242"/>
      <c r="QQK233" s="256"/>
      <c r="QQL233" s="257"/>
      <c r="QQN233" s="242"/>
      <c r="QQO233" s="256"/>
      <c r="QQP233" s="257"/>
      <c r="QQR233" s="242"/>
      <c r="QQS233" s="256"/>
      <c r="QQT233" s="257"/>
      <c r="QQV233" s="242"/>
      <c r="QQW233" s="256"/>
      <c r="QQX233" s="257"/>
      <c r="QQZ233" s="242"/>
      <c r="QRA233" s="256"/>
      <c r="QRB233" s="257"/>
      <c r="QRD233" s="242"/>
      <c r="QRE233" s="256"/>
      <c r="QRF233" s="257"/>
      <c r="QRH233" s="242"/>
      <c r="QRI233" s="256"/>
      <c r="QRJ233" s="257"/>
      <c r="QRL233" s="242"/>
      <c r="QRM233" s="256"/>
      <c r="QRN233" s="257"/>
      <c r="QRP233" s="242"/>
      <c r="QRQ233" s="256"/>
      <c r="QRR233" s="257"/>
      <c r="QRT233" s="242"/>
      <c r="QRU233" s="256"/>
      <c r="QRV233" s="257"/>
      <c r="QRX233" s="242"/>
      <c r="QRY233" s="256"/>
      <c r="QRZ233" s="257"/>
      <c r="QSB233" s="242"/>
      <c r="QSC233" s="256"/>
      <c r="QSD233" s="257"/>
      <c r="QSF233" s="242"/>
      <c r="QSG233" s="256"/>
      <c r="QSH233" s="257"/>
      <c r="QSJ233" s="242"/>
      <c r="QSK233" s="256"/>
      <c r="QSL233" s="257"/>
      <c r="QSN233" s="242"/>
      <c r="QSO233" s="256"/>
      <c r="QSP233" s="257"/>
      <c r="QSR233" s="242"/>
      <c r="QSS233" s="256"/>
      <c r="QST233" s="257"/>
      <c r="QSV233" s="242"/>
      <c r="QSW233" s="256"/>
      <c r="QSX233" s="257"/>
      <c r="QSZ233" s="242"/>
      <c r="QTA233" s="256"/>
      <c r="QTB233" s="257"/>
      <c r="QTD233" s="242"/>
      <c r="QTE233" s="256"/>
      <c r="QTF233" s="257"/>
      <c r="QTH233" s="242"/>
      <c r="QTI233" s="256"/>
      <c r="QTJ233" s="257"/>
      <c r="QTL233" s="242"/>
      <c r="QTM233" s="256"/>
      <c r="QTN233" s="257"/>
      <c r="QTP233" s="242"/>
      <c r="QTQ233" s="256"/>
      <c r="QTR233" s="257"/>
      <c r="QTT233" s="242"/>
      <c r="QTU233" s="256"/>
      <c r="QTV233" s="257"/>
      <c r="QTX233" s="242"/>
      <c r="QTY233" s="256"/>
      <c r="QTZ233" s="257"/>
      <c r="QUB233" s="242"/>
      <c r="QUC233" s="256"/>
      <c r="QUD233" s="257"/>
      <c r="QUF233" s="242"/>
      <c r="QUG233" s="256"/>
      <c r="QUH233" s="257"/>
      <c r="QUJ233" s="242"/>
      <c r="QUK233" s="256"/>
      <c r="QUL233" s="257"/>
      <c r="QUN233" s="242"/>
      <c r="QUO233" s="256"/>
      <c r="QUP233" s="257"/>
      <c r="QUR233" s="242"/>
      <c r="QUS233" s="256"/>
      <c r="QUT233" s="257"/>
      <c r="QUV233" s="242"/>
      <c r="QUW233" s="256"/>
      <c r="QUX233" s="257"/>
      <c r="QUZ233" s="242"/>
      <c r="QVA233" s="256"/>
      <c r="QVB233" s="257"/>
      <c r="QVD233" s="242"/>
      <c r="QVE233" s="256"/>
      <c r="QVF233" s="257"/>
      <c r="QVH233" s="242"/>
      <c r="QVI233" s="256"/>
      <c r="QVJ233" s="257"/>
      <c r="QVL233" s="242"/>
      <c r="QVM233" s="256"/>
      <c r="QVN233" s="257"/>
      <c r="QVP233" s="242"/>
      <c r="QVQ233" s="256"/>
      <c r="QVR233" s="257"/>
      <c r="QVT233" s="242"/>
      <c r="QVU233" s="256"/>
      <c r="QVV233" s="257"/>
      <c r="QVX233" s="242"/>
      <c r="QVY233" s="256"/>
      <c r="QVZ233" s="257"/>
      <c r="QWB233" s="242"/>
      <c r="QWC233" s="256"/>
      <c r="QWD233" s="257"/>
      <c r="QWF233" s="242"/>
      <c r="QWG233" s="256"/>
      <c r="QWH233" s="257"/>
      <c r="QWJ233" s="242"/>
      <c r="QWK233" s="256"/>
      <c r="QWL233" s="257"/>
      <c r="QWN233" s="242"/>
      <c r="QWO233" s="256"/>
      <c r="QWP233" s="257"/>
      <c r="QWR233" s="242"/>
      <c r="QWS233" s="256"/>
      <c r="QWT233" s="257"/>
      <c r="QWV233" s="242"/>
      <c r="QWW233" s="256"/>
      <c r="QWX233" s="257"/>
      <c r="QWZ233" s="242"/>
      <c r="QXA233" s="256"/>
      <c r="QXB233" s="257"/>
      <c r="QXD233" s="242"/>
      <c r="QXE233" s="256"/>
      <c r="QXF233" s="257"/>
      <c r="QXH233" s="242"/>
      <c r="QXI233" s="256"/>
      <c r="QXJ233" s="257"/>
      <c r="QXL233" s="242"/>
      <c r="QXM233" s="256"/>
      <c r="QXN233" s="257"/>
      <c r="QXP233" s="242"/>
      <c r="QXQ233" s="256"/>
      <c r="QXR233" s="257"/>
      <c r="QXT233" s="242"/>
      <c r="QXU233" s="256"/>
      <c r="QXV233" s="257"/>
      <c r="QXX233" s="242"/>
      <c r="QXY233" s="256"/>
      <c r="QXZ233" s="257"/>
      <c r="QYB233" s="242"/>
      <c r="QYC233" s="256"/>
      <c r="QYD233" s="257"/>
      <c r="QYF233" s="242"/>
      <c r="QYG233" s="256"/>
      <c r="QYH233" s="257"/>
      <c r="QYJ233" s="242"/>
      <c r="QYK233" s="256"/>
      <c r="QYL233" s="257"/>
      <c r="QYN233" s="242"/>
      <c r="QYO233" s="256"/>
      <c r="QYP233" s="257"/>
      <c r="QYR233" s="242"/>
      <c r="QYS233" s="256"/>
      <c r="QYT233" s="257"/>
      <c r="QYV233" s="242"/>
      <c r="QYW233" s="256"/>
      <c r="QYX233" s="257"/>
      <c r="QYZ233" s="242"/>
      <c r="QZA233" s="256"/>
      <c r="QZB233" s="257"/>
      <c r="QZD233" s="242"/>
      <c r="QZE233" s="256"/>
      <c r="QZF233" s="257"/>
      <c r="QZH233" s="242"/>
      <c r="QZI233" s="256"/>
      <c r="QZJ233" s="257"/>
      <c r="QZL233" s="242"/>
      <c r="QZM233" s="256"/>
      <c r="QZN233" s="257"/>
      <c r="QZP233" s="242"/>
      <c r="QZQ233" s="256"/>
      <c r="QZR233" s="257"/>
      <c r="QZT233" s="242"/>
      <c r="QZU233" s="256"/>
      <c r="QZV233" s="257"/>
      <c r="QZX233" s="242"/>
      <c r="QZY233" s="256"/>
      <c r="QZZ233" s="257"/>
      <c r="RAB233" s="242"/>
      <c r="RAC233" s="256"/>
      <c r="RAD233" s="257"/>
      <c r="RAF233" s="242"/>
      <c r="RAG233" s="256"/>
      <c r="RAH233" s="257"/>
      <c r="RAJ233" s="242"/>
      <c r="RAK233" s="256"/>
      <c r="RAL233" s="257"/>
      <c r="RAN233" s="242"/>
      <c r="RAO233" s="256"/>
      <c r="RAP233" s="257"/>
      <c r="RAR233" s="242"/>
      <c r="RAS233" s="256"/>
      <c r="RAT233" s="257"/>
      <c r="RAV233" s="242"/>
      <c r="RAW233" s="256"/>
      <c r="RAX233" s="257"/>
      <c r="RAZ233" s="242"/>
      <c r="RBA233" s="256"/>
      <c r="RBB233" s="257"/>
      <c r="RBD233" s="242"/>
      <c r="RBE233" s="256"/>
      <c r="RBF233" s="257"/>
      <c r="RBH233" s="242"/>
      <c r="RBI233" s="256"/>
      <c r="RBJ233" s="257"/>
      <c r="RBL233" s="242"/>
      <c r="RBM233" s="256"/>
      <c r="RBN233" s="257"/>
      <c r="RBP233" s="242"/>
      <c r="RBQ233" s="256"/>
      <c r="RBR233" s="257"/>
      <c r="RBT233" s="242"/>
      <c r="RBU233" s="256"/>
      <c r="RBV233" s="257"/>
      <c r="RBX233" s="242"/>
      <c r="RBY233" s="256"/>
      <c r="RBZ233" s="257"/>
      <c r="RCB233" s="242"/>
      <c r="RCC233" s="256"/>
      <c r="RCD233" s="257"/>
      <c r="RCF233" s="242"/>
      <c r="RCG233" s="256"/>
      <c r="RCH233" s="257"/>
      <c r="RCJ233" s="242"/>
      <c r="RCK233" s="256"/>
      <c r="RCL233" s="257"/>
      <c r="RCN233" s="242"/>
      <c r="RCO233" s="256"/>
      <c r="RCP233" s="257"/>
      <c r="RCR233" s="242"/>
      <c r="RCS233" s="256"/>
      <c r="RCT233" s="257"/>
      <c r="RCV233" s="242"/>
      <c r="RCW233" s="256"/>
      <c r="RCX233" s="257"/>
      <c r="RCZ233" s="242"/>
      <c r="RDA233" s="256"/>
      <c r="RDB233" s="257"/>
      <c r="RDD233" s="242"/>
      <c r="RDE233" s="256"/>
      <c r="RDF233" s="257"/>
      <c r="RDH233" s="242"/>
      <c r="RDI233" s="256"/>
      <c r="RDJ233" s="257"/>
      <c r="RDL233" s="242"/>
      <c r="RDM233" s="256"/>
      <c r="RDN233" s="257"/>
      <c r="RDP233" s="242"/>
      <c r="RDQ233" s="256"/>
      <c r="RDR233" s="257"/>
      <c r="RDT233" s="242"/>
      <c r="RDU233" s="256"/>
      <c r="RDV233" s="257"/>
      <c r="RDX233" s="242"/>
      <c r="RDY233" s="256"/>
      <c r="RDZ233" s="257"/>
      <c r="REB233" s="242"/>
      <c r="REC233" s="256"/>
      <c r="RED233" s="257"/>
      <c r="REF233" s="242"/>
      <c r="REG233" s="256"/>
      <c r="REH233" s="257"/>
      <c r="REJ233" s="242"/>
      <c r="REK233" s="256"/>
      <c r="REL233" s="257"/>
      <c r="REN233" s="242"/>
      <c r="REO233" s="256"/>
      <c r="REP233" s="257"/>
      <c r="RER233" s="242"/>
      <c r="RES233" s="256"/>
      <c r="RET233" s="257"/>
      <c r="REV233" s="242"/>
      <c r="REW233" s="256"/>
      <c r="REX233" s="257"/>
      <c r="REZ233" s="242"/>
      <c r="RFA233" s="256"/>
      <c r="RFB233" s="257"/>
      <c r="RFD233" s="242"/>
      <c r="RFE233" s="256"/>
      <c r="RFF233" s="257"/>
      <c r="RFH233" s="242"/>
      <c r="RFI233" s="256"/>
      <c r="RFJ233" s="257"/>
      <c r="RFL233" s="242"/>
      <c r="RFM233" s="256"/>
      <c r="RFN233" s="257"/>
      <c r="RFP233" s="242"/>
      <c r="RFQ233" s="256"/>
      <c r="RFR233" s="257"/>
      <c r="RFT233" s="242"/>
      <c r="RFU233" s="256"/>
      <c r="RFV233" s="257"/>
      <c r="RFX233" s="242"/>
      <c r="RFY233" s="256"/>
      <c r="RFZ233" s="257"/>
      <c r="RGB233" s="242"/>
      <c r="RGC233" s="256"/>
      <c r="RGD233" s="257"/>
      <c r="RGF233" s="242"/>
      <c r="RGG233" s="256"/>
      <c r="RGH233" s="257"/>
      <c r="RGJ233" s="242"/>
      <c r="RGK233" s="256"/>
      <c r="RGL233" s="257"/>
      <c r="RGN233" s="242"/>
      <c r="RGO233" s="256"/>
      <c r="RGP233" s="257"/>
      <c r="RGR233" s="242"/>
      <c r="RGS233" s="256"/>
      <c r="RGT233" s="257"/>
      <c r="RGV233" s="242"/>
      <c r="RGW233" s="256"/>
      <c r="RGX233" s="257"/>
      <c r="RGZ233" s="242"/>
      <c r="RHA233" s="256"/>
      <c r="RHB233" s="257"/>
      <c r="RHD233" s="242"/>
      <c r="RHE233" s="256"/>
      <c r="RHF233" s="257"/>
      <c r="RHH233" s="242"/>
      <c r="RHI233" s="256"/>
      <c r="RHJ233" s="257"/>
      <c r="RHL233" s="242"/>
      <c r="RHM233" s="256"/>
      <c r="RHN233" s="257"/>
      <c r="RHP233" s="242"/>
      <c r="RHQ233" s="256"/>
      <c r="RHR233" s="257"/>
      <c r="RHT233" s="242"/>
      <c r="RHU233" s="256"/>
      <c r="RHV233" s="257"/>
      <c r="RHX233" s="242"/>
      <c r="RHY233" s="256"/>
      <c r="RHZ233" s="257"/>
      <c r="RIB233" s="242"/>
      <c r="RIC233" s="256"/>
      <c r="RID233" s="257"/>
      <c r="RIF233" s="242"/>
      <c r="RIG233" s="256"/>
      <c r="RIH233" s="257"/>
      <c r="RIJ233" s="242"/>
      <c r="RIK233" s="256"/>
      <c r="RIL233" s="257"/>
      <c r="RIN233" s="242"/>
      <c r="RIO233" s="256"/>
      <c r="RIP233" s="257"/>
      <c r="RIR233" s="242"/>
      <c r="RIS233" s="256"/>
      <c r="RIT233" s="257"/>
      <c r="RIV233" s="242"/>
      <c r="RIW233" s="256"/>
      <c r="RIX233" s="257"/>
      <c r="RIZ233" s="242"/>
      <c r="RJA233" s="256"/>
      <c r="RJB233" s="257"/>
      <c r="RJD233" s="242"/>
      <c r="RJE233" s="256"/>
      <c r="RJF233" s="257"/>
      <c r="RJH233" s="242"/>
      <c r="RJI233" s="256"/>
      <c r="RJJ233" s="257"/>
      <c r="RJL233" s="242"/>
      <c r="RJM233" s="256"/>
      <c r="RJN233" s="257"/>
      <c r="RJP233" s="242"/>
      <c r="RJQ233" s="256"/>
      <c r="RJR233" s="257"/>
      <c r="RJT233" s="242"/>
      <c r="RJU233" s="256"/>
      <c r="RJV233" s="257"/>
      <c r="RJX233" s="242"/>
      <c r="RJY233" s="256"/>
      <c r="RJZ233" s="257"/>
      <c r="RKB233" s="242"/>
      <c r="RKC233" s="256"/>
      <c r="RKD233" s="257"/>
      <c r="RKF233" s="242"/>
      <c r="RKG233" s="256"/>
      <c r="RKH233" s="257"/>
      <c r="RKJ233" s="242"/>
      <c r="RKK233" s="256"/>
      <c r="RKL233" s="257"/>
      <c r="RKN233" s="242"/>
      <c r="RKO233" s="256"/>
      <c r="RKP233" s="257"/>
      <c r="RKR233" s="242"/>
      <c r="RKS233" s="256"/>
      <c r="RKT233" s="257"/>
      <c r="RKV233" s="242"/>
      <c r="RKW233" s="256"/>
      <c r="RKX233" s="257"/>
      <c r="RKZ233" s="242"/>
      <c r="RLA233" s="256"/>
      <c r="RLB233" s="257"/>
      <c r="RLD233" s="242"/>
      <c r="RLE233" s="256"/>
      <c r="RLF233" s="257"/>
      <c r="RLH233" s="242"/>
      <c r="RLI233" s="256"/>
      <c r="RLJ233" s="257"/>
      <c r="RLL233" s="242"/>
      <c r="RLM233" s="256"/>
      <c r="RLN233" s="257"/>
      <c r="RLP233" s="242"/>
      <c r="RLQ233" s="256"/>
      <c r="RLR233" s="257"/>
      <c r="RLT233" s="242"/>
      <c r="RLU233" s="256"/>
      <c r="RLV233" s="257"/>
      <c r="RLX233" s="242"/>
      <c r="RLY233" s="256"/>
      <c r="RLZ233" s="257"/>
      <c r="RMB233" s="242"/>
      <c r="RMC233" s="256"/>
      <c r="RMD233" s="257"/>
      <c r="RMF233" s="242"/>
      <c r="RMG233" s="256"/>
      <c r="RMH233" s="257"/>
      <c r="RMJ233" s="242"/>
      <c r="RMK233" s="256"/>
      <c r="RML233" s="257"/>
      <c r="RMN233" s="242"/>
      <c r="RMO233" s="256"/>
      <c r="RMP233" s="257"/>
      <c r="RMR233" s="242"/>
      <c r="RMS233" s="256"/>
      <c r="RMT233" s="257"/>
      <c r="RMV233" s="242"/>
      <c r="RMW233" s="256"/>
      <c r="RMX233" s="257"/>
      <c r="RMZ233" s="242"/>
      <c r="RNA233" s="256"/>
      <c r="RNB233" s="257"/>
      <c r="RND233" s="242"/>
      <c r="RNE233" s="256"/>
      <c r="RNF233" s="257"/>
      <c r="RNH233" s="242"/>
      <c r="RNI233" s="256"/>
      <c r="RNJ233" s="257"/>
      <c r="RNL233" s="242"/>
      <c r="RNM233" s="256"/>
      <c r="RNN233" s="257"/>
      <c r="RNP233" s="242"/>
      <c r="RNQ233" s="256"/>
      <c r="RNR233" s="257"/>
      <c r="RNT233" s="242"/>
      <c r="RNU233" s="256"/>
      <c r="RNV233" s="257"/>
      <c r="RNX233" s="242"/>
      <c r="RNY233" s="256"/>
      <c r="RNZ233" s="257"/>
      <c r="ROB233" s="242"/>
      <c r="ROC233" s="256"/>
      <c r="ROD233" s="257"/>
      <c r="ROF233" s="242"/>
      <c r="ROG233" s="256"/>
      <c r="ROH233" s="257"/>
      <c r="ROJ233" s="242"/>
      <c r="ROK233" s="256"/>
      <c r="ROL233" s="257"/>
      <c r="RON233" s="242"/>
      <c r="ROO233" s="256"/>
      <c r="ROP233" s="257"/>
      <c r="ROR233" s="242"/>
      <c r="ROS233" s="256"/>
      <c r="ROT233" s="257"/>
      <c r="ROV233" s="242"/>
      <c r="ROW233" s="256"/>
      <c r="ROX233" s="257"/>
      <c r="ROZ233" s="242"/>
      <c r="RPA233" s="256"/>
      <c r="RPB233" s="257"/>
      <c r="RPD233" s="242"/>
      <c r="RPE233" s="256"/>
      <c r="RPF233" s="257"/>
      <c r="RPH233" s="242"/>
      <c r="RPI233" s="256"/>
      <c r="RPJ233" s="257"/>
      <c r="RPL233" s="242"/>
      <c r="RPM233" s="256"/>
      <c r="RPN233" s="257"/>
      <c r="RPP233" s="242"/>
      <c r="RPQ233" s="256"/>
      <c r="RPR233" s="257"/>
      <c r="RPT233" s="242"/>
      <c r="RPU233" s="256"/>
      <c r="RPV233" s="257"/>
      <c r="RPX233" s="242"/>
      <c r="RPY233" s="256"/>
      <c r="RPZ233" s="257"/>
      <c r="RQB233" s="242"/>
      <c r="RQC233" s="256"/>
      <c r="RQD233" s="257"/>
      <c r="RQF233" s="242"/>
      <c r="RQG233" s="256"/>
      <c r="RQH233" s="257"/>
      <c r="RQJ233" s="242"/>
      <c r="RQK233" s="256"/>
      <c r="RQL233" s="257"/>
      <c r="RQN233" s="242"/>
      <c r="RQO233" s="256"/>
      <c r="RQP233" s="257"/>
      <c r="RQR233" s="242"/>
      <c r="RQS233" s="256"/>
      <c r="RQT233" s="257"/>
      <c r="RQV233" s="242"/>
      <c r="RQW233" s="256"/>
      <c r="RQX233" s="257"/>
      <c r="RQZ233" s="242"/>
      <c r="RRA233" s="256"/>
      <c r="RRB233" s="257"/>
      <c r="RRD233" s="242"/>
      <c r="RRE233" s="256"/>
      <c r="RRF233" s="257"/>
      <c r="RRH233" s="242"/>
      <c r="RRI233" s="256"/>
      <c r="RRJ233" s="257"/>
      <c r="RRL233" s="242"/>
      <c r="RRM233" s="256"/>
      <c r="RRN233" s="257"/>
      <c r="RRP233" s="242"/>
      <c r="RRQ233" s="256"/>
      <c r="RRR233" s="257"/>
      <c r="RRT233" s="242"/>
      <c r="RRU233" s="256"/>
      <c r="RRV233" s="257"/>
      <c r="RRX233" s="242"/>
      <c r="RRY233" s="256"/>
      <c r="RRZ233" s="257"/>
      <c r="RSB233" s="242"/>
      <c r="RSC233" s="256"/>
      <c r="RSD233" s="257"/>
      <c r="RSF233" s="242"/>
      <c r="RSG233" s="256"/>
      <c r="RSH233" s="257"/>
      <c r="RSJ233" s="242"/>
      <c r="RSK233" s="256"/>
      <c r="RSL233" s="257"/>
      <c r="RSN233" s="242"/>
      <c r="RSO233" s="256"/>
      <c r="RSP233" s="257"/>
      <c r="RSR233" s="242"/>
      <c r="RSS233" s="256"/>
      <c r="RST233" s="257"/>
      <c r="RSV233" s="242"/>
      <c r="RSW233" s="256"/>
      <c r="RSX233" s="257"/>
      <c r="RSZ233" s="242"/>
      <c r="RTA233" s="256"/>
      <c r="RTB233" s="257"/>
      <c r="RTD233" s="242"/>
      <c r="RTE233" s="256"/>
      <c r="RTF233" s="257"/>
      <c r="RTH233" s="242"/>
      <c r="RTI233" s="256"/>
      <c r="RTJ233" s="257"/>
      <c r="RTL233" s="242"/>
      <c r="RTM233" s="256"/>
      <c r="RTN233" s="257"/>
      <c r="RTP233" s="242"/>
      <c r="RTQ233" s="256"/>
      <c r="RTR233" s="257"/>
      <c r="RTT233" s="242"/>
      <c r="RTU233" s="256"/>
      <c r="RTV233" s="257"/>
      <c r="RTX233" s="242"/>
      <c r="RTY233" s="256"/>
      <c r="RTZ233" s="257"/>
      <c r="RUB233" s="242"/>
      <c r="RUC233" s="256"/>
      <c r="RUD233" s="257"/>
      <c r="RUF233" s="242"/>
      <c r="RUG233" s="256"/>
      <c r="RUH233" s="257"/>
      <c r="RUJ233" s="242"/>
      <c r="RUK233" s="256"/>
      <c r="RUL233" s="257"/>
      <c r="RUN233" s="242"/>
      <c r="RUO233" s="256"/>
      <c r="RUP233" s="257"/>
      <c r="RUR233" s="242"/>
      <c r="RUS233" s="256"/>
      <c r="RUT233" s="257"/>
      <c r="RUV233" s="242"/>
      <c r="RUW233" s="256"/>
      <c r="RUX233" s="257"/>
      <c r="RUZ233" s="242"/>
      <c r="RVA233" s="256"/>
      <c r="RVB233" s="257"/>
      <c r="RVD233" s="242"/>
      <c r="RVE233" s="256"/>
      <c r="RVF233" s="257"/>
      <c r="RVH233" s="242"/>
      <c r="RVI233" s="256"/>
      <c r="RVJ233" s="257"/>
      <c r="RVL233" s="242"/>
      <c r="RVM233" s="256"/>
      <c r="RVN233" s="257"/>
      <c r="RVP233" s="242"/>
      <c r="RVQ233" s="256"/>
      <c r="RVR233" s="257"/>
      <c r="RVT233" s="242"/>
      <c r="RVU233" s="256"/>
      <c r="RVV233" s="257"/>
      <c r="RVX233" s="242"/>
      <c r="RVY233" s="256"/>
      <c r="RVZ233" s="257"/>
      <c r="RWB233" s="242"/>
      <c r="RWC233" s="256"/>
      <c r="RWD233" s="257"/>
      <c r="RWF233" s="242"/>
      <c r="RWG233" s="256"/>
      <c r="RWH233" s="257"/>
      <c r="RWJ233" s="242"/>
      <c r="RWK233" s="256"/>
      <c r="RWL233" s="257"/>
      <c r="RWN233" s="242"/>
      <c r="RWO233" s="256"/>
      <c r="RWP233" s="257"/>
      <c r="RWR233" s="242"/>
      <c r="RWS233" s="256"/>
      <c r="RWT233" s="257"/>
      <c r="RWV233" s="242"/>
      <c r="RWW233" s="256"/>
      <c r="RWX233" s="257"/>
      <c r="RWZ233" s="242"/>
      <c r="RXA233" s="256"/>
      <c r="RXB233" s="257"/>
      <c r="RXD233" s="242"/>
      <c r="RXE233" s="256"/>
      <c r="RXF233" s="257"/>
      <c r="RXH233" s="242"/>
      <c r="RXI233" s="256"/>
      <c r="RXJ233" s="257"/>
      <c r="RXL233" s="242"/>
      <c r="RXM233" s="256"/>
      <c r="RXN233" s="257"/>
      <c r="RXP233" s="242"/>
      <c r="RXQ233" s="256"/>
      <c r="RXR233" s="257"/>
      <c r="RXT233" s="242"/>
      <c r="RXU233" s="256"/>
      <c r="RXV233" s="257"/>
      <c r="RXX233" s="242"/>
      <c r="RXY233" s="256"/>
      <c r="RXZ233" s="257"/>
      <c r="RYB233" s="242"/>
      <c r="RYC233" s="256"/>
      <c r="RYD233" s="257"/>
      <c r="RYF233" s="242"/>
      <c r="RYG233" s="256"/>
      <c r="RYH233" s="257"/>
      <c r="RYJ233" s="242"/>
      <c r="RYK233" s="256"/>
      <c r="RYL233" s="257"/>
      <c r="RYN233" s="242"/>
      <c r="RYO233" s="256"/>
      <c r="RYP233" s="257"/>
      <c r="RYR233" s="242"/>
      <c r="RYS233" s="256"/>
      <c r="RYT233" s="257"/>
      <c r="RYV233" s="242"/>
      <c r="RYW233" s="256"/>
      <c r="RYX233" s="257"/>
      <c r="RYZ233" s="242"/>
      <c r="RZA233" s="256"/>
      <c r="RZB233" s="257"/>
      <c r="RZD233" s="242"/>
      <c r="RZE233" s="256"/>
      <c r="RZF233" s="257"/>
      <c r="RZH233" s="242"/>
      <c r="RZI233" s="256"/>
      <c r="RZJ233" s="257"/>
      <c r="RZL233" s="242"/>
      <c r="RZM233" s="256"/>
      <c r="RZN233" s="257"/>
      <c r="RZP233" s="242"/>
      <c r="RZQ233" s="256"/>
      <c r="RZR233" s="257"/>
      <c r="RZT233" s="242"/>
      <c r="RZU233" s="256"/>
      <c r="RZV233" s="257"/>
      <c r="RZX233" s="242"/>
      <c r="RZY233" s="256"/>
      <c r="RZZ233" s="257"/>
      <c r="SAB233" s="242"/>
      <c r="SAC233" s="256"/>
      <c r="SAD233" s="257"/>
      <c r="SAF233" s="242"/>
      <c r="SAG233" s="256"/>
      <c r="SAH233" s="257"/>
      <c r="SAJ233" s="242"/>
      <c r="SAK233" s="256"/>
      <c r="SAL233" s="257"/>
      <c r="SAN233" s="242"/>
      <c r="SAO233" s="256"/>
      <c r="SAP233" s="257"/>
      <c r="SAR233" s="242"/>
      <c r="SAS233" s="256"/>
      <c r="SAT233" s="257"/>
      <c r="SAV233" s="242"/>
      <c r="SAW233" s="256"/>
      <c r="SAX233" s="257"/>
      <c r="SAZ233" s="242"/>
      <c r="SBA233" s="256"/>
      <c r="SBB233" s="257"/>
      <c r="SBD233" s="242"/>
      <c r="SBE233" s="256"/>
      <c r="SBF233" s="257"/>
      <c r="SBH233" s="242"/>
      <c r="SBI233" s="256"/>
      <c r="SBJ233" s="257"/>
      <c r="SBL233" s="242"/>
      <c r="SBM233" s="256"/>
      <c r="SBN233" s="257"/>
      <c r="SBP233" s="242"/>
      <c r="SBQ233" s="256"/>
      <c r="SBR233" s="257"/>
      <c r="SBT233" s="242"/>
      <c r="SBU233" s="256"/>
      <c r="SBV233" s="257"/>
      <c r="SBX233" s="242"/>
      <c r="SBY233" s="256"/>
      <c r="SBZ233" s="257"/>
      <c r="SCB233" s="242"/>
      <c r="SCC233" s="256"/>
      <c r="SCD233" s="257"/>
      <c r="SCF233" s="242"/>
      <c r="SCG233" s="256"/>
      <c r="SCH233" s="257"/>
      <c r="SCJ233" s="242"/>
      <c r="SCK233" s="256"/>
      <c r="SCL233" s="257"/>
      <c r="SCN233" s="242"/>
      <c r="SCO233" s="256"/>
      <c r="SCP233" s="257"/>
      <c r="SCR233" s="242"/>
      <c r="SCS233" s="256"/>
      <c r="SCT233" s="257"/>
      <c r="SCV233" s="242"/>
      <c r="SCW233" s="256"/>
      <c r="SCX233" s="257"/>
      <c r="SCZ233" s="242"/>
      <c r="SDA233" s="256"/>
      <c r="SDB233" s="257"/>
      <c r="SDD233" s="242"/>
      <c r="SDE233" s="256"/>
      <c r="SDF233" s="257"/>
      <c r="SDH233" s="242"/>
      <c r="SDI233" s="256"/>
      <c r="SDJ233" s="257"/>
      <c r="SDL233" s="242"/>
      <c r="SDM233" s="256"/>
      <c r="SDN233" s="257"/>
      <c r="SDP233" s="242"/>
      <c r="SDQ233" s="256"/>
      <c r="SDR233" s="257"/>
      <c r="SDT233" s="242"/>
      <c r="SDU233" s="256"/>
      <c r="SDV233" s="257"/>
      <c r="SDX233" s="242"/>
      <c r="SDY233" s="256"/>
      <c r="SDZ233" s="257"/>
      <c r="SEB233" s="242"/>
      <c r="SEC233" s="256"/>
      <c r="SED233" s="257"/>
      <c r="SEF233" s="242"/>
      <c r="SEG233" s="256"/>
      <c r="SEH233" s="257"/>
      <c r="SEJ233" s="242"/>
      <c r="SEK233" s="256"/>
      <c r="SEL233" s="257"/>
      <c r="SEN233" s="242"/>
      <c r="SEO233" s="256"/>
      <c r="SEP233" s="257"/>
      <c r="SER233" s="242"/>
      <c r="SES233" s="256"/>
      <c r="SET233" s="257"/>
      <c r="SEV233" s="242"/>
      <c r="SEW233" s="256"/>
      <c r="SEX233" s="257"/>
      <c r="SEZ233" s="242"/>
      <c r="SFA233" s="256"/>
      <c r="SFB233" s="257"/>
      <c r="SFD233" s="242"/>
      <c r="SFE233" s="256"/>
      <c r="SFF233" s="257"/>
      <c r="SFH233" s="242"/>
      <c r="SFI233" s="256"/>
      <c r="SFJ233" s="257"/>
      <c r="SFL233" s="242"/>
      <c r="SFM233" s="256"/>
      <c r="SFN233" s="257"/>
      <c r="SFP233" s="242"/>
      <c r="SFQ233" s="256"/>
      <c r="SFR233" s="257"/>
      <c r="SFT233" s="242"/>
      <c r="SFU233" s="256"/>
      <c r="SFV233" s="257"/>
      <c r="SFX233" s="242"/>
      <c r="SFY233" s="256"/>
      <c r="SFZ233" s="257"/>
      <c r="SGB233" s="242"/>
      <c r="SGC233" s="256"/>
      <c r="SGD233" s="257"/>
      <c r="SGF233" s="242"/>
      <c r="SGG233" s="256"/>
      <c r="SGH233" s="257"/>
      <c r="SGJ233" s="242"/>
      <c r="SGK233" s="256"/>
      <c r="SGL233" s="257"/>
      <c r="SGN233" s="242"/>
      <c r="SGO233" s="256"/>
      <c r="SGP233" s="257"/>
      <c r="SGR233" s="242"/>
      <c r="SGS233" s="256"/>
      <c r="SGT233" s="257"/>
      <c r="SGV233" s="242"/>
      <c r="SGW233" s="256"/>
      <c r="SGX233" s="257"/>
      <c r="SGZ233" s="242"/>
      <c r="SHA233" s="256"/>
      <c r="SHB233" s="257"/>
      <c r="SHD233" s="242"/>
      <c r="SHE233" s="256"/>
      <c r="SHF233" s="257"/>
      <c r="SHH233" s="242"/>
      <c r="SHI233" s="256"/>
      <c r="SHJ233" s="257"/>
      <c r="SHL233" s="242"/>
      <c r="SHM233" s="256"/>
      <c r="SHN233" s="257"/>
      <c r="SHP233" s="242"/>
      <c r="SHQ233" s="256"/>
      <c r="SHR233" s="257"/>
      <c r="SHT233" s="242"/>
      <c r="SHU233" s="256"/>
      <c r="SHV233" s="257"/>
      <c r="SHX233" s="242"/>
      <c r="SHY233" s="256"/>
      <c r="SHZ233" s="257"/>
      <c r="SIB233" s="242"/>
      <c r="SIC233" s="256"/>
      <c r="SID233" s="257"/>
      <c r="SIF233" s="242"/>
      <c r="SIG233" s="256"/>
      <c r="SIH233" s="257"/>
      <c r="SIJ233" s="242"/>
      <c r="SIK233" s="256"/>
      <c r="SIL233" s="257"/>
      <c r="SIN233" s="242"/>
      <c r="SIO233" s="256"/>
      <c r="SIP233" s="257"/>
      <c r="SIR233" s="242"/>
      <c r="SIS233" s="256"/>
      <c r="SIT233" s="257"/>
      <c r="SIV233" s="242"/>
      <c r="SIW233" s="256"/>
      <c r="SIX233" s="257"/>
      <c r="SIZ233" s="242"/>
      <c r="SJA233" s="256"/>
      <c r="SJB233" s="257"/>
      <c r="SJD233" s="242"/>
      <c r="SJE233" s="256"/>
      <c r="SJF233" s="257"/>
      <c r="SJH233" s="242"/>
      <c r="SJI233" s="256"/>
      <c r="SJJ233" s="257"/>
      <c r="SJL233" s="242"/>
      <c r="SJM233" s="256"/>
      <c r="SJN233" s="257"/>
      <c r="SJP233" s="242"/>
      <c r="SJQ233" s="256"/>
      <c r="SJR233" s="257"/>
      <c r="SJT233" s="242"/>
      <c r="SJU233" s="256"/>
      <c r="SJV233" s="257"/>
      <c r="SJX233" s="242"/>
      <c r="SJY233" s="256"/>
      <c r="SJZ233" s="257"/>
      <c r="SKB233" s="242"/>
      <c r="SKC233" s="256"/>
      <c r="SKD233" s="257"/>
      <c r="SKF233" s="242"/>
      <c r="SKG233" s="256"/>
      <c r="SKH233" s="257"/>
      <c r="SKJ233" s="242"/>
      <c r="SKK233" s="256"/>
      <c r="SKL233" s="257"/>
      <c r="SKN233" s="242"/>
      <c r="SKO233" s="256"/>
      <c r="SKP233" s="257"/>
      <c r="SKR233" s="242"/>
      <c r="SKS233" s="256"/>
      <c r="SKT233" s="257"/>
      <c r="SKV233" s="242"/>
      <c r="SKW233" s="256"/>
      <c r="SKX233" s="257"/>
      <c r="SKZ233" s="242"/>
      <c r="SLA233" s="256"/>
      <c r="SLB233" s="257"/>
      <c r="SLD233" s="242"/>
      <c r="SLE233" s="256"/>
      <c r="SLF233" s="257"/>
      <c r="SLH233" s="242"/>
      <c r="SLI233" s="256"/>
      <c r="SLJ233" s="257"/>
      <c r="SLL233" s="242"/>
      <c r="SLM233" s="256"/>
      <c r="SLN233" s="257"/>
      <c r="SLP233" s="242"/>
      <c r="SLQ233" s="256"/>
      <c r="SLR233" s="257"/>
      <c r="SLT233" s="242"/>
      <c r="SLU233" s="256"/>
      <c r="SLV233" s="257"/>
      <c r="SLX233" s="242"/>
      <c r="SLY233" s="256"/>
      <c r="SLZ233" s="257"/>
      <c r="SMB233" s="242"/>
      <c r="SMC233" s="256"/>
      <c r="SMD233" s="257"/>
      <c r="SMF233" s="242"/>
      <c r="SMG233" s="256"/>
      <c r="SMH233" s="257"/>
      <c r="SMJ233" s="242"/>
      <c r="SMK233" s="256"/>
      <c r="SML233" s="257"/>
      <c r="SMN233" s="242"/>
      <c r="SMO233" s="256"/>
      <c r="SMP233" s="257"/>
      <c r="SMR233" s="242"/>
      <c r="SMS233" s="256"/>
      <c r="SMT233" s="257"/>
      <c r="SMV233" s="242"/>
      <c r="SMW233" s="256"/>
      <c r="SMX233" s="257"/>
      <c r="SMZ233" s="242"/>
      <c r="SNA233" s="256"/>
      <c r="SNB233" s="257"/>
      <c r="SND233" s="242"/>
      <c r="SNE233" s="256"/>
      <c r="SNF233" s="257"/>
      <c r="SNH233" s="242"/>
      <c r="SNI233" s="256"/>
      <c r="SNJ233" s="257"/>
      <c r="SNL233" s="242"/>
      <c r="SNM233" s="256"/>
      <c r="SNN233" s="257"/>
      <c r="SNP233" s="242"/>
      <c r="SNQ233" s="256"/>
      <c r="SNR233" s="257"/>
      <c r="SNT233" s="242"/>
      <c r="SNU233" s="256"/>
      <c r="SNV233" s="257"/>
      <c r="SNX233" s="242"/>
      <c r="SNY233" s="256"/>
      <c r="SNZ233" s="257"/>
      <c r="SOB233" s="242"/>
      <c r="SOC233" s="256"/>
      <c r="SOD233" s="257"/>
      <c r="SOF233" s="242"/>
      <c r="SOG233" s="256"/>
      <c r="SOH233" s="257"/>
      <c r="SOJ233" s="242"/>
      <c r="SOK233" s="256"/>
      <c r="SOL233" s="257"/>
      <c r="SON233" s="242"/>
      <c r="SOO233" s="256"/>
      <c r="SOP233" s="257"/>
      <c r="SOR233" s="242"/>
      <c r="SOS233" s="256"/>
      <c r="SOT233" s="257"/>
      <c r="SOV233" s="242"/>
      <c r="SOW233" s="256"/>
      <c r="SOX233" s="257"/>
      <c r="SOZ233" s="242"/>
      <c r="SPA233" s="256"/>
      <c r="SPB233" s="257"/>
      <c r="SPD233" s="242"/>
      <c r="SPE233" s="256"/>
      <c r="SPF233" s="257"/>
      <c r="SPH233" s="242"/>
      <c r="SPI233" s="256"/>
      <c r="SPJ233" s="257"/>
      <c r="SPL233" s="242"/>
      <c r="SPM233" s="256"/>
      <c r="SPN233" s="257"/>
      <c r="SPP233" s="242"/>
      <c r="SPQ233" s="256"/>
      <c r="SPR233" s="257"/>
      <c r="SPT233" s="242"/>
      <c r="SPU233" s="256"/>
      <c r="SPV233" s="257"/>
      <c r="SPX233" s="242"/>
      <c r="SPY233" s="256"/>
      <c r="SPZ233" s="257"/>
      <c r="SQB233" s="242"/>
      <c r="SQC233" s="256"/>
      <c r="SQD233" s="257"/>
      <c r="SQF233" s="242"/>
      <c r="SQG233" s="256"/>
      <c r="SQH233" s="257"/>
      <c r="SQJ233" s="242"/>
      <c r="SQK233" s="256"/>
      <c r="SQL233" s="257"/>
      <c r="SQN233" s="242"/>
      <c r="SQO233" s="256"/>
      <c r="SQP233" s="257"/>
      <c r="SQR233" s="242"/>
      <c r="SQS233" s="256"/>
      <c r="SQT233" s="257"/>
      <c r="SQV233" s="242"/>
      <c r="SQW233" s="256"/>
      <c r="SQX233" s="257"/>
      <c r="SQZ233" s="242"/>
      <c r="SRA233" s="256"/>
      <c r="SRB233" s="257"/>
      <c r="SRD233" s="242"/>
      <c r="SRE233" s="256"/>
      <c r="SRF233" s="257"/>
      <c r="SRH233" s="242"/>
      <c r="SRI233" s="256"/>
      <c r="SRJ233" s="257"/>
      <c r="SRL233" s="242"/>
      <c r="SRM233" s="256"/>
      <c r="SRN233" s="257"/>
      <c r="SRP233" s="242"/>
      <c r="SRQ233" s="256"/>
      <c r="SRR233" s="257"/>
      <c r="SRT233" s="242"/>
      <c r="SRU233" s="256"/>
      <c r="SRV233" s="257"/>
      <c r="SRX233" s="242"/>
      <c r="SRY233" s="256"/>
      <c r="SRZ233" s="257"/>
      <c r="SSB233" s="242"/>
      <c r="SSC233" s="256"/>
      <c r="SSD233" s="257"/>
      <c r="SSF233" s="242"/>
      <c r="SSG233" s="256"/>
      <c r="SSH233" s="257"/>
      <c r="SSJ233" s="242"/>
      <c r="SSK233" s="256"/>
      <c r="SSL233" s="257"/>
      <c r="SSN233" s="242"/>
      <c r="SSO233" s="256"/>
      <c r="SSP233" s="257"/>
      <c r="SSR233" s="242"/>
      <c r="SSS233" s="256"/>
      <c r="SST233" s="257"/>
      <c r="SSV233" s="242"/>
      <c r="SSW233" s="256"/>
      <c r="SSX233" s="257"/>
      <c r="SSZ233" s="242"/>
      <c r="STA233" s="256"/>
      <c r="STB233" s="257"/>
      <c r="STD233" s="242"/>
      <c r="STE233" s="256"/>
      <c r="STF233" s="257"/>
      <c r="STH233" s="242"/>
      <c r="STI233" s="256"/>
      <c r="STJ233" s="257"/>
      <c r="STL233" s="242"/>
      <c r="STM233" s="256"/>
      <c r="STN233" s="257"/>
      <c r="STP233" s="242"/>
      <c r="STQ233" s="256"/>
      <c r="STR233" s="257"/>
      <c r="STT233" s="242"/>
      <c r="STU233" s="256"/>
      <c r="STV233" s="257"/>
      <c r="STX233" s="242"/>
      <c r="STY233" s="256"/>
      <c r="STZ233" s="257"/>
      <c r="SUB233" s="242"/>
      <c r="SUC233" s="256"/>
      <c r="SUD233" s="257"/>
      <c r="SUF233" s="242"/>
      <c r="SUG233" s="256"/>
      <c r="SUH233" s="257"/>
      <c r="SUJ233" s="242"/>
      <c r="SUK233" s="256"/>
      <c r="SUL233" s="257"/>
      <c r="SUN233" s="242"/>
      <c r="SUO233" s="256"/>
      <c r="SUP233" s="257"/>
      <c r="SUR233" s="242"/>
      <c r="SUS233" s="256"/>
      <c r="SUT233" s="257"/>
      <c r="SUV233" s="242"/>
      <c r="SUW233" s="256"/>
      <c r="SUX233" s="257"/>
      <c r="SUZ233" s="242"/>
      <c r="SVA233" s="256"/>
      <c r="SVB233" s="257"/>
      <c r="SVD233" s="242"/>
      <c r="SVE233" s="256"/>
      <c r="SVF233" s="257"/>
      <c r="SVH233" s="242"/>
      <c r="SVI233" s="256"/>
      <c r="SVJ233" s="257"/>
      <c r="SVL233" s="242"/>
      <c r="SVM233" s="256"/>
      <c r="SVN233" s="257"/>
      <c r="SVP233" s="242"/>
      <c r="SVQ233" s="256"/>
      <c r="SVR233" s="257"/>
      <c r="SVT233" s="242"/>
      <c r="SVU233" s="256"/>
      <c r="SVV233" s="257"/>
      <c r="SVX233" s="242"/>
      <c r="SVY233" s="256"/>
      <c r="SVZ233" s="257"/>
      <c r="SWB233" s="242"/>
      <c r="SWC233" s="256"/>
      <c r="SWD233" s="257"/>
      <c r="SWF233" s="242"/>
      <c r="SWG233" s="256"/>
      <c r="SWH233" s="257"/>
      <c r="SWJ233" s="242"/>
      <c r="SWK233" s="256"/>
      <c r="SWL233" s="257"/>
      <c r="SWN233" s="242"/>
      <c r="SWO233" s="256"/>
      <c r="SWP233" s="257"/>
      <c r="SWR233" s="242"/>
      <c r="SWS233" s="256"/>
      <c r="SWT233" s="257"/>
      <c r="SWV233" s="242"/>
      <c r="SWW233" s="256"/>
      <c r="SWX233" s="257"/>
      <c r="SWZ233" s="242"/>
      <c r="SXA233" s="256"/>
      <c r="SXB233" s="257"/>
      <c r="SXD233" s="242"/>
      <c r="SXE233" s="256"/>
      <c r="SXF233" s="257"/>
      <c r="SXH233" s="242"/>
      <c r="SXI233" s="256"/>
      <c r="SXJ233" s="257"/>
      <c r="SXL233" s="242"/>
      <c r="SXM233" s="256"/>
      <c r="SXN233" s="257"/>
      <c r="SXP233" s="242"/>
      <c r="SXQ233" s="256"/>
      <c r="SXR233" s="257"/>
      <c r="SXT233" s="242"/>
      <c r="SXU233" s="256"/>
      <c r="SXV233" s="257"/>
      <c r="SXX233" s="242"/>
      <c r="SXY233" s="256"/>
      <c r="SXZ233" s="257"/>
      <c r="SYB233" s="242"/>
      <c r="SYC233" s="256"/>
      <c r="SYD233" s="257"/>
      <c r="SYF233" s="242"/>
      <c r="SYG233" s="256"/>
      <c r="SYH233" s="257"/>
      <c r="SYJ233" s="242"/>
      <c r="SYK233" s="256"/>
      <c r="SYL233" s="257"/>
      <c r="SYN233" s="242"/>
      <c r="SYO233" s="256"/>
      <c r="SYP233" s="257"/>
      <c r="SYR233" s="242"/>
      <c r="SYS233" s="256"/>
      <c r="SYT233" s="257"/>
      <c r="SYV233" s="242"/>
      <c r="SYW233" s="256"/>
      <c r="SYX233" s="257"/>
      <c r="SYZ233" s="242"/>
      <c r="SZA233" s="256"/>
      <c r="SZB233" s="257"/>
      <c r="SZD233" s="242"/>
      <c r="SZE233" s="256"/>
      <c r="SZF233" s="257"/>
      <c r="SZH233" s="242"/>
      <c r="SZI233" s="256"/>
      <c r="SZJ233" s="257"/>
      <c r="SZL233" s="242"/>
      <c r="SZM233" s="256"/>
      <c r="SZN233" s="257"/>
      <c r="SZP233" s="242"/>
      <c r="SZQ233" s="256"/>
      <c r="SZR233" s="257"/>
      <c r="SZT233" s="242"/>
      <c r="SZU233" s="256"/>
      <c r="SZV233" s="257"/>
      <c r="SZX233" s="242"/>
      <c r="SZY233" s="256"/>
      <c r="SZZ233" s="257"/>
      <c r="TAB233" s="242"/>
      <c r="TAC233" s="256"/>
      <c r="TAD233" s="257"/>
      <c r="TAF233" s="242"/>
      <c r="TAG233" s="256"/>
      <c r="TAH233" s="257"/>
      <c r="TAJ233" s="242"/>
      <c r="TAK233" s="256"/>
      <c r="TAL233" s="257"/>
      <c r="TAN233" s="242"/>
      <c r="TAO233" s="256"/>
      <c r="TAP233" s="257"/>
      <c r="TAR233" s="242"/>
      <c r="TAS233" s="256"/>
      <c r="TAT233" s="257"/>
      <c r="TAV233" s="242"/>
      <c r="TAW233" s="256"/>
      <c r="TAX233" s="257"/>
      <c r="TAZ233" s="242"/>
      <c r="TBA233" s="256"/>
      <c r="TBB233" s="257"/>
      <c r="TBD233" s="242"/>
      <c r="TBE233" s="256"/>
      <c r="TBF233" s="257"/>
      <c r="TBH233" s="242"/>
      <c r="TBI233" s="256"/>
      <c r="TBJ233" s="257"/>
      <c r="TBL233" s="242"/>
      <c r="TBM233" s="256"/>
      <c r="TBN233" s="257"/>
      <c r="TBP233" s="242"/>
      <c r="TBQ233" s="256"/>
      <c r="TBR233" s="257"/>
      <c r="TBT233" s="242"/>
      <c r="TBU233" s="256"/>
      <c r="TBV233" s="257"/>
      <c r="TBX233" s="242"/>
      <c r="TBY233" s="256"/>
      <c r="TBZ233" s="257"/>
      <c r="TCB233" s="242"/>
      <c r="TCC233" s="256"/>
      <c r="TCD233" s="257"/>
      <c r="TCF233" s="242"/>
      <c r="TCG233" s="256"/>
      <c r="TCH233" s="257"/>
      <c r="TCJ233" s="242"/>
      <c r="TCK233" s="256"/>
      <c r="TCL233" s="257"/>
      <c r="TCN233" s="242"/>
      <c r="TCO233" s="256"/>
      <c r="TCP233" s="257"/>
      <c r="TCR233" s="242"/>
      <c r="TCS233" s="256"/>
      <c r="TCT233" s="257"/>
      <c r="TCV233" s="242"/>
      <c r="TCW233" s="256"/>
      <c r="TCX233" s="257"/>
      <c r="TCZ233" s="242"/>
      <c r="TDA233" s="256"/>
      <c r="TDB233" s="257"/>
      <c r="TDD233" s="242"/>
      <c r="TDE233" s="256"/>
      <c r="TDF233" s="257"/>
      <c r="TDH233" s="242"/>
      <c r="TDI233" s="256"/>
      <c r="TDJ233" s="257"/>
      <c r="TDL233" s="242"/>
      <c r="TDM233" s="256"/>
      <c r="TDN233" s="257"/>
      <c r="TDP233" s="242"/>
      <c r="TDQ233" s="256"/>
      <c r="TDR233" s="257"/>
      <c r="TDT233" s="242"/>
      <c r="TDU233" s="256"/>
      <c r="TDV233" s="257"/>
      <c r="TDX233" s="242"/>
      <c r="TDY233" s="256"/>
      <c r="TDZ233" s="257"/>
      <c r="TEB233" s="242"/>
      <c r="TEC233" s="256"/>
      <c r="TED233" s="257"/>
      <c r="TEF233" s="242"/>
      <c r="TEG233" s="256"/>
      <c r="TEH233" s="257"/>
      <c r="TEJ233" s="242"/>
      <c r="TEK233" s="256"/>
      <c r="TEL233" s="257"/>
      <c r="TEN233" s="242"/>
      <c r="TEO233" s="256"/>
      <c r="TEP233" s="257"/>
      <c r="TER233" s="242"/>
      <c r="TES233" s="256"/>
      <c r="TET233" s="257"/>
      <c r="TEV233" s="242"/>
      <c r="TEW233" s="256"/>
      <c r="TEX233" s="257"/>
      <c r="TEZ233" s="242"/>
      <c r="TFA233" s="256"/>
      <c r="TFB233" s="257"/>
      <c r="TFD233" s="242"/>
      <c r="TFE233" s="256"/>
      <c r="TFF233" s="257"/>
      <c r="TFH233" s="242"/>
      <c r="TFI233" s="256"/>
      <c r="TFJ233" s="257"/>
      <c r="TFL233" s="242"/>
      <c r="TFM233" s="256"/>
      <c r="TFN233" s="257"/>
      <c r="TFP233" s="242"/>
      <c r="TFQ233" s="256"/>
      <c r="TFR233" s="257"/>
      <c r="TFT233" s="242"/>
      <c r="TFU233" s="256"/>
      <c r="TFV233" s="257"/>
      <c r="TFX233" s="242"/>
      <c r="TFY233" s="256"/>
      <c r="TFZ233" s="257"/>
      <c r="TGB233" s="242"/>
      <c r="TGC233" s="256"/>
      <c r="TGD233" s="257"/>
      <c r="TGF233" s="242"/>
      <c r="TGG233" s="256"/>
      <c r="TGH233" s="257"/>
      <c r="TGJ233" s="242"/>
      <c r="TGK233" s="256"/>
      <c r="TGL233" s="257"/>
      <c r="TGN233" s="242"/>
      <c r="TGO233" s="256"/>
      <c r="TGP233" s="257"/>
      <c r="TGR233" s="242"/>
      <c r="TGS233" s="256"/>
      <c r="TGT233" s="257"/>
      <c r="TGV233" s="242"/>
      <c r="TGW233" s="256"/>
      <c r="TGX233" s="257"/>
      <c r="TGZ233" s="242"/>
      <c r="THA233" s="256"/>
      <c r="THB233" s="257"/>
      <c r="THD233" s="242"/>
      <c r="THE233" s="256"/>
      <c r="THF233" s="257"/>
      <c r="THH233" s="242"/>
      <c r="THI233" s="256"/>
      <c r="THJ233" s="257"/>
      <c r="THL233" s="242"/>
      <c r="THM233" s="256"/>
      <c r="THN233" s="257"/>
      <c r="THP233" s="242"/>
      <c r="THQ233" s="256"/>
      <c r="THR233" s="257"/>
      <c r="THT233" s="242"/>
      <c r="THU233" s="256"/>
      <c r="THV233" s="257"/>
      <c r="THX233" s="242"/>
      <c r="THY233" s="256"/>
      <c r="THZ233" s="257"/>
      <c r="TIB233" s="242"/>
      <c r="TIC233" s="256"/>
      <c r="TID233" s="257"/>
      <c r="TIF233" s="242"/>
      <c r="TIG233" s="256"/>
      <c r="TIH233" s="257"/>
      <c r="TIJ233" s="242"/>
      <c r="TIK233" s="256"/>
      <c r="TIL233" s="257"/>
      <c r="TIN233" s="242"/>
      <c r="TIO233" s="256"/>
      <c r="TIP233" s="257"/>
      <c r="TIR233" s="242"/>
      <c r="TIS233" s="256"/>
      <c r="TIT233" s="257"/>
      <c r="TIV233" s="242"/>
      <c r="TIW233" s="256"/>
      <c r="TIX233" s="257"/>
      <c r="TIZ233" s="242"/>
      <c r="TJA233" s="256"/>
      <c r="TJB233" s="257"/>
      <c r="TJD233" s="242"/>
      <c r="TJE233" s="256"/>
      <c r="TJF233" s="257"/>
      <c r="TJH233" s="242"/>
      <c r="TJI233" s="256"/>
      <c r="TJJ233" s="257"/>
      <c r="TJL233" s="242"/>
      <c r="TJM233" s="256"/>
      <c r="TJN233" s="257"/>
      <c r="TJP233" s="242"/>
      <c r="TJQ233" s="256"/>
      <c r="TJR233" s="257"/>
      <c r="TJT233" s="242"/>
      <c r="TJU233" s="256"/>
      <c r="TJV233" s="257"/>
      <c r="TJX233" s="242"/>
      <c r="TJY233" s="256"/>
      <c r="TJZ233" s="257"/>
      <c r="TKB233" s="242"/>
      <c r="TKC233" s="256"/>
      <c r="TKD233" s="257"/>
      <c r="TKF233" s="242"/>
      <c r="TKG233" s="256"/>
      <c r="TKH233" s="257"/>
      <c r="TKJ233" s="242"/>
      <c r="TKK233" s="256"/>
      <c r="TKL233" s="257"/>
      <c r="TKN233" s="242"/>
      <c r="TKO233" s="256"/>
      <c r="TKP233" s="257"/>
      <c r="TKR233" s="242"/>
      <c r="TKS233" s="256"/>
      <c r="TKT233" s="257"/>
      <c r="TKV233" s="242"/>
      <c r="TKW233" s="256"/>
      <c r="TKX233" s="257"/>
      <c r="TKZ233" s="242"/>
      <c r="TLA233" s="256"/>
      <c r="TLB233" s="257"/>
      <c r="TLD233" s="242"/>
      <c r="TLE233" s="256"/>
      <c r="TLF233" s="257"/>
      <c r="TLH233" s="242"/>
      <c r="TLI233" s="256"/>
      <c r="TLJ233" s="257"/>
      <c r="TLL233" s="242"/>
      <c r="TLM233" s="256"/>
      <c r="TLN233" s="257"/>
      <c r="TLP233" s="242"/>
      <c r="TLQ233" s="256"/>
      <c r="TLR233" s="257"/>
      <c r="TLT233" s="242"/>
      <c r="TLU233" s="256"/>
      <c r="TLV233" s="257"/>
      <c r="TLX233" s="242"/>
      <c r="TLY233" s="256"/>
      <c r="TLZ233" s="257"/>
      <c r="TMB233" s="242"/>
      <c r="TMC233" s="256"/>
      <c r="TMD233" s="257"/>
      <c r="TMF233" s="242"/>
      <c r="TMG233" s="256"/>
      <c r="TMH233" s="257"/>
      <c r="TMJ233" s="242"/>
      <c r="TMK233" s="256"/>
      <c r="TML233" s="257"/>
      <c r="TMN233" s="242"/>
      <c r="TMO233" s="256"/>
      <c r="TMP233" s="257"/>
      <c r="TMR233" s="242"/>
      <c r="TMS233" s="256"/>
      <c r="TMT233" s="257"/>
      <c r="TMV233" s="242"/>
      <c r="TMW233" s="256"/>
      <c r="TMX233" s="257"/>
      <c r="TMZ233" s="242"/>
      <c r="TNA233" s="256"/>
      <c r="TNB233" s="257"/>
      <c r="TND233" s="242"/>
      <c r="TNE233" s="256"/>
      <c r="TNF233" s="257"/>
      <c r="TNH233" s="242"/>
      <c r="TNI233" s="256"/>
      <c r="TNJ233" s="257"/>
      <c r="TNL233" s="242"/>
      <c r="TNM233" s="256"/>
      <c r="TNN233" s="257"/>
      <c r="TNP233" s="242"/>
      <c r="TNQ233" s="256"/>
      <c r="TNR233" s="257"/>
      <c r="TNT233" s="242"/>
      <c r="TNU233" s="256"/>
      <c r="TNV233" s="257"/>
      <c r="TNX233" s="242"/>
      <c r="TNY233" s="256"/>
      <c r="TNZ233" s="257"/>
      <c r="TOB233" s="242"/>
      <c r="TOC233" s="256"/>
      <c r="TOD233" s="257"/>
      <c r="TOF233" s="242"/>
      <c r="TOG233" s="256"/>
      <c r="TOH233" s="257"/>
      <c r="TOJ233" s="242"/>
      <c r="TOK233" s="256"/>
      <c r="TOL233" s="257"/>
      <c r="TON233" s="242"/>
      <c r="TOO233" s="256"/>
      <c r="TOP233" s="257"/>
      <c r="TOR233" s="242"/>
      <c r="TOS233" s="256"/>
      <c r="TOT233" s="257"/>
      <c r="TOV233" s="242"/>
      <c r="TOW233" s="256"/>
      <c r="TOX233" s="257"/>
      <c r="TOZ233" s="242"/>
      <c r="TPA233" s="256"/>
      <c r="TPB233" s="257"/>
      <c r="TPD233" s="242"/>
      <c r="TPE233" s="256"/>
      <c r="TPF233" s="257"/>
      <c r="TPH233" s="242"/>
      <c r="TPI233" s="256"/>
      <c r="TPJ233" s="257"/>
      <c r="TPL233" s="242"/>
      <c r="TPM233" s="256"/>
      <c r="TPN233" s="257"/>
      <c r="TPP233" s="242"/>
      <c r="TPQ233" s="256"/>
      <c r="TPR233" s="257"/>
      <c r="TPT233" s="242"/>
      <c r="TPU233" s="256"/>
      <c r="TPV233" s="257"/>
      <c r="TPX233" s="242"/>
      <c r="TPY233" s="256"/>
      <c r="TPZ233" s="257"/>
      <c r="TQB233" s="242"/>
      <c r="TQC233" s="256"/>
      <c r="TQD233" s="257"/>
      <c r="TQF233" s="242"/>
      <c r="TQG233" s="256"/>
      <c r="TQH233" s="257"/>
      <c r="TQJ233" s="242"/>
      <c r="TQK233" s="256"/>
      <c r="TQL233" s="257"/>
      <c r="TQN233" s="242"/>
      <c r="TQO233" s="256"/>
      <c r="TQP233" s="257"/>
      <c r="TQR233" s="242"/>
      <c r="TQS233" s="256"/>
      <c r="TQT233" s="257"/>
      <c r="TQV233" s="242"/>
      <c r="TQW233" s="256"/>
      <c r="TQX233" s="257"/>
      <c r="TQZ233" s="242"/>
      <c r="TRA233" s="256"/>
      <c r="TRB233" s="257"/>
      <c r="TRD233" s="242"/>
      <c r="TRE233" s="256"/>
      <c r="TRF233" s="257"/>
      <c r="TRH233" s="242"/>
      <c r="TRI233" s="256"/>
      <c r="TRJ233" s="257"/>
      <c r="TRL233" s="242"/>
      <c r="TRM233" s="256"/>
      <c r="TRN233" s="257"/>
      <c r="TRP233" s="242"/>
      <c r="TRQ233" s="256"/>
      <c r="TRR233" s="257"/>
      <c r="TRT233" s="242"/>
      <c r="TRU233" s="256"/>
      <c r="TRV233" s="257"/>
      <c r="TRX233" s="242"/>
      <c r="TRY233" s="256"/>
      <c r="TRZ233" s="257"/>
      <c r="TSB233" s="242"/>
      <c r="TSC233" s="256"/>
      <c r="TSD233" s="257"/>
      <c r="TSF233" s="242"/>
      <c r="TSG233" s="256"/>
      <c r="TSH233" s="257"/>
      <c r="TSJ233" s="242"/>
      <c r="TSK233" s="256"/>
      <c r="TSL233" s="257"/>
      <c r="TSN233" s="242"/>
      <c r="TSO233" s="256"/>
      <c r="TSP233" s="257"/>
      <c r="TSR233" s="242"/>
      <c r="TSS233" s="256"/>
      <c r="TST233" s="257"/>
      <c r="TSV233" s="242"/>
      <c r="TSW233" s="256"/>
      <c r="TSX233" s="257"/>
      <c r="TSZ233" s="242"/>
      <c r="TTA233" s="256"/>
      <c r="TTB233" s="257"/>
      <c r="TTD233" s="242"/>
      <c r="TTE233" s="256"/>
      <c r="TTF233" s="257"/>
      <c r="TTH233" s="242"/>
      <c r="TTI233" s="256"/>
      <c r="TTJ233" s="257"/>
      <c r="TTL233" s="242"/>
      <c r="TTM233" s="256"/>
      <c r="TTN233" s="257"/>
      <c r="TTP233" s="242"/>
      <c r="TTQ233" s="256"/>
      <c r="TTR233" s="257"/>
      <c r="TTT233" s="242"/>
      <c r="TTU233" s="256"/>
      <c r="TTV233" s="257"/>
      <c r="TTX233" s="242"/>
      <c r="TTY233" s="256"/>
      <c r="TTZ233" s="257"/>
      <c r="TUB233" s="242"/>
      <c r="TUC233" s="256"/>
      <c r="TUD233" s="257"/>
      <c r="TUF233" s="242"/>
      <c r="TUG233" s="256"/>
      <c r="TUH233" s="257"/>
      <c r="TUJ233" s="242"/>
      <c r="TUK233" s="256"/>
      <c r="TUL233" s="257"/>
      <c r="TUN233" s="242"/>
      <c r="TUO233" s="256"/>
      <c r="TUP233" s="257"/>
      <c r="TUR233" s="242"/>
      <c r="TUS233" s="256"/>
      <c r="TUT233" s="257"/>
      <c r="TUV233" s="242"/>
      <c r="TUW233" s="256"/>
      <c r="TUX233" s="257"/>
      <c r="TUZ233" s="242"/>
      <c r="TVA233" s="256"/>
      <c r="TVB233" s="257"/>
      <c r="TVD233" s="242"/>
      <c r="TVE233" s="256"/>
      <c r="TVF233" s="257"/>
      <c r="TVH233" s="242"/>
      <c r="TVI233" s="256"/>
      <c r="TVJ233" s="257"/>
      <c r="TVL233" s="242"/>
      <c r="TVM233" s="256"/>
      <c r="TVN233" s="257"/>
      <c r="TVP233" s="242"/>
      <c r="TVQ233" s="256"/>
      <c r="TVR233" s="257"/>
      <c r="TVT233" s="242"/>
      <c r="TVU233" s="256"/>
      <c r="TVV233" s="257"/>
      <c r="TVX233" s="242"/>
      <c r="TVY233" s="256"/>
      <c r="TVZ233" s="257"/>
      <c r="TWB233" s="242"/>
      <c r="TWC233" s="256"/>
      <c r="TWD233" s="257"/>
      <c r="TWF233" s="242"/>
      <c r="TWG233" s="256"/>
      <c r="TWH233" s="257"/>
      <c r="TWJ233" s="242"/>
      <c r="TWK233" s="256"/>
      <c r="TWL233" s="257"/>
      <c r="TWN233" s="242"/>
      <c r="TWO233" s="256"/>
      <c r="TWP233" s="257"/>
      <c r="TWR233" s="242"/>
      <c r="TWS233" s="256"/>
      <c r="TWT233" s="257"/>
      <c r="TWV233" s="242"/>
      <c r="TWW233" s="256"/>
      <c r="TWX233" s="257"/>
      <c r="TWZ233" s="242"/>
      <c r="TXA233" s="256"/>
      <c r="TXB233" s="257"/>
      <c r="TXD233" s="242"/>
      <c r="TXE233" s="256"/>
      <c r="TXF233" s="257"/>
      <c r="TXH233" s="242"/>
      <c r="TXI233" s="256"/>
      <c r="TXJ233" s="257"/>
      <c r="TXL233" s="242"/>
      <c r="TXM233" s="256"/>
      <c r="TXN233" s="257"/>
      <c r="TXP233" s="242"/>
      <c r="TXQ233" s="256"/>
      <c r="TXR233" s="257"/>
      <c r="TXT233" s="242"/>
      <c r="TXU233" s="256"/>
      <c r="TXV233" s="257"/>
      <c r="TXX233" s="242"/>
      <c r="TXY233" s="256"/>
      <c r="TXZ233" s="257"/>
      <c r="TYB233" s="242"/>
      <c r="TYC233" s="256"/>
      <c r="TYD233" s="257"/>
      <c r="TYF233" s="242"/>
      <c r="TYG233" s="256"/>
      <c r="TYH233" s="257"/>
      <c r="TYJ233" s="242"/>
      <c r="TYK233" s="256"/>
      <c r="TYL233" s="257"/>
      <c r="TYN233" s="242"/>
      <c r="TYO233" s="256"/>
      <c r="TYP233" s="257"/>
      <c r="TYR233" s="242"/>
      <c r="TYS233" s="256"/>
      <c r="TYT233" s="257"/>
      <c r="TYV233" s="242"/>
      <c r="TYW233" s="256"/>
      <c r="TYX233" s="257"/>
      <c r="TYZ233" s="242"/>
      <c r="TZA233" s="256"/>
      <c r="TZB233" s="257"/>
      <c r="TZD233" s="242"/>
      <c r="TZE233" s="256"/>
      <c r="TZF233" s="257"/>
      <c r="TZH233" s="242"/>
      <c r="TZI233" s="256"/>
      <c r="TZJ233" s="257"/>
      <c r="TZL233" s="242"/>
      <c r="TZM233" s="256"/>
      <c r="TZN233" s="257"/>
      <c r="TZP233" s="242"/>
      <c r="TZQ233" s="256"/>
      <c r="TZR233" s="257"/>
      <c r="TZT233" s="242"/>
      <c r="TZU233" s="256"/>
      <c r="TZV233" s="257"/>
      <c r="TZX233" s="242"/>
      <c r="TZY233" s="256"/>
      <c r="TZZ233" s="257"/>
      <c r="UAB233" s="242"/>
      <c r="UAC233" s="256"/>
      <c r="UAD233" s="257"/>
      <c r="UAF233" s="242"/>
      <c r="UAG233" s="256"/>
      <c r="UAH233" s="257"/>
      <c r="UAJ233" s="242"/>
      <c r="UAK233" s="256"/>
      <c r="UAL233" s="257"/>
      <c r="UAN233" s="242"/>
      <c r="UAO233" s="256"/>
      <c r="UAP233" s="257"/>
      <c r="UAR233" s="242"/>
      <c r="UAS233" s="256"/>
      <c r="UAT233" s="257"/>
      <c r="UAV233" s="242"/>
      <c r="UAW233" s="256"/>
      <c r="UAX233" s="257"/>
      <c r="UAZ233" s="242"/>
      <c r="UBA233" s="256"/>
      <c r="UBB233" s="257"/>
      <c r="UBD233" s="242"/>
      <c r="UBE233" s="256"/>
      <c r="UBF233" s="257"/>
      <c r="UBH233" s="242"/>
      <c r="UBI233" s="256"/>
      <c r="UBJ233" s="257"/>
      <c r="UBL233" s="242"/>
      <c r="UBM233" s="256"/>
      <c r="UBN233" s="257"/>
      <c r="UBP233" s="242"/>
      <c r="UBQ233" s="256"/>
      <c r="UBR233" s="257"/>
      <c r="UBT233" s="242"/>
      <c r="UBU233" s="256"/>
      <c r="UBV233" s="257"/>
      <c r="UBX233" s="242"/>
      <c r="UBY233" s="256"/>
      <c r="UBZ233" s="257"/>
      <c r="UCB233" s="242"/>
      <c r="UCC233" s="256"/>
      <c r="UCD233" s="257"/>
      <c r="UCF233" s="242"/>
      <c r="UCG233" s="256"/>
      <c r="UCH233" s="257"/>
      <c r="UCJ233" s="242"/>
      <c r="UCK233" s="256"/>
      <c r="UCL233" s="257"/>
      <c r="UCN233" s="242"/>
      <c r="UCO233" s="256"/>
      <c r="UCP233" s="257"/>
      <c r="UCR233" s="242"/>
      <c r="UCS233" s="256"/>
      <c r="UCT233" s="257"/>
      <c r="UCV233" s="242"/>
      <c r="UCW233" s="256"/>
      <c r="UCX233" s="257"/>
      <c r="UCZ233" s="242"/>
      <c r="UDA233" s="256"/>
      <c r="UDB233" s="257"/>
      <c r="UDD233" s="242"/>
      <c r="UDE233" s="256"/>
      <c r="UDF233" s="257"/>
      <c r="UDH233" s="242"/>
      <c r="UDI233" s="256"/>
      <c r="UDJ233" s="257"/>
      <c r="UDL233" s="242"/>
      <c r="UDM233" s="256"/>
      <c r="UDN233" s="257"/>
      <c r="UDP233" s="242"/>
      <c r="UDQ233" s="256"/>
      <c r="UDR233" s="257"/>
      <c r="UDT233" s="242"/>
      <c r="UDU233" s="256"/>
      <c r="UDV233" s="257"/>
      <c r="UDX233" s="242"/>
      <c r="UDY233" s="256"/>
      <c r="UDZ233" s="257"/>
      <c r="UEB233" s="242"/>
      <c r="UEC233" s="256"/>
      <c r="UED233" s="257"/>
      <c r="UEF233" s="242"/>
      <c r="UEG233" s="256"/>
      <c r="UEH233" s="257"/>
      <c r="UEJ233" s="242"/>
      <c r="UEK233" s="256"/>
      <c r="UEL233" s="257"/>
      <c r="UEN233" s="242"/>
      <c r="UEO233" s="256"/>
      <c r="UEP233" s="257"/>
      <c r="UER233" s="242"/>
      <c r="UES233" s="256"/>
      <c r="UET233" s="257"/>
      <c r="UEV233" s="242"/>
      <c r="UEW233" s="256"/>
      <c r="UEX233" s="257"/>
      <c r="UEZ233" s="242"/>
      <c r="UFA233" s="256"/>
      <c r="UFB233" s="257"/>
      <c r="UFD233" s="242"/>
      <c r="UFE233" s="256"/>
      <c r="UFF233" s="257"/>
      <c r="UFH233" s="242"/>
      <c r="UFI233" s="256"/>
      <c r="UFJ233" s="257"/>
      <c r="UFL233" s="242"/>
      <c r="UFM233" s="256"/>
      <c r="UFN233" s="257"/>
      <c r="UFP233" s="242"/>
      <c r="UFQ233" s="256"/>
      <c r="UFR233" s="257"/>
      <c r="UFT233" s="242"/>
      <c r="UFU233" s="256"/>
      <c r="UFV233" s="257"/>
      <c r="UFX233" s="242"/>
      <c r="UFY233" s="256"/>
      <c r="UFZ233" s="257"/>
      <c r="UGB233" s="242"/>
      <c r="UGC233" s="256"/>
      <c r="UGD233" s="257"/>
      <c r="UGF233" s="242"/>
      <c r="UGG233" s="256"/>
      <c r="UGH233" s="257"/>
      <c r="UGJ233" s="242"/>
      <c r="UGK233" s="256"/>
      <c r="UGL233" s="257"/>
      <c r="UGN233" s="242"/>
      <c r="UGO233" s="256"/>
      <c r="UGP233" s="257"/>
      <c r="UGR233" s="242"/>
      <c r="UGS233" s="256"/>
      <c r="UGT233" s="257"/>
      <c r="UGV233" s="242"/>
      <c r="UGW233" s="256"/>
      <c r="UGX233" s="257"/>
      <c r="UGZ233" s="242"/>
      <c r="UHA233" s="256"/>
      <c r="UHB233" s="257"/>
      <c r="UHD233" s="242"/>
      <c r="UHE233" s="256"/>
      <c r="UHF233" s="257"/>
      <c r="UHH233" s="242"/>
      <c r="UHI233" s="256"/>
      <c r="UHJ233" s="257"/>
      <c r="UHL233" s="242"/>
      <c r="UHM233" s="256"/>
      <c r="UHN233" s="257"/>
      <c r="UHP233" s="242"/>
      <c r="UHQ233" s="256"/>
      <c r="UHR233" s="257"/>
      <c r="UHT233" s="242"/>
      <c r="UHU233" s="256"/>
      <c r="UHV233" s="257"/>
      <c r="UHX233" s="242"/>
      <c r="UHY233" s="256"/>
      <c r="UHZ233" s="257"/>
      <c r="UIB233" s="242"/>
      <c r="UIC233" s="256"/>
      <c r="UID233" s="257"/>
      <c r="UIF233" s="242"/>
      <c r="UIG233" s="256"/>
      <c r="UIH233" s="257"/>
      <c r="UIJ233" s="242"/>
      <c r="UIK233" s="256"/>
      <c r="UIL233" s="257"/>
      <c r="UIN233" s="242"/>
      <c r="UIO233" s="256"/>
      <c r="UIP233" s="257"/>
      <c r="UIR233" s="242"/>
      <c r="UIS233" s="256"/>
      <c r="UIT233" s="257"/>
      <c r="UIV233" s="242"/>
      <c r="UIW233" s="256"/>
      <c r="UIX233" s="257"/>
      <c r="UIZ233" s="242"/>
      <c r="UJA233" s="256"/>
      <c r="UJB233" s="257"/>
      <c r="UJD233" s="242"/>
      <c r="UJE233" s="256"/>
      <c r="UJF233" s="257"/>
      <c r="UJH233" s="242"/>
      <c r="UJI233" s="256"/>
      <c r="UJJ233" s="257"/>
      <c r="UJL233" s="242"/>
      <c r="UJM233" s="256"/>
      <c r="UJN233" s="257"/>
      <c r="UJP233" s="242"/>
      <c r="UJQ233" s="256"/>
      <c r="UJR233" s="257"/>
      <c r="UJT233" s="242"/>
      <c r="UJU233" s="256"/>
      <c r="UJV233" s="257"/>
      <c r="UJX233" s="242"/>
      <c r="UJY233" s="256"/>
      <c r="UJZ233" s="257"/>
      <c r="UKB233" s="242"/>
      <c r="UKC233" s="256"/>
      <c r="UKD233" s="257"/>
      <c r="UKF233" s="242"/>
      <c r="UKG233" s="256"/>
      <c r="UKH233" s="257"/>
      <c r="UKJ233" s="242"/>
      <c r="UKK233" s="256"/>
      <c r="UKL233" s="257"/>
      <c r="UKN233" s="242"/>
      <c r="UKO233" s="256"/>
      <c r="UKP233" s="257"/>
      <c r="UKR233" s="242"/>
      <c r="UKS233" s="256"/>
      <c r="UKT233" s="257"/>
      <c r="UKV233" s="242"/>
      <c r="UKW233" s="256"/>
      <c r="UKX233" s="257"/>
      <c r="UKZ233" s="242"/>
      <c r="ULA233" s="256"/>
      <c r="ULB233" s="257"/>
      <c r="ULD233" s="242"/>
      <c r="ULE233" s="256"/>
      <c r="ULF233" s="257"/>
      <c r="ULH233" s="242"/>
      <c r="ULI233" s="256"/>
      <c r="ULJ233" s="257"/>
      <c r="ULL233" s="242"/>
      <c r="ULM233" s="256"/>
      <c r="ULN233" s="257"/>
      <c r="ULP233" s="242"/>
      <c r="ULQ233" s="256"/>
      <c r="ULR233" s="257"/>
      <c r="ULT233" s="242"/>
      <c r="ULU233" s="256"/>
      <c r="ULV233" s="257"/>
      <c r="ULX233" s="242"/>
      <c r="ULY233" s="256"/>
      <c r="ULZ233" s="257"/>
      <c r="UMB233" s="242"/>
      <c r="UMC233" s="256"/>
      <c r="UMD233" s="257"/>
      <c r="UMF233" s="242"/>
      <c r="UMG233" s="256"/>
      <c r="UMH233" s="257"/>
      <c r="UMJ233" s="242"/>
      <c r="UMK233" s="256"/>
      <c r="UML233" s="257"/>
      <c r="UMN233" s="242"/>
      <c r="UMO233" s="256"/>
      <c r="UMP233" s="257"/>
      <c r="UMR233" s="242"/>
      <c r="UMS233" s="256"/>
      <c r="UMT233" s="257"/>
      <c r="UMV233" s="242"/>
      <c r="UMW233" s="256"/>
      <c r="UMX233" s="257"/>
      <c r="UMZ233" s="242"/>
      <c r="UNA233" s="256"/>
      <c r="UNB233" s="257"/>
      <c r="UND233" s="242"/>
      <c r="UNE233" s="256"/>
      <c r="UNF233" s="257"/>
      <c r="UNH233" s="242"/>
      <c r="UNI233" s="256"/>
      <c r="UNJ233" s="257"/>
      <c r="UNL233" s="242"/>
      <c r="UNM233" s="256"/>
      <c r="UNN233" s="257"/>
      <c r="UNP233" s="242"/>
      <c r="UNQ233" s="256"/>
      <c r="UNR233" s="257"/>
      <c r="UNT233" s="242"/>
      <c r="UNU233" s="256"/>
      <c r="UNV233" s="257"/>
      <c r="UNX233" s="242"/>
      <c r="UNY233" s="256"/>
      <c r="UNZ233" s="257"/>
      <c r="UOB233" s="242"/>
      <c r="UOC233" s="256"/>
      <c r="UOD233" s="257"/>
      <c r="UOF233" s="242"/>
      <c r="UOG233" s="256"/>
      <c r="UOH233" s="257"/>
      <c r="UOJ233" s="242"/>
      <c r="UOK233" s="256"/>
      <c r="UOL233" s="257"/>
      <c r="UON233" s="242"/>
      <c r="UOO233" s="256"/>
      <c r="UOP233" s="257"/>
      <c r="UOR233" s="242"/>
      <c r="UOS233" s="256"/>
      <c r="UOT233" s="257"/>
      <c r="UOV233" s="242"/>
      <c r="UOW233" s="256"/>
      <c r="UOX233" s="257"/>
      <c r="UOZ233" s="242"/>
      <c r="UPA233" s="256"/>
      <c r="UPB233" s="257"/>
      <c r="UPD233" s="242"/>
      <c r="UPE233" s="256"/>
      <c r="UPF233" s="257"/>
      <c r="UPH233" s="242"/>
      <c r="UPI233" s="256"/>
      <c r="UPJ233" s="257"/>
      <c r="UPL233" s="242"/>
      <c r="UPM233" s="256"/>
      <c r="UPN233" s="257"/>
      <c r="UPP233" s="242"/>
      <c r="UPQ233" s="256"/>
      <c r="UPR233" s="257"/>
      <c r="UPT233" s="242"/>
      <c r="UPU233" s="256"/>
      <c r="UPV233" s="257"/>
      <c r="UPX233" s="242"/>
      <c r="UPY233" s="256"/>
      <c r="UPZ233" s="257"/>
      <c r="UQB233" s="242"/>
      <c r="UQC233" s="256"/>
      <c r="UQD233" s="257"/>
      <c r="UQF233" s="242"/>
      <c r="UQG233" s="256"/>
      <c r="UQH233" s="257"/>
      <c r="UQJ233" s="242"/>
      <c r="UQK233" s="256"/>
      <c r="UQL233" s="257"/>
      <c r="UQN233" s="242"/>
      <c r="UQO233" s="256"/>
      <c r="UQP233" s="257"/>
      <c r="UQR233" s="242"/>
      <c r="UQS233" s="256"/>
      <c r="UQT233" s="257"/>
      <c r="UQV233" s="242"/>
      <c r="UQW233" s="256"/>
      <c r="UQX233" s="257"/>
      <c r="UQZ233" s="242"/>
      <c r="URA233" s="256"/>
      <c r="URB233" s="257"/>
      <c r="URD233" s="242"/>
      <c r="URE233" s="256"/>
      <c r="URF233" s="257"/>
      <c r="URH233" s="242"/>
      <c r="URI233" s="256"/>
      <c r="URJ233" s="257"/>
      <c r="URL233" s="242"/>
      <c r="URM233" s="256"/>
      <c r="URN233" s="257"/>
      <c r="URP233" s="242"/>
      <c r="URQ233" s="256"/>
      <c r="URR233" s="257"/>
      <c r="URT233" s="242"/>
      <c r="URU233" s="256"/>
      <c r="URV233" s="257"/>
      <c r="URX233" s="242"/>
      <c r="URY233" s="256"/>
      <c r="URZ233" s="257"/>
      <c r="USB233" s="242"/>
      <c r="USC233" s="256"/>
      <c r="USD233" s="257"/>
      <c r="USF233" s="242"/>
      <c r="USG233" s="256"/>
      <c r="USH233" s="257"/>
      <c r="USJ233" s="242"/>
      <c r="USK233" s="256"/>
      <c r="USL233" s="257"/>
      <c r="USN233" s="242"/>
      <c r="USO233" s="256"/>
      <c r="USP233" s="257"/>
      <c r="USR233" s="242"/>
      <c r="USS233" s="256"/>
      <c r="UST233" s="257"/>
      <c r="USV233" s="242"/>
      <c r="USW233" s="256"/>
      <c r="USX233" s="257"/>
      <c r="USZ233" s="242"/>
      <c r="UTA233" s="256"/>
      <c r="UTB233" s="257"/>
      <c r="UTD233" s="242"/>
      <c r="UTE233" s="256"/>
      <c r="UTF233" s="257"/>
      <c r="UTH233" s="242"/>
      <c r="UTI233" s="256"/>
      <c r="UTJ233" s="257"/>
      <c r="UTL233" s="242"/>
      <c r="UTM233" s="256"/>
      <c r="UTN233" s="257"/>
      <c r="UTP233" s="242"/>
      <c r="UTQ233" s="256"/>
      <c r="UTR233" s="257"/>
      <c r="UTT233" s="242"/>
      <c r="UTU233" s="256"/>
      <c r="UTV233" s="257"/>
      <c r="UTX233" s="242"/>
      <c r="UTY233" s="256"/>
      <c r="UTZ233" s="257"/>
      <c r="UUB233" s="242"/>
      <c r="UUC233" s="256"/>
      <c r="UUD233" s="257"/>
      <c r="UUF233" s="242"/>
      <c r="UUG233" s="256"/>
      <c r="UUH233" s="257"/>
      <c r="UUJ233" s="242"/>
      <c r="UUK233" s="256"/>
      <c r="UUL233" s="257"/>
      <c r="UUN233" s="242"/>
      <c r="UUO233" s="256"/>
      <c r="UUP233" s="257"/>
      <c r="UUR233" s="242"/>
      <c r="UUS233" s="256"/>
      <c r="UUT233" s="257"/>
      <c r="UUV233" s="242"/>
      <c r="UUW233" s="256"/>
      <c r="UUX233" s="257"/>
      <c r="UUZ233" s="242"/>
      <c r="UVA233" s="256"/>
      <c r="UVB233" s="257"/>
      <c r="UVD233" s="242"/>
      <c r="UVE233" s="256"/>
      <c r="UVF233" s="257"/>
      <c r="UVH233" s="242"/>
      <c r="UVI233" s="256"/>
      <c r="UVJ233" s="257"/>
      <c r="UVL233" s="242"/>
      <c r="UVM233" s="256"/>
      <c r="UVN233" s="257"/>
      <c r="UVP233" s="242"/>
      <c r="UVQ233" s="256"/>
      <c r="UVR233" s="257"/>
      <c r="UVT233" s="242"/>
      <c r="UVU233" s="256"/>
      <c r="UVV233" s="257"/>
      <c r="UVX233" s="242"/>
      <c r="UVY233" s="256"/>
      <c r="UVZ233" s="257"/>
      <c r="UWB233" s="242"/>
      <c r="UWC233" s="256"/>
      <c r="UWD233" s="257"/>
      <c r="UWF233" s="242"/>
      <c r="UWG233" s="256"/>
      <c r="UWH233" s="257"/>
      <c r="UWJ233" s="242"/>
      <c r="UWK233" s="256"/>
      <c r="UWL233" s="257"/>
      <c r="UWN233" s="242"/>
      <c r="UWO233" s="256"/>
      <c r="UWP233" s="257"/>
      <c r="UWR233" s="242"/>
      <c r="UWS233" s="256"/>
      <c r="UWT233" s="257"/>
      <c r="UWV233" s="242"/>
      <c r="UWW233" s="256"/>
      <c r="UWX233" s="257"/>
      <c r="UWZ233" s="242"/>
      <c r="UXA233" s="256"/>
      <c r="UXB233" s="257"/>
      <c r="UXD233" s="242"/>
      <c r="UXE233" s="256"/>
      <c r="UXF233" s="257"/>
      <c r="UXH233" s="242"/>
      <c r="UXI233" s="256"/>
      <c r="UXJ233" s="257"/>
      <c r="UXL233" s="242"/>
      <c r="UXM233" s="256"/>
      <c r="UXN233" s="257"/>
      <c r="UXP233" s="242"/>
      <c r="UXQ233" s="256"/>
      <c r="UXR233" s="257"/>
      <c r="UXT233" s="242"/>
      <c r="UXU233" s="256"/>
      <c r="UXV233" s="257"/>
      <c r="UXX233" s="242"/>
      <c r="UXY233" s="256"/>
      <c r="UXZ233" s="257"/>
      <c r="UYB233" s="242"/>
      <c r="UYC233" s="256"/>
      <c r="UYD233" s="257"/>
      <c r="UYF233" s="242"/>
      <c r="UYG233" s="256"/>
      <c r="UYH233" s="257"/>
      <c r="UYJ233" s="242"/>
      <c r="UYK233" s="256"/>
      <c r="UYL233" s="257"/>
      <c r="UYN233" s="242"/>
      <c r="UYO233" s="256"/>
      <c r="UYP233" s="257"/>
      <c r="UYR233" s="242"/>
      <c r="UYS233" s="256"/>
      <c r="UYT233" s="257"/>
      <c r="UYV233" s="242"/>
      <c r="UYW233" s="256"/>
      <c r="UYX233" s="257"/>
      <c r="UYZ233" s="242"/>
      <c r="UZA233" s="256"/>
      <c r="UZB233" s="257"/>
      <c r="UZD233" s="242"/>
      <c r="UZE233" s="256"/>
      <c r="UZF233" s="257"/>
      <c r="UZH233" s="242"/>
      <c r="UZI233" s="256"/>
      <c r="UZJ233" s="257"/>
      <c r="UZL233" s="242"/>
      <c r="UZM233" s="256"/>
      <c r="UZN233" s="257"/>
      <c r="UZP233" s="242"/>
      <c r="UZQ233" s="256"/>
      <c r="UZR233" s="257"/>
      <c r="UZT233" s="242"/>
      <c r="UZU233" s="256"/>
      <c r="UZV233" s="257"/>
      <c r="UZX233" s="242"/>
      <c r="UZY233" s="256"/>
      <c r="UZZ233" s="257"/>
      <c r="VAB233" s="242"/>
      <c r="VAC233" s="256"/>
      <c r="VAD233" s="257"/>
      <c r="VAF233" s="242"/>
      <c r="VAG233" s="256"/>
      <c r="VAH233" s="257"/>
      <c r="VAJ233" s="242"/>
      <c r="VAK233" s="256"/>
      <c r="VAL233" s="257"/>
      <c r="VAN233" s="242"/>
      <c r="VAO233" s="256"/>
      <c r="VAP233" s="257"/>
      <c r="VAR233" s="242"/>
      <c r="VAS233" s="256"/>
      <c r="VAT233" s="257"/>
      <c r="VAV233" s="242"/>
      <c r="VAW233" s="256"/>
      <c r="VAX233" s="257"/>
      <c r="VAZ233" s="242"/>
      <c r="VBA233" s="256"/>
      <c r="VBB233" s="257"/>
      <c r="VBD233" s="242"/>
      <c r="VBE233" s="256"/>
      <c r="VBF233" s="257"/>
      <c r="VBH233" s="242"/>
      <c r="VBI233" s="256"/>
      <c r="VBJ233" s="257"/>
      <c r="VBL233" s="242"/>
      <c r="VBM233" s="256"/>
      <c r="VBN233" s="257"/>
      <c r="VBP233" s="242"/>
      <c r="VBQ233" s="256"/>
      <c r="VBR233" s="257"/>
      <c r="VBT233" s="242"/>
      <c r="VBU233" s="256"/>
      <c r="VBV233" s="257"/>
      <c r="VBX233" s="242"/>
      <c r="VBY233" s="256"/>
      <c r="VBZ233" s="257"/>
      <c r="VCB233" s="242"/>
      <c r="VCC233" s="256"/>
      <c r="VCD233" s="257"/>
      <c r="VCF233" s="242"/>
      <c r="VCG233" s="256"/>
      <c r="VCH233" s="257"/>
      <c r="VCJ233" s="242"/>
      <c r="VCK233" s="256"/>
      <c r="VCL233" s="257"/>
      <c r="VCN233" s="242"/>
      <c r="VCO233" s="256"/>
      <c r="VCP233" s="257"/>
      <c r="VCR233" s="242"/>
      <c r="VCS233" s="256"/>
      <c r="VCT233" s="257"/>
      <c r="VCV233" s="242"/>
      <c r="VCW233" s="256"/>
      <c r="VCX233" s="257"/>
      <c r="VCZ233" s="242"/>
      <c r="VDA233" s="256"/>
      <c r="VDB233" s="257"/>
      <c r="VDD233" s="242"/>
      <c r="VDE233" s="256"/>
      <c r="VDF233" s="257"/>
      <c r="VDH233" s="242"/>
      <c r="VDI233" s="256"/>
      <c r="VDJ233" s="257"/>
      <c r="VDL233" s="242"/>
      <c r="VDM233" s="256"/>
      <c r="VDN233" s="257"/>
      <c r="VDP233" s="242"/>
      <c r="VDQ233" s="256"/>
      <c r="VDR233" s="257"/>
      <c r="VDT233" s="242"/>
      <c r="VDU233" s="256"/>
      <c r="VDV233" s="257"/>
      <c r="VDX233" s="242"/>
      <c r="VDY233" s="256"/>
      <c r="VDZ233" s="257"/>
      <c r="VEB233" s="242"/>
      <c r="VEC233" s="256"/>
      <c r="VED233" s="257"/>
      <c r="VEF233" s="242"/>
      <c r="VEG233" s="256"/>
      <c r="VEH233" s="257"/>
      <c r="VEJ233" s="242"/>
      <c r="VEK233" s="256"/>
      <c r="VEL233" s="257"/>
      <c r="VEN233" s="242"/>
      <c r="VEO233" s="256"/>
      <c r="VEP233" s="257"/>
      <c r="VER233" s="242"/>
      <c r="VES233" s="256"/>
      <c r="VET233" s="257"/>
      <c r="VEV233" s="242"/>
      <c r="VEW233" s="256"/>
      <c r="VEX233" s="257"/>
      <c r="VEZ233" s="242"/>
      <c r="VFA233" s="256"/>
      <c r="VFB233" s="257"/>
      <c r="VFD233" s="242"/>
      <c r="VFE233" s="256"/>
      <c r="VFF233" s="257"/>
      <c r="VFH233" s="242"/>
      <c r="VFI233" s="256"/>
      <c r="VFJ233" s="257"/>
      <c r="VFL233" s="242"/>
      <c r="VFM233" s="256"/>
      <c r="VFN233" s="257"/>
      <c r="VFP233" s="242"/>
      <c r="VFQ233" s="256"/>
      <c r="VFR233" s="257"/>
      <c r="VFT233" s="242"/>
      <c r="VFU233" s="256"/>
      <c r="VFV233" s="257"/>
      <c r="VFX233" s="242"/>
      <c r="VFY233" s="256"/>
      <c r="VFZ233" s="257"/>
      <c r="VGB233" s="242"/>
      <c r="VGC233" s="256"/>
      <c r="VGD233" s="257"/>
      <c r="VGF233" s="242"/>
      <c r="VGG233" s="256"/>
      <c r="VGH233" s="257"/>
      <c r="VGJ233" s="242"/>
      <c r="VGK233" s="256"/>
      <c r="VGL233" s="257"/>
      <c r="VGN233" s="242"/>
      <c r="VGO233" s="256"/>
      <c r="VGP233" s="257"/>
      <c r="VGR233" s="242"/>
      <c r="VGS233" s="256"/>
      <c r="VGT233" s="257"/>
      <c r="VGV233" s="242"/>
      <c r="VGW233" s="256"/>
      <c r="VGX233" s="257"/>
      <c r="VGZ233" s="242"/>
      <c r="VHA233" s="256"/>
      <c r="VHB233" s="257"/>
      <c r="VHD233" s="242"/>
      <c r="VHE233" s="256"/>
      <c r="VHF233" s="257"/>
      <c r="VHH233" s="242"/>
      <c r="VHI233" s="256"/>
      <c r="VHJ233" s="257"/>
      <c r="VHL233" s="242"/>
      <c r="VHM233" s="256"/>
      <c r="VHN233" s="257"/>
      <c r="VHP233" s="242"/>
      <c r="VHQ233" s="256"/>
      <c r="VHR233" s="257"/>
      <c r="VHT233" s="242"/>
      <c r="VHU233" s="256"/>
      <c r="VHV233" s="257"/>
      <c r="VHX233" s="242"/>
      <c r="VHY233" s="256"/>
      <c r="VHZ233" s="257"/>
      <c r="VIB233" s="242"/>
      <c r="VIC233" s="256"/>
      <c r="VID233" s="257"/>
      <c r="VIF233" s="242"/>
      <c r="VIG233" s="256"/>
      <c r="VIH233" s="257"/>
      <c r="VIJ233" s="242"/>
      <c r="VIK233" s="256"/>
      <c r="VIL233" s="257"/>
      <c r="VIN233" s="242"/>
      <c r="VIO233" s="256"/>
      <c r="VIP233" s="257"/>
      <c r="VIR233" s="242"/>
      <c r="VIS233" s="256"/>
      <c r="VIT233" s="257"/>
      <c r="VIV233" s="242"/>
      <c r="VIW233" s="256"/>
      <c r="VIX233" s="257"/>
      <c r="VIZ233" s="242"/>
      <c r="VJA233" s="256"/>
      <c r="VJB233" s="257"/>
      <c r="VJD233" s="242"/>
      <c r="VJE233" s="256"/>
      <c r="VJF233" s="257"/>
      <c r="VJH233" s="242"/>
      <c r="VJI233" s="256"/>
      <c r="VJJ233" s="257"/>
      <c r="VJL233" s="242"/>
      <c r="VJM233" s="256"/>
      <c r="VJN233" s="257"/>
      <c r="VJP233" s="242"/>
      <c r="VJQ233" s="256"/>
      <c r="VJR233" s="257"/>
      <c r="VJT233" s="242"/>
      <c r="VJU233" s="256"/>
      <c r="VJV233" s="257"/>
      <c r="VJX233" s="242"/>
      <c r="VJY233" s="256"/>
      <c r="VJZ233" s="257"/>
      <c r="VKB233" s="242"/>
      <c r="VKC233" s="256"/>
      <c r="VKD233" s="257"/>
      <c r="VKF233" s="242"/>
      <c r="VKG233" s="256"/>
      <c r="VKH233" s="257"/>
      <c r="VKJ233" s="242"/>
      <c r="VKK233" s="256"/>
      <c r="VKL233" s="257"/>
      <c r="VKN233" s="242"/>
      <c r="VKO233" s="256"/>
      <c r="VKP233" s="257"/>
      <c r="VKR233" s="242"/>
      <c r="VKS233" s="256"/>
      <c r="VKT233" s="257"/>
      <c r="VKV233" s="242"/>
      <c r="VKW233" s="256"/>
      <c r="VKX233" s="257"/>
      <c r="VKZ233" s="242"/>
      <c r="VLA233" s="256"/>
      <c r="VLB233" s="257"/>
      <c r="VLD233" s="242"/>
      <c r="VLE233" s="256"/>
      <c r="VLF233" s="257"/>
      <c r="VLH233" s="242"/>
      <c r="VLI233" s="256"/>
      <c r="VLJ233" s="257"/>
      <c r="VLL233" s="242"/>
      <c r="VLM233" s="256"/>
      <c r="VLN233" s="257"/>
      <c r="VLP233" s="242"/>
      <c r="VLQ233" s="256"/>
      <c r="VLR233" s="257"/>
      <c r="VLT233" s="242"/>
      <c r="VLU233" s="256"/>
      <c r="VLV233" s="257"/>
      <c r="VLX233" s="242"/>
      <c r="VLY233" s="256"/>
      <c r="VLZ233" s="257"/>
      <c r="VMB233" s="242"/>
      <c r="VMC233" s="256"/>
      <c r="VMD233" s="257"/>
      <c r="VMF233" s="242"/>
      <c r="VMG233" s="256"/>
      <c r="VMH233" s="257"/>
      <c r="VMJ233" s="242"/>
      <c r="VMK233" s="256"/>
      <c r="VML233" s="257"/>
      <c r="VMN233" s="242"/>
      <c r="VMO233" s="256"/>
      <c r="VMP233" s="257"/>
      <c r="VMR233" s="242"/>
      <c r="VMS233" s="256"/>
      <c r="VMT233" s="257"/>
      <c r="VMV233" s="242"/>
      <c r="VMW233" s="256"/>
      <c r="VMX233" s="257"/>
      <c r="VMZ233" s="242"/>
      <c r="VNA233" s="256"/>
      <c r="VNB233" s="257"/>
      <c r="VND233" s="242"/>
      <c r="VNE233" s="256"/>
      <c r="VNF233" s="257"/>
      <c r="VNH233" s="242"/>
      <c r="VNI233" s="256"/>
      <c r="VNJ233" s="257"/>
      <c r="VNL233" s="242"/>
      <c r="VNM233" s="256"/>
      <c r="VNN233" s="257"/>
      <c r="VNP233" s="242"/>
      <c r="VNQ233" s="256"/>
      <c r="VNR233" s="257"/>
      <c r="VNT233" s="242"/>
      <c r="VNU233" s="256"/>
      <c r="VNV233" s="257"/>
      <c r="VNX233" s="242"/>
      <c r="VNY233" s="256"/>
      <c r="VNZ233" s="257"/>
      <c r="VOB233" s="242"/>
      <c r="VOC233" s="256"/>
      <c r="VOD233" s="257"/>
      <c r="VOF233" s="242"/>
      <c r="VOG233" s="256"/>
      <c r="VOH233" s="257"/>
      <c r="VOJ233" s="242"/>
      <c r="VOK233" s="256"/>
      <c r="VOL233" s="257"/>
      <c r="VON233" s="242"/>
      <c r="VOO233" s="256"/>
      <c r="VOP233" s="257"/>
      <c r="VOR233" s="242"/>
      <c r="VOS233" s="256"/>
      <c r="VOT233" s="257"/>
      <c r="VOV233" s="242"/>
      <c r="VOW233" s="256"/>
      <c r="VOX233" s="257"/>
      <c r="VOZ233" s="242"/>
      <c r="VPA233" s="256"/>
      <c r="VPB233" s="257"/>
      <c r="VPD233" s="242"/>
      <c r="VPE233" s="256"/>
      <c r="VPF233" s="257"/>
      <c r="VPH233" s="242"/>
      <c r="VPI233" s="256"/>
      <c r="VPJ233" s="257"/>
      <c r="VPL233" s="242"/>
      <c r="VPM233" s="256"/>
      <c r="VPN233" s="257"/>
      <c r="VPP233" s="242"/>
      <c r="VPQ233" s="256"/>
      <c r="VPR233" s="257"/>
      <c r="VPT233" s="242"/>
      <c r="VPU233" s="256"/>
      <c r="VPV233" s="257"/>
      <c r="VPX233" s="242"/>
      <c r="VPY233" s="256"/>
      <c r="VPZ233" s="257"/>
      <c r="VQB233" s="242"/>
      <c r="VQC233" s="256"/>
      <c r="VQD233" s="257"/>
      <c r="VQF233" s="242"/>
      <c r="VQG233" s="256"/>
      <c r="VQH233" s="257"/>
      <c r="VQJ233" s="242"/>
      <c r="VQK233" s="256"/>
      <c r="VQL233" s="257"/>
      <c r="VQN233" s="242"/>
      <c r="VQO233" s="256"/>
      <c r="VQP233" s="257"/>
      <c r="VQR233" s="242"/>
      <c r="VQS233" s="256"/>
      <c r="VQT233" s="257"/>
      <c r="VQV233" s="242"/>
      <c r="VQW233" s="256"/>
      <c r="VQX233" s="257"/>
      <c r="VQZ233" s="242"/>
      <c r="VRA233" s="256"/>
      <c r="VRB233" s="257"/>
      <c r="VRD233" s="242"/>
      <c r="VRE233" s="256"/>
      <c r="VRF233" s="257"/>
      <c r="VRH233" s="242"/>
      <c r="VRI233" s="256"/>
      <c r="VRJ233" s="257"/>
      <c r="VRL233" s="242"/>
      <c r="VRM233" s="256"/>
      <c r="VRN233" s="257"/>
      <c r="VRP233" s="242"/>
      <c r="VRQ233" s="256"/>
      <c r="VRR233" s="257"/>
      <c r="VRT233" s="242"/>
      <c r="VRU233" s="256"/>
      <c r="VRV233" s="257"/>
      <c r="VRX233" s="242"/>
      <c r="VRY233" s="256"/>
      <c r="VRZ233" s="257"/>
      <c r="VSB233" s="242"/>
      <c r="VSC233" s="256"/>
      <c r="VSD233" s="257"/>
      <c r="VSF233" s="242"/>
      <c r="VSG233" s="256"/>
      <c r="VSH233" s="257"/>
      <c r="VSJ233" s="242"/>
      <c r="VSK233" s="256"/>
      <c r="VSL233" s="257"/>
      <c r="VSN233" s="242"/>
      <c r="VSO233" s="256"/>
      <c r="VSP233" s="257"/>
      <c r="VSR233" s="242"/>
      <c r="VSS233" s="256"/>
      <c r="VST233" s="257"/>
      <c r="VSV233" s="242"/>
      <c r="VSW233" s="256"/>
      <c r="VSX233" s="257"/>
      <c r="VSZ233" s="242"/>
      <c r="VTA233" s="256"/>
      <c r="VTB233" s="257"/>
      <c r="VTD233" s="242"/>
      <c r="VTE233" s="256"/>
      <c r="VTF233" s="257"/>
      <c r="VTH233" s="242"/>
      <c r="VTI233" s="256"/>
      <c r="VTJ233" s="257"/>
      <c r="VTL233" s="242"/>
      <c r="VTM233" s="256"/>
      <c r="VTN233" s="257"/>
      <c r="VTP233" s="242"/>
      <c r="VTQ233" s="256"/>
      <c r="VTR233" s="257"/>
      <c r="VTT233" s="242"/>
      <c r="VTU233" s="256"/>
      <c r="VTV233" s="257"/>
      <c r="VTX233" s="242"/>
      <c r="VTY233" s="256"/>
      <c r="VTZ233" s="257"/>
      <c r="VUB233" s="242"/>
      <c r="VUC233" s="256"/>
      <c r="VUD233" s="257"/>
      <c r="VUF233" s="242"/>
      <c r="VUG233" s="256"/>
      <c r="VUH233" s="257"/>
      <c r="VUJ233" s="242"/>
      <c r="VUK233" s="256"/>
      <c r="VUL233" s="257"/>
      <c r="VUN233" s="242"/>
      <c r="VUO233" s="256"/>
      <c r="VUP233" s="257"/>
      <c r="VUR233" s="242"/>
      <c r="VUS233" s="256"/>
      <c r="VUT233" s="257"/>
      <c r="VUV233" s="242"/>
      <c r="VUW233" s="256"/>
      <c r="VUX233" s="257"/>
      <c r="VUZ233" s="242"/>
      <c r="VVA233" s="256"/>
      <c r="VVB233" s="257"/>
      <c r="VVD233" s="242"/>
      <c r="VVE233" s="256"/>
      <c r="VVF233" s="257"/>
      <c r="VVH233" s="242"/>
      <c r="VVI233" s="256"/>
      <c r="VVJ233" s="257"/>
      <c r="VVL233" s="242"/>
      <c r="VVM233" s="256"/>
      <c r="VVN233" s="257"/>
      <c r="VVP233" s="242"/>
      <c r="VVQ233" s="256"/>
      <c r="VVR233" s="257"/>
      <c r="VVT233" s="242"/>
      <c r="VVU233" s="256"/>
      <c r="VVV233" s="257"/>
      <c r="VVX233" s="242"/>
      <c r="VVY233" s="256"/>
      <c r="VVZ233" s="257"/>
      <c r="VWB233" s="242"/>
      <c r="VWC233" s="256"/>
      <c r="VWD233" s="257"/>
      <c r="VWF233" s="242"/>
      <c r="VWG233" s="256"/>
      <c r="VWH233" s="257"/>
      <c r="VWJ233" s="242"/>
      <c r="VWK233" s="256"/>
      <c r="VWL233" s="257"/>
      <c r="VWN233" s="242"/>
      <c r="VWO233" s="256"/>
      <c r="VWP233" s="257"/>
      <c r="VWR233" s="242"/>
      <c r="VWS233" s="256"/>
      <c r="VWT233" s="257"/>
      <c r="VWV233" s="242"/>
      <c r="VWW233" s="256"/>
      <c r="VWX233" s="257"/>
      <c r="VWZ233" s="242"/>
      <c r="VXA233" s="256"/>
      <c r="VXB233" s="257"/>
      <c r="VXD233" s="242"/>
      <c r="VXE233" s="256"/>
      <c r="VXF233" s="257"/>
      <c r="VXH233" s="242"/>
      <c r="VXI233" s="256"/>
      <c r="VXJ233" s="257"/>
      <c r="VXL233" s="242"/>
      <c r="VXM233" s="256"/>
      <c r="VXN233" s="257"/>
      <c r="VXP233" s="242"/>
      <c r="VXQ233" s="256"/>
      <c r="VXR233" s="257"/>
      <c r="VXT233" s="242"/>
      <c r="VXU233" s="256"/>
      <c r="VXV233" s="257"/>
      <c r="VXX233" s="242"/>
      <c r="VXY233" s="256"/>
      <c r="VXZ233" s="257"/>
      <c r="VYB233" s="242"/>
      <c r="VYC233" s="256"/>
      <c r="VYD233" s="257"/>
      <c r="VYF233" s="242"/>
      <c r="VYG233" s="256"/>
      <c r="VYH233" s="257"/>
      <c r="VYJ233" s="242"/>
      <c r="VYK233" s="256"/>
      <c r="VYL233" s="257"/>
      <c r="VYN233" s="242"/>
      <c r="VYO233" s="256"/>
      <c r="VYP233" s="257"/>
      <c r="VYR233" s="242"/>
      <c r="VYS233" s="256"/>
      <c r="VYT233" s="257"/>
      <c r="VYV233" s="242"/>
      <c r="VYW233" s="256"/>
      <c r="VYX233" s="257"/>
      <c r="VYZ233" s="242"/>
      <c r="VZA233" s="256"/>
      <c r="VZB233" s="257"/>
      <c r="VZD233" s="242"/>
      <c r="VZE233" s="256"/>
      <c r="VZF233" s="257"/>
      <c r="VZH233" s="242"/>
      <c r="VZI233" s="256"/>
      <c r="VZJ233" s="257"/>
      <c r="VZL233" s="242"/>
      <c r="VZM233" s="256"/>
      <c r="VZN233" s="257"/>
      <c r="VZP233" s="242"/>
      <c r="VZQ233" s="256"/>
      <c r="VZR233" s="257"/>
      <c r="VZT233" s="242"/>
      <c r="VZU233" s="256"/>
      <c r="VZV233" s="257"/>
      <c r="VZX233" s="242"/>
      <c r="VZY233" s="256"/>
      <c r="VZZ233" s="257"/>
      <c r="WAB233" s="242"/>
      <c r="WAC233" s="256"/>
      <c r="WAD233" s="257"/>
      <c r="WAF233" s="242"/>
      <c r="WAG233" s="256"/>
      <c r="WAH233" s="257"/>
      <c r="WAJ233" s="242"/>
      <c r="WAK233" s="256"/>
      <c r="WAL233" s="257"/>
      <c r="WAN233" s="242"/>
      <c r="WAO233" s="256"/>
      <c r="WAP233" s="257"/>
      <c r="WAR233" s="242"/>
      <c r="WAS233" s="256"/>
      <c r="WAT233" s="257"/>
      <c r="WAV233" s="242"/>
      <c r="WAW233" s="256"/>
      <c r="WAX233" s="257"/>
      <c r="WAZ233" s="242"/>
      <c r="WBA233" s="256"/>
      <c r="WBB233" s="257"/>
      <c r="WBD233" s="242"/>
      <c r="WBE233" s="256"/>
      <c r="WBF233" s="257"/>
      <c r="WBH233" s="242"/>
      <c r="WBI233" s="256"/>
      <c r="WBJ233" s="257"/>
      <c r="WBL233" s="242"/>
      <c r="WBM233" s="256"/>
      <c r="WBN233" s="257"/>
      <c r="WBP233" s="242"/>
      <c r="WBQ233" s="256"/>
      <c r="WBR233" s="257"/>
      <c r="WBT233" s="242"/>
      <c r="WBU233" s="256"/>
      <c r="WBV233" s="257"/>
      <c r="WBX233" s="242"/>
      <c r="WBY233" s="256"/>
      <c r="WBZ233" s="257"/>
      <c r="WCB233" s="242"/>
      <c r="WCC233" s="256"/>
      <c r="WCD233" s="257"/>
      <c r="WCF233" s="242"/>
      <c r="WCG233" s="256"/>
      <c r="WCH233" s="257"/>
      <c r="WCJ233" s="242"/>
      <c r="WCK233" s="256"/>
      <c r="WCL233" s="257"/>
      <c r="WCN233" s="242"/>
      <c r="WCO233" s="256"/>
      <c r="WCP233" s="257"/>
      <c r="WCR233" s="242"/>
      <c r="WCS233" s="256"/>
      <c r="WCT233" s="257"/>
      <c r="WCV233" s="242"/>
      <c r="WCW233" s="256"/>
      <c r="WCX233" s="257"/>
      <c r="WCZ233" s="242"/>
      <c r="WDA233" s="256"/>
      <c r="WDB233" s="257"/>
      <c r="WDD233" s="242"/>
      <c r="WDE233" s="256"/>
      <c r="WDF233" s="257"/>
      <c r="WDH233" s="242"/>
      <c r="WDI233" s="256"/>
      <c r="WDJ233" s="257"/>
      <c r="WDL233" s="242"/>
      <c r="WDM233" s="256"/>
      <c r="WDN233" s="257"/>
      <c r="WDP233" s="242"/>
      <c r="WDQ233" s="256"/>
      <c r="WDR233" s="257"/>
      <c r="WDT233" s="242"/>
      <c r="WDU233" s="256"/>
      <c r="WDV233" s="257"/>
      <c r="WDX233" s="242"/>
      <c r="WDY233" s="256"/>
      <c r="WDZ233" s="257"/>
      <c r="WEB233" s="242"/>
      <c r="WEC233" s="256"/>
      <c r="WED233" s="257"/>
      <c r="WEF233" s="242"/>
      <c r="WEG233" s="256"/>
      <c r="WEH233" s="257"/>
      <c r="WEJ233" s="242"/>
      <c r="WEK233" s="256"/>
      <c r="WEL233" s="257"/>
      <c r="WEN233" s="242"/>
      <c r="WEO233" s="256"/>
      <c r="WEP233" s="257"/>
      <c r="WER233" s="242"/>
      <c r="WES233" s="256"/>
      <c r="WET233" s="257"/>
      <c r="WEV233" s="242"/>
      <c r="WEW233" s="256"/>
      <c r="WEX233" s="257"/>
      <c r="WEZ233" s="242"/>
      <c r="WFA233" s="256"/>
      <c r="WFB233" s="257"/>
      <c r="WFD233" s="242"/>
      <c r="WFE233" s="256"/>
      <c r="WFF233" s="257"/>
      <c r="WFH233" s="242"/>
      <c r="WFI233" s="256"/>
      <c r="WFJ233" s="257"/>
      <c r="WFL233" s="242"/>
      <c r="WFM233" s="256"/>
      <c r="WFN233" s="257"/>
      <c r="WFP233" s="242"/>
      <c r="WFQ233" s="256"/>
      <c r="WFR233" s="257"/>
      <c r="WFT233" s="242"/>
      <c r="WFU233" s="256"/>
      <c r="WFV233" s="257"/>
      <c r="WFX233" s="242"/>
      <c r="WFY233" s="256"/>
      <c r="WFZ233" s="257"/>
      <c r="WGB233" s="242"/>
      <c r="WGC233" s="256"/>
      <c r="WGD233" s="257"/>
      <c r="WGF233" s="242"/>
      <c r="WGG233" s="256"/>
      <c r="WGH233" s="257"/>
      <c r="WGJ233" s="242"/>
      <c r="WGK233" s="256"/>
      <c r="WGL233" s="257"/>
      <c r="WGN233" s="242"/>
      <c r="WGO233" s="256"/>
      <c r="WGP233" s="257"/>
      <c r="WGR233" s="242"/>
      <c r="WGS233" s="256"/>
      <c r="WGT233" s="257"/>
      <c r="WGV233" s="242"/>
      <c r="WGW233" s="256"/>
      <c r="WGX233" s="257"/>
      <c r="WGZ233" s="242"/>
      <c r="WHA233" s="256"/>
      <c r="WHB233" s="257"/>
      <c r="WHD233" s="242"/>
      <c r="WHE233" s="256"/>
      <c r="WHF233" s="257"/>
      <c r="WHH233" s="242"/>
      <c r="WHI233" s="256"/>
      <c r="WHJ233" s="257"/>
      <c r="WHL233" s="242"/>
      <c r="WHM233" s="256"/>
      <c r="WHN233" s="257"/>
      <c r="WHP233" s="242"/>
      <c r="WHQ233" s="256"/>
      <c r="WHR233" s="257"/>
      <c r="WHT233" s="242"/>
      <c r="WHU233" s="256"/>
      <c r="WHV233" s="257"/>
      <c r="WHX233" s="242"/>
      <c r="WHY233" s="256"/>
      <c r="WHZ233" s="257"/>
      <c r="WIB233" s="242"/>
      <c r="WIC233" s="256"/>
      <c r="WID233" s="257"/>
      <c r="WIF233" s="242"/>
      <c r="WIG233" s="256"/>
      <c r="WIH233" s="257"/>
      <c r="WIJ233" s="242"/>
      <c r="WIK233" s="256"/>
      <c r="WIL233" s="257"/>
      <c r="WIN233" s="242"/>
      <c r="WIO233" s="256"/>
      <c r="WIP233" s="257"/>
      <c r="WIR233" s="242"/>
      <c r="WIS233" s="256"/>
      <c r="WIT233" s="257"/>
      <c r="WIV233" s="242"/>
      <c r="WIW233" s="256"/>
      <c r="WIX233" s="257"/>
      <c r="WIZ233" s="242"/>
      <c r="WJA233" s="256"/>
      <c r="WJB233" s="257"/>
      <c r="WJD233" s="242"/>
      <c r="WJE233" s="256"/>
      <c r="WJF233" s="257"/>
      <c r="WJH233" s="242"/>
      <c r="WJI233" s="256"/>
      <c r="WJJ233" s="257"/>
      <c r="WJL233" s="242"/>
      <c r="WJM233" s="256"/>
      <c r="WJN233" s="257"/>
      <c r="WJP233" s="242"/>
      <c r="WJQ233" s="256"/>
      <c r="WJR233" s="257"/>
      <c r="WJT233" s="242"/>
      <c r="WJU233" s="256"/>
      <c r="WJV233" s="257"/>
      <c r="WJX233" s="242"/>
      <c r="WJY233" s="256"/>
      <c r="WJZ233" s="257"/>
      <c r="WKB233" s="242"/>
      <c r="WKC233" s="256"/>
      <c r="WKD233" s="257"/>
      <c r="WKF233" s="242"/>
      <c r="WKG233" s="256"/>
      <c r="WKH233" s="257"/>
      <c r="WKJ233" s="242"/>
      <c r="WKK233" s="256"/>
      <c r="WKL233" s="257"/>
      <c r="WKN233" s="242"/>
      <c r="WKO233" s="256"/>
      <c r="WKP233" s="257"/>
      <c r="WKR233" s="242"/>
      <c r="WKS233" s="256"/>
      <c r="WKT233" s="257"/>
      <c r="WKV233" s="242"/>
      <c r="WKW233" s="256"/>
      <c r="WKX233" s="257"/>
      <c r="WKZ233" s="242"/>
      <c r="WLA233" s="256"/>
      <c r="WLB233" s="257"/>
      <c r="WLD233" s="242"/>
      <c r="WLE233" s="256"/>
      <c r="WLF233" s="257"/>
      <c r="WLH233" s="242"/>
      <c r="WLI233" s="256"/>
      <c r="WLJ233" s="257"/>
      <c r="WLL233" s="242"/>
      <c r="WLM233" s="256"/>
      <c r="WLN233" s="257"/>
      <c r="WLP233" s="242"/>
      <c r="WLQ233" s="256"/>
      <c r="WLR233" s="257"/>
      <c r="WLT233" s="242"/>
      <c r="WLU233" s="256"/>
      <c r="WLV233" s="257"/>
      <c r="WLX233" s="242"/>
      <c r="WLY233" s="256"/>
      <c r="WLZ233" s="257"/>
      <c r="WMB233" s="242"/>
      <c r="WMC233" s="256"/>
      <c r="WMD233" s="257"/>
      <c r="WMF233" s="242"/>
      <c r="WMG233" s="256"/>
      <c r="WMH233" s="257"/>
      <c r="WMJ233" s="242"/>
      <c r="WMK233" s="256"/>
      <c r="WML233" s="257"/>
      <c r="WMN233" s="242"/>
      <c r="WMO233" s="256"/>
      <c r="WMP233" s="257"/>
      <c r="WMR233" s="242"/>
      <c r="WMS233" s="256"/>
      <c r="WMT233" s="257"/>
      <c r="WMV233" s="242"/>
      <c r="WMW233" s="256"/>
      <c r="WMX233" s="257"/>
      <c r="WMZ233" s="242"/>
      <c r="WNA233" s="256"/>
      <c r="WNB233" s="257"/>
      <c r="WND233" s="242"/>
      <c r="WNE233" s="256"/>
      <c r="WNF233" s="257"/>
      <c r="WNH233" s="242"/>
      <c r="WNI233" s="256"/>
      <c r="WNJ233" s="257"/>
      <c r="WNL233" s="242"/>
      <c r="WNM233" s="256"/>
      <c r="WNN233" s="257"/>
      <c r="WNP233" s="242"/>
      <c r="WNQ233" s="256"/>
      <c r="WNR233" s="257"/>
      <c r="WNT233" s="242"/>
      <c r="WNU233" s="256"/>
      <c r="WNV233" s="257"/>
      <c r="WNX233" s="242"/>
      <c r="WNY233" s="256"/>
      <c r="WNZ233" s="257"/>
      <c r="WOB233" s="242"/>
      <c r="WOC233" s="256"/>
      <c r="WOD233" s="257"/>
      <c r="WOF233" s="242"/>
      <c r="WOG233" s="256"/>
      <c r="WOH233" s="257"/>
      <c r="WOJ233" s="242"/>
      <c r="WOK233" s="256"/>
      <c r="WOL233" s="257"/>
      <c r="WON233" s="242"/>
      <c r="WOO233" s="256"/>
      <c r="WOP233" s="257"/>
      <c r="WOR233" s="242"/>
      <c r="WOS233" s="256"/>
      <c r="WOT233" s="257"/>
      <c r="WOV233" s="242"/>
      <c r="WOW233" s="256"/>
      <c r="WOX233" s="257"/>
      <c r="WOZ233" s="242"/>
      <c r="WPA233" s="256"/>
      <c r="WPB233" s="257"/>
      <c r="WPD233" s="242"/>
      <c r="WPE233" s="256"/>
      <c r="WPF233" s="257"/>
      <c r="WPH233" s="242"/>
      <c r="WPI233" s="256"/>
      <c r="WPJ233" s="257"/>
      <c r="WPL233" s="242"/>
      <c r="WPM233" s="256"/>
      <c r="WPN233" s="257"/>
      <c r="WPP233" s="242"/>
      <c r="WPQ233" s="256"/>
      <c r="WPR233" s="257"/>
      <c r="WPT233" s="242"/>
      <c r="WPU233" s="256"/>
      <c r="WPV233" s="257"/>
      <c r="WPX233" s="242"/>
      <c r="WPY233" s="256"/>
      <c r="WPZ233" s="257"/>
      <c r="WQB233" s="242"/>
      <c r="WQC233" s="256"/>
      <c r="WQD233" s="257"/>
      <c r="WQF233" s="242"/>
      <c r="WQG233" s="256"/>
      <c r="WQH233" s="257"/>
      <c r="WQJ233" s="242"/>
      <c r="WQK233" s="256"/>
      <c r="WQL233" s="257"/>
      <c r="WQN233" s="242"/>
      <c r="WQO233" s="256"/>
      <c r="WQP233" s="257"/>
      <c r="WQR233" s="242"/>
      <c r="WQS233" s="256"/>
      <c r="WQT233" s="257"/>
      <c r="WQV233" s="242"/>
      <c r="WQW233" s="256"/>
      <c r="WQX233" s="257"/>
      <c r="WQZ233" s="242"/>
      <c r="WRA233" s="256"/>
      <c r="WRB233" s="257"/>
      <c r="WRD233" s="242"/>
      <c r="WRE233" s="256"/>
      <c r="WRF233" s="257"/>
      <c r="WRH233" s="242"/>
      <c r="WRI233" s="256"/>
      <c r="WRJ233" s="257"/>
      <c r="WRL233" s="242"/>
      <c r="WRM233" s="256"/>
      <c r="WRN233" s="257"/>
      <c r="WRP233" s="242"/>
      <c r="WRQ233" s="256"/>
      <c r="WRR233" s="257"/>
      <c r="WRT233" s="242"/>
      <c r="WRU233" s="256"/>
      <c r="WRV233" s="257"/>
      <c r="WRX233" s="242"/>
      <c r="WRY233" s="256"/>
      <c r="WRZ233" s="257"/>
      <c r="WSB233" s="242"/>
      <c r="WSC233" s="256"/>
      <c r="WSD233" s="257"/>
      <c r="WSF233" s="242"/>
      <c r="WSG233" s="256"/>
      <c r="WSH233" s="257"/>
      <c r="WSJ233" s="242"/>
      <c r="WSK233" s="256"/>
      <c r="WSL233" s="257"/>
      <c r="WSN233" s="242"/>
      <c r="WSO233" s="256"/>
      <c r="WSP233" s="257"/>
      <c r="WSR233" s="242"/>
      <c r="WSS233" s="256"/>
      <c r="WST233" s="257"/>
      <c r="WSV233" s="242"/>
      <c r="WSW233" s="256"/>
      <c r="WSX233" s="257"/>
      <c r="WSZ233" s="242"/>
      <c r="WTA233" s="256"/>
      <c r="WTB233" s="257"/>
      <c r="WTD233" s="242"/>
      <c r="WTE233" s="256"/>
      <c r="WTF233" s="257"/>
      <c r="WTH233" s="242"/>
      <c r="WTI233" s="256"/>
      <c r="WTJ233" s="257"/>
      <c r="WTL233" s="242"/>
      <c r="WTM233" s="256"/>
      <c r="WTN233" s="257"/>
      <c r="WTP233" s="242"/>
      <c r="WTQ233" s="256"/>
      <c r="WTR233" s="257"/>
      <c r="WTT233" s="242"/>
      <c r="WTU233" s="256"/>
      <c r="WTV233" s="257"/>
      <c r="WTX233" s="242"/>
      <c r="WTY233" s="256"/>
      <c r="WTZ233" s="257"/>
      <c r="WUB233" s="242"/>
      <c r="WUC233" s="256"/>
      <c r="WUD233" s="257"/>
      <c r="WUF233" s="242"/>
      <c r="WUG233" s="256"/>
      <c r="WUH233" s="257"/>
      <c r="WUJ233" s="242"/>
      <c r="WUK233" s="256"/>
      <c r="WUL233" s="257"/>
      <c r="WUN233" s="242"/>
      <c r="WUO233" s="256"/>
      <c r="WUP233" s="257"/>
      <c r="WUR233" s="242"/>
      <c r="WUS233" s="256"/>
      <c r="WUT233" s="257"/>
      <c r="WUV233" s="242"/>
      <c r="WUW233" s="256"/>
      <c r="WUX233" s="257"/>
      <c r="WUZ233" s="242"/>
      <c r="WVA233" s="256"/>
      <c r="WVB233" s="257"/>
      <c r="WVD233" s="242"/>
      <c r="WVE233" s="256"/>
      <c r="WVF233" s="257"/>
      <c r="WVH233" s="242"/>
      <c r="WVI233" s="256"/>
      <c r="WVJ233" s="257"/>
      <c r="WVL233" s="242"/>
      <c r="WVM233" s="256"/>
      <c r="WVN233" s="257"/>
      <c r="WVP233" s="242"/>
      <c r="WVQ233" s="256"/>
      <c r="WVR233" s="257"/>
      <c r="WVT233" s="242"/>
      <c r="WVU233" s="256"/>
      <c r="WVV233" s="257"/>
      <c r="WVX233" s="242"/>
      <c r="WVY233" s="256"/>
      <c r="WVZ233" s="257"/>
      <c r="WWB233" s="242"/>
      <c r="WWC233" s="256"/>
      <c r="WWD233" s="257"/>
      <c r="WWF233" s="242"/>
      <c r="WWG233" s="256"/>
      <c r="WWH233" s="257"/>
      <c r="WWJ233" s="242"/>
      <c r="WWK233" s="256"/>
      <c r="WWL233" s="257"/>
      <c r="WWN233" s="242"/>
      <c r="WWO233" s="256"/>
      <c r="WWP233" s="257"/>
      <c r="WWR233" s="242"/>
      <c r="WWS233" s="256"/>
      <c r="WWT233" s="257"/>
      <c r="WWV233" s="242"/>
      <c r="WWW233" s="256"/>
      <c r="WWX233" s="257"/>
      <c r="WWZ233" s="242"/>
      <c r="WXA233" s="256"/>
      <c r="WXB233" s="257"/>
      <c r="WXD233" s="242"/>
      <c r="WXE233" s="256"/>
      <c r="WXF233" s="257"/>
      <c r="WXH233" s="242"/>
      <c r="WXI233" s="256"/>
      <c r="WXJ233" s="257"/>
      <c r="WXL233" s="242"/>
      <c r="WXM233" s="256"/>
      <c r="WXN233" s="257"/>
      <c r="WXP233" s="242"/>
      <c r="WXQ233" s="256"/>
      <c r="WXR233" s="257"/>
      <c r="WXT233" s="242"/>
      <c r="WXU233" s="256"/>
      <c r="WXV233" s="257"/>
      <c r="WXX233" s="242"/>
      <c r="WXY233" s="256"/>
      <c r="WXZ233" s="257"/>
      <c r="WYB233" s="242"/>
      <c r="WYC233" s="256"/>
      <c r="WYD233" s="257"/>
      <c r="WYF233" s="242"/>
      <c r="WYG233" s="256"/>
      <c r="WYH233" s="257"/>
      <c r="WYJ233" s="242"/>
      <c r="WYK233" s="256"/>
      <c r="WYL233" s="257"/>
      <c r="WYN233" s="242"/>
      <c r="WYO233" s="256"/>
      <c r="WYP233" s="257"/>
      <c r="WYR233" s="242"/>
      <c r="WYS233" s="256"/>
      <c r="WYT233" s="257"/>
      <c r="WYV233" s="242"/>
      <c r="WYW233" s="256"/>
      <c r="WYX233" s="257"/>
      <c r="WYZ233" s="242"/>
      <c r="WZA233" s="256"/>
      <c r="WZB233" s="257"/>
      <c r="WZD233" s="242"/>
      <c r="WZE233" s="256"/>
      <c r="WZF233" s="257"/>
      <c r="WZH233" s="242"/>
      <c r="WZI233" s="256"/>
      <c r="WZJ233" s="257"/>
      <c r="WZL233" s="242"/>
      <c r="WZM233" s="256"/>
      <c r="WZN233" s="257"/>
      <c r="WZP233" s="242"/>
      <c r="WZQ233" s="256"/>
      <c r="WZR233" s="257"/>
      <c r="WZT233" s="242"/>
      <c r="WZU233" s="256"/>
      <c r="WZV233" s="257"/>
      <c r="WZX233" s="242"/>
      <c r="WZY233" s="256"/>
      <c r="WZZ233" s="257"/>
      <c r="XAB233" s="242"/>
      <c r="XAC233" s="256"/>
      <c r="XAD233" s="257"/>
      <c r="XAF233" s="242"/>
      <c r="XAG233" s="256"/>
      <c r="XAH233" s="257"/>
      <c r="XAJ233" s="242"/>
      <c r="XAK233" s="256"/>
      <c r="XAL233" s="257"/>
      <c r="XAN233" s="242"/>
      <c r="XAO233" s="256"/>
      <c r="XAP233" s="257"/>
      <c r="XAR233" s="242"/>
      <c r="XAS233" s="256"/>
      <c r="XAT233" s="257"/>
      <c r="XAV233" s="242"/>
      <c r="XAW233" s="256"/>
      <c r="XAX233" s="257"/>
      <c r="XAZ233" s="242"/>
      <c r="XBA233" s="256"/>
      <c r="XBB233" s="257"/>
      <c r="XBD233" s="242"/>
      <c r="XBE233" s="256"/>
      <c r="XBF233" s="257"/>
      <c r="XBH233" s="242"/>
      <c r="XBI233" s="256"/>
      <c r="XBJ233" s="257"/>
      <c r="XBL233" s="242"/>
      <c r="XBM233" s="256"/>
      <c r="XBN233" s="257"/>
      <c r="XBP233" s="242"/>
      <c r="XBQ233" s="256"/>
      <c r="XBR233" s="257"/>
      <c r="XBT233" s="242"/>
      <c r="XBU233" s="256"/>
      <c r="XBV233" s="257"/>
      <c r="XBX233" s="242"/>
      <c r="XBY233" s="256"/>
      <c r="XBZ233" s="257"/>
      <c r="XCB233" s="242"/>
      <c r="XCC233" s="256"/>
      <c r="XCD233" s="257"/>
      <c r="XCF233" s="242"/>
      <c r="XCG233" s="256"/>
      <c r="XCH233" s="257"/>
      <c r="XCJ233" s="242"/>
      <c r="XCK233" s="256"/>
      <c r="XCL233" s="257"/>
      <c r="XCN233" s="242"/>
      <c r="XCO233" s="256"/>
      <c r="XCP233" s="257"/>
      <c r="XCR233" s="242"/>
      <c r="XCS233" s="256"/>
      <c r="XCT233" s="257"/>
      <c r="XCV233" s="242"/>
      <c r="XCW233" s="256"/>
      <c r="XCX233" s="257"/>
      <c r="XCZ233" s="242"/>
      <c r="XDA233" s="256"/>
      <c r="XDB233" s="257"/>
      <c r="XDD233" s="242"/>
      <c r="XDE233" s="256"/>
      <c r="XDF233" s="257"/>
      <c r="XDH233" s="242"/>
      <c r="XDI233" s="256"/>
      <c r="XDJ233" s="257"/>
      <c r="XDL233" s="242"/>
      <c r="XDM233" s="256"/>
      <c r="XDN233" s="257"/>
      <c r="XDP233" s="242"/>
      <c r="XDQ233" s="256"/>
      <c r="XDR233" s="257"/>
      <c r="XDT233" s="242"/>
      <c r="XDU233" s="256"/>
      <c r="XDV233" s="257"/>
      <c r="XDX233" s="242"/>
      <c r="XDY233" s="256"/>
      <c r="XDZ233" s="257"/>
      <c r="XEB233" s="242"/>
      <c r="XEC233" s="256"/>
      <c r="XED233" s="257"/>
      <c r="XEF233" s="242"/>
      <c r="XEG233" s="256"/>
      <c r="XEH233" s="257"/>
      <c r="XEJ233" s="242"/>
      <c r="XEK233" s="256"/>
      <c r="XEL233" s="257"/>
      <c r="XEN233" s="242"/>
      <c r="XEO233" s="256"/>
      <c r="XEP233" s="257"/>
      <c r="XER233" s="242"/>
      <c r="XES233" s="256"/>
      <c r="XET233" s="257"/>
      <c r="XEV233" s="242"/>
      <c r="XEW233" s="256"/>
      <c r="XEX233" s="257"/>
      <c r="XEZ233" s="242"/>
      <c r="XFA233" s="256"/>
      <c r="XFB233" s="257"/>
      <c r="XFD233" s="242"/>
    </row>
    <row r="234" spans="1:16384" ht="23.1" customHeight="1" x14ac:dyDescent="0.3">
      <c r="A234" s="290">
        <v>-1323464196</v>
      </c>
      <c r="B234" s="133" t="s">
        <v>180</v>
      </c>
      <c r="C234" s="184" t="s">
        <v>180</v>
      </c>
      <c r="D234" s="140">
        <f>A234</f>
        <v>-1323464196</v>
      </c>
      <c r="E234" s="255" t="s">
        <v>577</v>
      </c>
      <c r="H234" s="242"/>
      <c r="I234" s="255"/>
      <c r="L234" s="242"/>
      <c r="M234" s="255"/>
      <c r="P234" s="242"/>
      <c r="Q234" s="255"/>
      <c r="T234" s="242"/>
      <c r="U234" s="255"/>
      <c r="X234" s="242"/>
      <c r="Y234" s="255"/>
      <c r="AB234" s="242"/>
      <c r="AC234" s="255"/>
      <c r="AF234" s="242"/>
      <c r="AG234" s="255"/>
      <c r="AJ234" s="242"/>
      <c r="AK234" s="255"/>
      <c r="AN234" s="242"/>
      <c r="AO234" s="255"/>
      <c r="AR234" s="242"/>
      <c r="AS234" s="255"/>
      <c r="AV234" s="242"/>
      <c r="AW234" s="255"/>
      <c r="AZ234" s="242"/>
      <c r="BA234" s="255"/>
      <c r="BD234" s="242"/>
      <c r="BE234" s="255"/>
      <c r="BH234" s="242"/>
      <c r="BI234" s="255"/>
      <c r="BL234" s="242"/>
      <c r="BM234" s="255"/>
      <c r="BP234" s="242"/>
      <c r="BQ234" s="255"/>
      <c r="BT234" s="242"/>
      <c r="BU234" s="255"/>
      <c r="BX234" s="242"/>
      <c r="BY234" s="255"/>
      <c r="CB234" s="242"/>
      <c r="CC234" s="255"/>
      <c r="CF234" s="242"/>
      <c r="CG234" s="255"/>
      <c r="CJ234" s="242"/>
      <c r="CK234" s="255"/>
      <c r="CN234" s="242"/>
      <c r="CO234" s="255"/>
      <c r="CR234" s="242"/>
      <c r="CS234" s="255"/>
      <c r="CV234" s="242"/>
      <c r="CW234" s="255"/>
      <c r="CZ234" s="242"/>
      <c r="DA234" s="255"/>
      <c r="DD234" s="242"/>
      <c r="DE234" s="255"/>
      <c r="DH234" s="242"/>
      <c r="DI234" s="255"/>
      <c r="DL234" s="242"/>
      <c r="DM234" s="255"/>
      <c r="DP234" s="242"/>
      <c r="DQ234" s="255"/>
      <c r="DT234" s="242"/>
      <c r="DU234" s="255"/>
      <c r="DX234" s="242"/>
      <c r="DY234" s="255"/>
      <c r="EB234" s="242"/>
      <c r="EC234" s="255"/>
      <c r="EF234" s="242"/>
      <c r="EG234" s="255"/>
      <c r="EJ234" s="242"/>
      <c r="EK234" s="255"/>
      <c r="EN234" s="242"/>
      <c r="EO234" s="255"/>
      <c r="ER234" s="242"/>
      <c r="ES234" s="255"/>
      <c r="EV234" s="242"/>
      <c r="EW234" s="255"/>
      <c r="EZ234" s="242"/>
      <c r="FA234" s="255"/>
      <c r="FD234" s="242"/>
      <c r="FE234" s="255"/>
      <c r="FH234" s="242"/>
      <c r="FI234" s="255"/>
      <c r="FL234" s="242"/>
      <c r="FM234" s="255"/>
      <c r="FP234" s="242"/>
      <c r="FQ234" s="255"/>
      <c r="FT234" s="242"/>
      <c r="FU234" s="255"/>
      <c r="FX234" s="242"/>
      <c r="FY234" s="255"/>
      <c r="GB234" s="242"/>
      <c r="GC234" s="255"/>
      <c r="GF234" s="242"/>
      <c r="GG234" s="255"/>
      <c r="GJ234" s="242"/>
      <c r="GK234" s="255"/>
      <c r="GN234" s="242"/>
      <c r="GO234" s="255"/>
      <c r="GR234" s="242"/>
      <c r="GS234" s="255"/>
      <c r="GV234" s="242"/>
      <c r="GW234" s="255"/>
      <c r="GZ234" s="242"/>
      <c r="HA234" s="255"/>
      <c r="HD234" s="242"/>
      <c r="HE234" s="255"/>
      <c r="HH234" s="242"/>
      <c r="HI234" s="255"/>
      <c r="HL234" s="242"/>
      <c r="HM234" s="255"/>
      <c r="HP234" s="242"/>
      <c r="HQ234" s="255"/>
      <c r="HT234" s="242"/>
      <c r="HU234" s="255"/>
      <c r="HX234" s="242"/>
      <c r="HY234" s="255"/>
      <c r="IB234" s="242"/>
      <c r="IC234" s="255"/>
      <c r="IF234" s="242"/>
      <c r="IG234" s="255"/>
      <c r="IJ234" s="242"/>
      <c r="IK234" s="255"/>
      <c r="IN234" s="242"/>
      <c r="IO234" s="255"/>
      <c r="IR234" s="242"/>
      <c r="IS234" s="255"/>
      <c r="IV234" s="242"/>
      <c r="IW234" s="255"/>
      <c r="IZ234" s="242"/>
      <c r="JA234" s="255"/>
      <c r="JD234" s="242"/>
      <c r="JE234" s="255"/>
      <c r="JH234" s="242"/>
      <c r="JI234" s="255"/>
      <c r="JL234" s="242"/>
      <c r="JM234" s="255"/>
      <c r="JP234" s="242"/>
      <c r="JQ234" s="255"/>
      <c r="JT234" s="242"/>
      <c r="JU234" s="255"/>
      <c r="JX234" s="242"/>
      <c r="JY234" s="255"/>
      <c r="KB234" s="242"/>
      <c r="KC234" s="255"/>
      <c r="KF234" s="242"/>
      <c r="KG234" s="255"/>
      <c r="KJ234" s="242"/>
      <c r="KK234" s="255"/>
      <c r="KN234" s="242"/>
      <c r="KO234" s="255"/>
      <c r="KR234" s="242"/>
      <c r="KS234" s="255"/>
      <c r="KV234" s="242"/>
      <c r="KW234" s="255"/>
      <c r="KZ234" s="242"/>
      <c r="LA234" s="255"/>
      <c r="LD234" s="242"/>
      <c r="LE234" s="255"/>
      <c r="LH234" s="242"/>
      <c r="LI234" s="255"/>
      <c r="LL234" s="242"/>
      <c r="LM234" s="255"/>
      <c r="LP234" s="242"/>
      <c r="LQ234" s="255"/>
      <c r="LT234" s="242"/>
      <c r="LU234" s="255"/>
      <c r="LX234" s="242"/>
      <c r="LY234" s="255"/>
      <c r="MB234" s="242"/>
      <c r="MC234" s="255"/>
      <c r="MF234" s="242"/>
      <c r="MG234" s="255"/>
      <c r="MJ234" s="242"/>
      <c r="MK234" s="255"/>
      <c r="MN234" s="242"/>
      <c r="MO234" s="255"/>
      <c r="MR234" s="242"/>
      <c r="MS234" s="255"/>
      <c r="MV234" s="242"/>
      <c r="MW234" s="255"/>
      <c r="MZ234" s="242"/>
      <c r="NA234" s="255"/>
      <c r="ND234" s="242"/>
      <c r="NE234" s="255"/>
      <c r="NH234" s="242"/>
      <c r="NI234" s="255"/>
      <c r="NL234" s="242"/>
      <c r="NM234" s="255"/>
      <c r="NP234" s="242"/>
      <c r="NQ234" s="255"/>
      <c r="NT234" s="242"/>
      <c r="NU234" s="255"/>
      <c r="NX234" s="242"/>
      <c r="NY234" s="255"/>
      <c r="OB234" s="242"/>
      <c r="OC234" s="255"/>
      <c r="OF234" s="242"/>
      <c r="OG234" s="255"/>
      <c r="OJ234" s="242"/>
      <c r="OK234" s="255"/>
      <c r="ON234" s="242"/>
      <c r="OO234" s="255"/>
      <c r="OR234" s="242"/>
      <c r="OS234" s="255"/>
      <c r="OV234" s="242"/>
      <c r="OW234" s="255"/>
      <c r="OZ234" s="242"/>
      <c r="PA234" s="255"/>
      <c r="PD234" s="242"/>
      <c r="PE234" s="255"/>
      <c r="PH234" s="242"/>
      <c r="PI234" s="255"/>
      <c r="PL234" s="242"/>
      <c r="PM234" s="255"/>
      <c r="PP234" s="242"/>
      <c r="PQ234" s="255"/>
      <c r="PT234" s="242"/>
      <c r="PU234" s="255"/>
      <c r="PX234" s="242"/>
      <c r="PY234" s="255"/>
      <c r="QB234" s="242"/>
      <c r="QC234" s="255"/>
      <c r="QF234" s="242"/>
      <c r="QG234" s="255"/>
      <c r="QJ234" s="242"/>
      <c r="QK234" s="255"/>
      <c r="QN234" s="242"/>
      <c r="QO234" s="255"/>
      <c r="QR234" s="242"/>
      <c r="QS234" s="255"/>
      <c r="QV234" s="242"/>
      <c r="QW234" s="255"/>
      <c r="QZ234" s="242"/>
      <c r="RA234" s="255"/>
      <c r="RD234" s="242"/>
      <c r="RE234" s="255"/>
      <c r="RH234" s="242"/>
      <c r="RI234" s="255"/>
      <c r="RL234" s="242"/>
      <c r="RM234" s="255"/>
      <c r="RP234" s="242"/>
      <c r="RQ234" s="255"/>
      <c r="RT234" s="242"/>
      <c r="RU234" s="255"/>
      <c r="RX234" s="242"/>
      <c r="RY234" s="255"/>
      <c r="SB234" s="242"/>
      <c r="SC234" s="255"/>
      <c r="SF234" s="242"/>
      <c r="SG234" s="255"/>
      <c r="SJ234" s="242"/>
      <c r="SK234" s="255"/>
      <c r="SN234" s="242"/>
      <c r="SO234" s="255"/>
      <c r="SR234" s="242"/>
      <c r="SS234" s="255"/>
      <c r="SV234" s="242"/>
      <c r="SW234" s="255"/>
      <c r="SZ234" s="242"/>
      <c r="TA234" s="255"/>
      <c r="TD234" s="242"/>
      <c r="TE234" s="255"/>
      <c r="TH234" s="242"/>
      <c r="TI234" s="255"/>
      <c r="TL234" s="242"/>
      <c r="TM234" s="255"/>
      <c r="TP234" s="242"/>
      <c r="TQ234" s="255"/>
      <c r="TT234" s="242"/>
      <c r="TU234" s="255"/>
      <c r="TX234" s="242"/>
      <c r="TY234" s="255"/>
      <c r="UB234" s="242"/>
      <c r="UC234" s="255"/>
      <c r="UF234" s="242"/>
      <c r="UG234" s="255"/>
      <c r="UJ234" s="242"/>
      <c r="UK234" s="255"/>
      <c r="UN234" s="242"/>
      <c r="UO234" s="255"/>
      <c r="UR234" s="242"/>
      <c r="US234" s="255"/>
      <c r="UV234" s="242"/>
      <c r="UW234" s="255"/>
      <c r="UZ234" s="242"/>
      <c r="VA234" s="255"/>
      <c r="VD234" s="242"/>
      <c r="VE234" s="255"/>
      <c r="VH234" s="242"/>
      <c r="VI234" s="255"/>
      <c r="VL234" s="242"/>
      <c r="VM234" s="255"/>
      <c r="VP234" s="242"/>
      <c r="VQ234" s="255"/>
      <c r="VT234" s="242"/>
      <c r="VU234" s="255"/>
      <c r="VX234" s="242"/>
      <c r="VY234" s="255"/>
      <c r="WB234" s="242"/>
      <c r="WC234" s="255"/>
      <c r="WF234" s="242"/>
      <c r="WG234" s="255"/>
      <c r="WJ234" s="242"/>
      <c r="WK234" s="255"/>
      <c r="WN234" s="242"/>
      <c r="WO234" s="255"/>
      <c r="WR234" s="242"/>
      <c r="WS234" s="255"/>
      <c r="WV234" s="242"/>
      <c r="WW234" s="255"/>
      <c r="WZ234" s="242"/>
      <c r="XA234" s="255"/>
      <c r="XD234" s="242"/>
      <c r="XE234" s="255"/>
      <c r="XH234" s="242"/>
      <c r="XI234" s="255"/>
      <c r="XL234" s="242"/>
      <c r="XM234" s="255"/>
      <c r="XP234" s="242"/>
      <c r="XQ234" s="255"/>
      <c r="XT234" s="242"/>
      <c r="XU234" s="255"/>
      <c r="XX234" s="242"/>
      <c r="XY234" s="255"/>
      <c r="YB234" s="242"/>
      <c r="YC234" s="255"/>
      <c r="YF234" s="242"/>
      <c r="YG234" s="255"/>
      <c r="YJ234" s="242"/>
      <c r="YK234" s="255"/>
      <c r="YN234" s="242"/>
      <c r="YO234" s="255"/>
      <c r="YR234" s="242"/>
      <c r="YS234" s="255"/>
      <c r="YV234" s="242"/>
      <c r="YW234" s="255"/>
      <c r="YZ234" s="242"/>
      <c r="ZA234" s="255"/>
      <c r="ZD234" s="242"/>
      <c r="ZE234" s="255"/>
      <c r="ZH234" s="242"/>
      <c r="ZI234" s="255"/>
      <c r="ZL234" s="242"/>
      <c r="ZM234" s="255"/>
      <c r="ZP234" s="242"/>
      <c r="ZQ234" s="255"/>
      <c r="ZT234" s="242"/>
      <c r="ZU234" s="255"/>
      <c r="ZX234" s="242"/>
      <c r="ZY234" s="255"/>
      <c r="AAB234" s="242"/>
      <c r="AAC234" s="255"/>
      <c r="AAF234" s="242"/>
      <c r="AAG234" s="255"/>
      <c r="AAJ234" s="242"/>
      <c r="AAK234" s="255"/>
      <c r="AAN234" s="242"/>
      <c r="AAO234" s="255"/>
      <c r="AAR234" s="242"/>
      <c r="AAS234" s="255"/>
      <c r="AAV234" s="242"/>
      <c r="AAW234" s="255"/>
      <c r="AAZ234" s="242"/>
      <c r="ABA234" s="255"/>
      <c r="ABD234" s="242"/>
      <c r="ABE234" s="255"/>
      <c r="ABH234" s="242"/>
      <c r="ABI234" s="255"/>
      <c r="ABL234" s="242"/>
      <c r="ABM234" s="255"/>
      <c r="ABP234" s="242"/>
      <c r="ABQ234" s="255"/>
      <c r="ABT234" s="242"/>
      <c r="ABU234" s="255"/>
      <c r="ABX234" s="242"/>
      <c r="ABY234" s="255"/>
      <c r="ACB234" s="242"/>
      <c r="ACC234" s="255"/>
      <c r="ACF234" s="242"/>
      <c r="ACG234" s="255"/>
      <c r="ACJ234" s="242"/>
      <c r="ACK234" s="255"/>
      <c r="ACN234" s="242"/>
      <c r="ACO234" s="255"/>
      <c r="ACR234" s="242"/>
      <c r="ACS234" s="255"/>
      <c r="ACV234" s="242"/>
      <c r="ACW234" s="255"/>
      <c r="ACZ234" s="242"/>
      <c r="ADA234" s="255"/>
      <c r="ADD234" s="242"/>
      <c r="ADE234" s="255"/>
      <c r="ADH234" s="242"/>
      <c r="ADI234" s="255"/>
      <c r="ADL234" s="242"/>
      <c r="ADM234" s="255"/>
      <c r="ADP234" s="242"/>
      <c r="ADQ234" s="255"/>
      <c r="ADT234" s="242"/>
      <c r="ADU234" s="255"/>
      <c r="ADX234" s="242"/>
      <c r="ADY234" s="255"/>
      <c r="AEB234" s="242"/>
      <c r="AEC234" s="255"/>
      <c r="AEF234" s="242"/>
      <c r="AEG234" s="255"/>
      <c r="AEJ234" s="242"/>
      <c r="AEK234" s="255"/>
      <c r="AEN234" s="242"/>
      <c r="AEO234" s="255"/>
      <c r="AER234" s="242"/>
      <c r="AES234" s="255"/>
      <c r="AEV234" s="242"/>
      <c r="AEW234" s="255"/>
      <c r="AEZ234" s="242"/>
      <c r="AFA234" s="255"/>
      <c r="AFD234" s="242"/>
      <c r="AFE234" s="255"/>
      <c r="AFH234" s="242"/>
      <c r="AFI234" s="255"/>
      <c r="AFL234" s="242"/>
      <c r="AFM234" s="255"/>
      <c r="AFP234" s="242"/>
      <c r="AFQ234" s="255"/>
      <c r="AFT234" s="242"/>
      <c r="AFU234" s="255"/>
      <c r="AFX234" s="242"/>
      <c r="AFY234" s="255"/>
      <c r="AGB234" s="242"/>
      <c r="AGC234" s="255"/>
      <c r="AGF234" s="242"/>
      <c r="AGG234" s="255"/>
      <c r="AGJ234" s="242"/>
      <c r="AGK234" s="255"/>
      <c r="AGN234" s="242"/>
      <c r="AGO234" s="255"/>
      <c r="AGR234" s="242"/>
      <c r="AGS234" s="255"/>
      <c r="AGV234" s="242"/>
      <c r="AGW234" s="255"/>
      <c r="AGZ234" s="242"/>
      <c r="AHA234" s="255"/>
      <c r="AHD234" s="242"/>
      <c r="AHE234" s="255"/>
      <c r="AHH234" s="242"/>
      <c r="AHI234" s="255"/>
      <c r="AHL234" s="242"/>
      <c r="AHM234" s="255"/>
      <c r="AHP234" s="242"/>
      <c r="AHQ234" s="255"/>
      <c r="AHT234" s="242"/>
      <c r="AHU234" s="255"/>
      <c r="AHX234" s="242"/>
      <c r="AHY234" s="255"/>
      <c r="AIB234" s="242"/>
      <c r="AIC234" s="255"/>
      <c r="AIF234" s="242"/>
      <c r="AIG234" s="255"/>
      <c r="AIJ234" s="242"/>
      <c r="AIK234" s="255"/>
      <c r="AIN234" s="242"/>
      <c r="AIO234" s="255"/>
      <c r="AIR234" s="242"/>
      <c r="AIS234" s="255"/>
      <c r="AIV234" s="242"/>
      <c r="AIW234" s="255"/>
      <c r="AIZ234" s="242"/>
      <c r="AJA234" s="255"/>
      <c r="AJD234" s="242"/>
      <c r="AJE234" s="255"/>
      <c r="AJH234" s="242"/>
      <c r="AJI234" s="255"/>
      <c r="AJL234" s="242"/>
      <c r="AJM234" s="255"/>
      <c r="AJP234" s="242"/>
      <c r="AJQ234" s="255"/>
      <c r="AJT234" s="242"/>
      <c r="AJU234" s="255"/>
      <c r="AJX234" s="242"/>
      <c r="AJY234" s="255"/>
      <c r="AKB234" s="242"/>
      <c r="AKC234" s="255"/>
      <c r="AKF234" s="242"/>
      <c r="AKG234" s="255"/>
      <c r="AKJ234" s="242"/>
      <c r="AKK234" s="255"/>
      <c r="AKN234" s="242"/>
      <c r="AKO234" s="255"/>
      <c r="AKR234" s="242"/>
      <c r="AKS234" s="255"/>
      <c r="AKV234" s="242"/>
      <c r="AKW234" s="255"/>
      <c r="AKZ234" s="242"/>
      <c r="ALA234" s="255"/>
      <c r="ALD234" s="242"/>
      <c r="ALE234" s="255"/>
      <c r="ALH234" s="242"/>
      <c r="ALI234" s="255"/>
      <c r="ALL234" s="242"/>
      <c r="ALM234" s="255"/>
      <c r="ALP234" s="242"/>
      <c r="ALQ234" s="255"/>
      <c r="ALT234" s="242"/>
      <c r="ALU234" s="255"/>
      <c r="ALX234" s="242"/>
      <c r="ALY234" s="255"/>
      <c r="AMB234" s="242"/>
      <c r="AMC234" s="255"/>
      <c r="AMF234" s="242"/>
      <c r="AMG234" s="255"/>
      <c r="AMJ234" s="242"/>
      <c r="AMK234" s="255"/>
      <c r="AMN234" s="242"/>
      <c r="AMO234" s="255"/>
      <c r="AMR234" s="242"/>
      <c r="AMS234" s="255"/>
      <c r="AMV234" s="242"/>
      <c r="AMW234" s="255"/>
      <c r="AMZ234" s="242"/>
      <c r="ANA234" s="255"/>
      <c r="AND234" s="242"/>
      <c r="ANE234" s="255"/>
      <c r="ANH234" s="242"/>
      <c r="ANI234" s="255"/>
      <c r="ANL234" s="242"/>
      <c r="ANM234" s="255"/>
      <c r="ANP234" s="242"/>
      <c r="ANQ234" s="255"/>
      <c r="ANT234" s="242"/>
      <c r="ANU234" s="255"/>
      <c r="ANX234" s="242"/>
      <c r="ANY234" s="255"/>
      <c r="AOB234" s="242"/>
      <c r="AOC234" s="255"/>
      <c r="AOF234" s="242"/>
      <c r="AOG234" s="255"/>
      <c r="AOJ234" s="242"/>
      <c r="AOK234" s="255"/>
      <c r="AON234" s="242"/>
      <c r="AOO234" s="255"/>
      <c r="AOR234" s="242"/>
      <c r="AOS234" s="255"/>
      <c r="AOV234" s="242"/>
      <c r="AOW234" s="255"/>
      <c r="AOZ234" s="242"/>
      <c r="APA234" s="255"/>
      <c r="APD234" s="242"/>
      <c r="APE234" s="255"/>
      <c r="APH234" s="242"/>
      <c r="API234" s="255"/>
      <c r="APL234" s="242"/>
      <c r="APM234" s="255"/>
      <c r="APP234" s="242"/>
      <c r="APQ234" s="255"/>
      <c r="APT234" s="242"/>
      <c r="APU234" s="255"/>
      <c r="APX234" s="242"/>
      <c r="APY234" s="255"/>
      <c r="AQB234" s="242"/>
      <c r="AQC234" s="255"/>
      <c r="AQF234" s="242"/>
      <c r="AQG234" s="255"/>
      <c r="AQJ234" s="242"/>
      <c r="AQK234" s="255"/>
      <c r="AQN234" s="242"/>
      <c r="AQO234" s="255"/>
      <c r="AQR234" s="242"/>
      <c r="AQS234" s="255"/>
      <c r="AQV234" s="242"/>
      <c r="AQW234" s="255"/>
      <c r="AQZ234" s="242"/>
      <c r="ARA234" s="255"/>
      <c r="ARD234" s="242"/>
      <c r="ARE234" s="255"/>
      <c r="ARH234" s="242"/>
      <c r="ARI234" s="255"/>
      <c r="ARL234" s="242"/>
      <c r="ARM234" s="255"/>
      <c r="ARP234" s="242"/>
      <c r="ARQ234" s="255"/>
      <c r="ART234" s="242"/>
      <c r="ARU234" s="255"/>
      <c r="ARX234" s="242"/>
      <c r="ARY234" s="255"/>
      <c r="ASB234" s="242"/>
      <c r="ASC234" s="255"/>
      <c r="ASF234" s="242"/>
      <c r="ASG234" s="255"/>
      <c r="ASJ234" s="242"/>
      <c r="ASK234" s="255"/>
      <c r="ASN234" s="242"/>
      <c r="ASO234" s="255"/>
      <c r="ASR234" s="242"/>
      <c r="ASS234" s="255"/>
      <c r="ASV234" s="242"/>
      <c r="ASW234" s="255"/>
      <c r="ASZ234" s="242"/>
      <c r="ATA234" s="255"/>
      <c r="ATD234" s="242"/>
      <c r="ATE234" s="255"/>
      <c r="ATH234" s="242"/>
      <c r="ATI234" s="255"/>
      <c r="ATL234" s="242"/>
      <c r="ATM234" s="255"/>
      <c r="ATP234" s="242"/>
      <c r="ATQ234" s="255"/>
      <c r="ATT234" s="242"/>
      <c r="ATU234" s="255"/>
      <c r="ATX234" s="242"/>
      <c r="ATY234" s="255"/>
      <c r="AUB234" s="242"/>
      <c r="AUC234" s="255"/>
      <c r="AUF234" s="242"/>
      <c r="AUG234" s="255"/>
      <c r="AUJ234" s="242"/>
      <c r="AUK234" s="255"/>
      <c r="AUN234" s="242"/>
      <c r="AUO234" s="255"/>
      <c r="AUR234" s="242"/>
      <c r="AUS234" s="255"/>
      <c r="AUV234" s="242"/>
      <c r="AUW234" s="255"/>
      <c r="AUZ234" s="242"/>
      <c r="AVA234" s="255"/>
      <c r="AVD234" s="242"/>
      <c r="AVE234" s="255"/>
      <c r="AVH234" s="242"/>
      <c r="AVI234" s="255"/>
      <c r="AVL234" s="242"/>
      <c r="AVM234" s="255"/>
      <c r="AVP234" s="242"/>
      <c r="AVQ234" s="255"/>
      <c r="AVT234" s="242"/>
      <c r="AVU234" s="255"/>
      <c r="AVX234" s="242"/>
      <c r="AVY234" s="255"/>
      <c r="AWB234" s="242"/>
      <c r="AWC234" s="255"/>
      <c r="AWF234" s="242"/>
      <c r="AWG234" s="255"/>
      <c r="AWJ234" s="242"/>
      <c r="AWK234" s="255"/>
      <c r="AWN234" s="242"/>
      <c r="AWO234" s="255"/>
      <c r="AWR234" s="242"/>
      <c r="AWS234" s="255"/>
      <c r="AWV234" s="242"/>
      <c r="AWW234" s="255"/>
      <c r="AWZ234" s="242"/>
      <c r="AXA234" s="255"/>
      <c r="AXD234" s="242"/>
      <c r="AXE234" s="255"/>
      <c r="AXH234" s="242"/>
      <c r="AXI234" s="255"/>
      <c r="AXL234" s="242"/>
      <c r="AXM234" s="255"/>
      <c r="AXP234" s="242"/>
      <c r="AXQ234" s="255"/>
      <c r="AXT234" s="242"/>
      <c r="AXU234" s="255"/>
      <c r="AXX234" s="242"/>
      <c r="AXY234" s="255"/>
      <c r="AYB234" s="242"/>
      <c r="AYC234" s="255"/>
      <c r="AYF234" s="242"/>
      <c r="AYG234" s="255"/>
      <c r="AYJ234" s="242"/>
      <c r="AYK234" s="255"/>
      <c r="AYN234" s="242"/>
      <c r="AYO234" s="255"/>
      <c r="AYR234" s="242"/>
      <c r="AYS234" s="255"/>
      <c r="AYV234" s="242"/>
      <c r="AYW234" s="255"/>
      <c r="AYZ234" s="242"/>
      <c r="AZA234" s="255"/>
      <c r="AZD234" s="242"/>
      <c r="AZE234" s="255"/>
      <c r="AZH234" s="242"/>
      <c r="AZI234" s="255"/>
      <c r="AZL234" s="242"/>
      <c r="AZM234" s="255"/>
      <c r="AZP234" s="242"/>
      <c r="AZQ234" s="255"/>
      <c r="AZT234" s="242"/>
      <c r="AZU234" s="255"/>
      <c r="AZX234" s="242"/>
      <c r="AZY234" s="255"/>
      <c r="BAB234" s="242"/>
      <c r="BAC234" s="255"/>
      <c r="BAF234" s="242"/>
      <c r="BAG234" s="255"/>
      <c r="BAJ234" s="242"/>
      <c r="BAK234" s="255"/>
      <c r="BAN234" s="242"/>
      <c r="BAO234" s="255"/>
      <c r="BAR234" s="242"/>
      <c r="BAS234" s="255"/>
      <c r="BAV234" s="242"/>
      <c r="BAW234" s="255"/>
      <c r="BAZ234" s="242"/>
      <c r="BBA234" s="255"/>
      <c r="BBD234" s="242"/>
      <c r="BBE234" s="255"/>
      <c r="BBH234" s="242"/>
      <c r="BBI234" s="255"/>
      <c r="BBL234" s="242"/>
      <c r="BBM234" s="255"/>
      <c r="BBP234" s="242"/>
      <c r="BBQ234" s="255"/>
      <c r="BBT234" s="242"/>
      <c r="BBU234" s="255"/>
      <c r="BBX234" s="242"/>
      <c r="BBY234" s="255"/>
      <c r="BCB234" s="242"/>
      <c r="BCC234" s="255"/>
      <c r="BCF234" s="242"/>
      <c r="BCG234" s="255"/>
      <c r="BCJ234" s="242"/>
      <c r="BCK234" s="255"/>
      <c r="BCN234" s="242"/>
      <c r="BCO234" s="255"/>
      <c r="BCR234" s="242"/>
      <c r="BCS234" s="255"/>
      <c r="BCV234" s="242"/>
      <c r="BCW234" s="255"/>
      <c r="BCZ234" s="242"/>
      <c r="BDA234" s="255"/>
      <c r="BDD234" s="242"/>
      <c r="BDE234" s="255"/>
      <c r="BDH234" s="242"/>
      <c r="BDI234" s="255"/>
      <c r="BDL234" s="242"/>
      <c r="BDM234" s="255"/>
      <c r="BDP234" s="242"/>
      <c r="BDQ234" s="255"/>
      <c r="BDT234" s="242"/>
      <c r="BDU234" s="255"/>
      <c r="BDX234" s="242"/>
      <c r="BDY234" s="255"/>
      <c r="BEB234" s="242"/>
      <c r="BEC234" s="255"/>
      <c r="BEF234" s="242"/>
      <c r="BEG234" s="255"/>
      <c r="BEJ234" s="242"/>
      <c r="BEK234" s="255"/>
      <c r="BEN234" s="242"/>
      <c r="BEO234" s="255"/>
      <c r="BER234" s="242"/>
      <c r="BES234" s="255"/>
      <c r="BEV234" s="242"/>
      <c r="BEW234" s="255"/>
      <c r="BEZ234" s="242"/>
      <c r="BFA234" s="255"/>
      <c r="BFD234" s="242"/>
      <c r="BFE234" s="255"/>
      <c r="BFH234" s="242"/>
      <c r="BFI234" s="255"/>
      <c r="BFL234" s="242"/>
      <c r="BFM234" s="255"/>
      <c r="BFP234" s="242"/>
      <c r="BFQ234" s="255"/>
      <c r="BFT234" s="242"/>
      <c r="BFU234" s="255"/>
      <c r="BFX234" s="242"/>
      <c r="BFY234" s="255"/>
      <c r="BGB234" s="242"/>
      <c r="BGC234" s="255"/>
      <c r="BGF234" s="242"/>
      <c r="BGG234" s="255"/>
      <c r="BGJ234" s="242"/>
      <c r="BGK234" s="255"/>
      <c r="BGN234" s="242"/>
      <c r="BGO234" s="255"/>
      <c r="BGR234" s="242"/>
      <c r="BGS234" s="255"/>
      <c r="BGV234" s="242"/>
      <c r="BGW234" s="255"/>
      <c r="BGZ234" s="242"/>
      <c r="BHA234" s="255"/>
      <c r="BHD234" s="242"/>
      <c r="BHE234" s="255"/>
      <c r="BHH234" s="242"/>
      <c r="BHI234" s="255"/>
      <c r="BHL234" s="242"/>
      <c r="BHM234" s="255"/>
      <c r="BHP234" s="242"/>
      <c r="BHQ234" s="255"/>
      <c r="BHT234" s="242"/>
      <c r="BHU234" s="255"/>
      <c r="BHX234" s="242"/>
      <c r="BHY234" s="255"/>
      <c r="BIB234" s="242"/>
      <c r="BIC234" s="255"/>
      <c r="BIF234" s="242"/>
      <c r="BIG234" s="255"/>
      <c r="BIJ234" s="242"/>
      <c r="BIK234" s="255"/>
      <c r="BIN234" s="242"/>
      <c r="BIO234" s="255"/>
      <c r="BIR234" s="242"/>
      <c r="BIS234" s="255"/>
      <c r="BIV234" s="242"/>
      <c r="BIW234" s="255"/>
      <c r="BIZ234" s="242"/>
      <c r="BJA234" s="255"/>
      <c r="BJD234" s="242"/>
      <c r="BJE234" s="255"/>
      <c r="BJH234" s="242"/>
      <c r="BJI234" s="255"/>
      <c r="BJL234" s="242"/>
      <c r="BJM234" s="255"/>
      <c r="BJP234" s="242"/>
      <c r="BJQ234" s="255"/>
      <c r="BJT234" s="242"/>
      <c r="BJU234" s="255"/>
      <c r="BJX234" s="242"/>
      <c r="BJY234" s="255"/>
      <c r="BKB234" s="242"/>
      <c r="BKC234" s="255"/>
      <c r="BKF234" s="242"/>
      <c r="BKG234" s="255"/>
      <c r="BKJ234" s="242"/>
      <c r="BKK234" s="255"/>
      <c r="BKN234" s="242"/>
      <c r="BKO234" s="255"/>
      <c r="BKR234" s="242"/>
      <c r="BKS234" s="255"/>
      <c r="BKV234" s="242"/>
      <c r="BKW234" s="255"/>
      <c r="BKZ234" s="242"/>
      <c r="BLA234" s="255"/>
      <c r="BLD234" s="242"/>
      <c r="BLE234" s="255"/>
      <c r="BLH234" s="242"/>
      <c r="BLI234" s="255"/>
      <c r="BLL234" s="242"/>
      <c r="BLM234" s="255"/>
      <c r="BLP234" s="242"/>
      <c r="BLQ234" s="255"/>
      <c r="BLT234" s="242"/>
      <c r="BLU234" s="255"/>
      <c r="BLX234" s="242"/>
      <c r="BLY234" s="255"/>
      <c r="BMB234" s="242"/>
      <c r="BMC234" s="255"/>
      <c r="BMF234" s="242"/>
      <c r="BMG234" s="255"/>
      <c r="BMJ234" s="242"/>
      <c r="BMK234" s="255"/>
      <c r="BMN234" s="242"/>
      <c r="BMO234" s="255"/>
      <c r="BMR234" s="242"/>
      <c r="BMS234" s="255"/>
      <c r="BMV234" s="242"/>
      <c r="BMW234" s="255"/>
      <c r="BMZ234" s="242"/>
      <c r="BNA234" s="255"/>
      <c r="BND234" s="242"/>
      <c r="BNE234" s="255"/>
      <c r="BNH234" s="242"/>
      <c r="BNI234" s="255"/>
      <c r="BNL234" s="242"/>
      <c r="BNM234" s="255"/>
      <c r="BNP234" s="242"/>
      <c r="BNQ234" s="255"/>
      <c r="BNT234" s="242"/>
      <c r="BNU234" s="255"/>
      <c r="BNX234" s="242"/>
      <c r="BNY234" s="255"/>
      <c r="BOB234" s="242"/>
      <c r="BOC234" s="255"/>
      <c r="BOF234" s="242"/>
      <c r="BOG234" s="255"/>
      <c r="BOJ234" s="242"/>
      <c r="BOK234" s="255"/>
      <c r="BON234" s="242"/>
      <c r="BOO234" s="255"/>
      <c r="BOR234" s="242"/>
      <c r="BOS234" s="255"/>
      <c r="BOV234" s="242"/>
      <c r="BOW234" s="255"/>
      <c r="BOZ234" s="242"/>
      <c r="BPA234" s="255"/>
      <c r="BPD234" s="242"/>
      <c r="BPE234" s="255"/>
      <c r="BPH234" s="242"/>
      <c r="BPI234" s="255"/>
      <c r="BPL234" s="242"/>
      <c r="BPM234" s="255"/>
      <c r="BPP234" s="242"/>
      <c r="BPQ234" s="255"/>
      <c r="BPT234" s="242"/>
      <c r="BPU234" s="255"/>
      <c r="BPX234" s="242"/>
      <c r="BPY234" s="255"/>
      <c r="BQB234" s="242"/>
      <c r="BQC234" s="255"/>
      <c r="BQF234" s="242"/>
      <c r="BQG234" s="255"/>
      <c r="BQJ234" s="242"/>
      <c r="BQK234" s="255"/>
      <c r="BQN234" s="242"/>
      <c r="BQO234" s="255"/>
      <c r="BQR234" s="242"/>
      <c r="BQS234" s="255"/>
      <c r="BQV234" s="242"/>
      <c r="BQW234" s="255"/>
      <c r="BQZ234" s="242"/>
      <c r="BRA234" s="255"/>
      <c r="BRD234" s="242"/>
      <c r="BRE234" s="255"/>
      <c r="BRH234" s="242"/>
      <c r="BRI234" s="255"/>
      <c r="BRL234" s="242"/>
      <c r="BRM234" s="255"/>
      <c r="BRP234" s="242"/>
      <c r="BRQ234" s="255"/>
      <c r="BRT234" s="242"/>
      <c r="BRU234" s="255"/>
      <c r="BRX234" s="242"/>
      <c r="BRY234" s="255"/>
      <c r="BSB234" s="242"/>
      <c r="BSC234" s="255"/>
      <c r="BSF234" s="242"/>
      <c r="BSG234" s="255"/>
      <c r="BSJ234" s="242"/>
      <c r="BSK234" s="255"/>
      <c r="BSN234" s="242"/>
      <c r="BSO234" s="255"/>
      <c r="BSR234" s="242"/>
      <c r="BSS234" s="255"/>
      <c r="BSV234" s="242"/>
      <c r="BSW234" s="255"/>
      <c r="BSZ234" s="242"/>
      <c r="BTA234" s="255"/>
      <c r="BTD234" s="242"/>
      <c r="BTE234" s="255"/>
      <c r="BTH234" s="242"/>
      <c r="BTI234" s="255"/>
      <c r="BTL234" s="242"/>
      <c r="BTM234" s="255"/>
      <c r="BTP234" s="242"/>
      <c r="BTQ234" s="255"/>
      <c r="BTT234" s="242"/>
      <c r="BTU234" s="255"/>
      <c r="BTX234" s="242"/>
      <c r="BTY234" s="255"/>
      <c r="BUB234" s="242"/>
      <c r="BUC234" s="255"/>
      <c r="BUF234" s="242"/>
      <c r="BUG234" s="255"/>
      <c r="BUJ234" s="242"/>
      <c r="BUK234" s="255"/>
      <c r="BUN234" s="242"/>
      <c r="BUO234" s="255"/>
      <c r="BUR234" s="242"/>
      <c r="BUS234" s="255"/>
      <c r="BUV234" s="242"/>
      <c r="BUW234" s="255"/>
      <c r="BUZ234" s="242"/>
      <c r="BVA234" s="255"/>
      <c r="BVD234" s="242"/>
      <c r="BVE234" s="255"/>
      <c r="BVH234" s="242"/>
      <c r="BVI234" s="255"/>
      <c r="BVL234" s="242"/>
      <c r="BVM234" s="255"/>
      <c r="BVP234" s="242"/>
      <c r="BVQ234" s="255"/>
      <c r="BVT234" s="242"/>
      <c r="BVU234" s="255"/>
      <c r="BVX234" s="242"/>
      <c r="BVY234" s="255"/>
      <c r="BWB234" s="242"/>
      <c r="BWC234" s="255"/>
      <c r="BWF234" s="242"/>
      <c r="BWG234" s="255"/>
      <c r="BWJ234" s="242"/>
      <c r="BWK234" s="255"/>
      <c r="BWN234" s="242"/>
      <c r="BWO234" s="255"/>
      <c r="BWR234" s="242"/>
      <c r="BWS234" s="255"/>
      <c r="BWV234" s="242"/>
      <c r="BWW234" s="255"/>
      <c r="BWZ234" s="242"/>
      <c r="BXA234" s="255"/>
      <c r="BXD234" s="242"/>
      <c r="BXE234" s="255"/>
      <c r="BXH234" s="242"/>
      <c r="BXI234" s="255"/>
      <c r="BXL234" s="242"/>
      <c r="BXM234" s="255"/>
      <c r="BXP234" s="242"/>
      <c r="BXQ234" s="255"/>
      <c r="BXT234" s="242"/>
      <c r="BXU234" s="255"/>
      <c r="BXX234" s="242"/>
      <c r="BXY234" s="255"/>
      <c r="BYB234" s="242"/>
      <c r="BYC234" s="255"/>
      <c r="BYF234" s="242"/>
      <c r="BYG234" s="255"/>
      <c r="BYJ234" s="242"/>
      <c r="BYK234" s="255"/>
      <c r="BYN234" s="242"/>
      <c r="BYO234" s="255"/>
      <c r="BYR234" s="242"/>
      <c r="BYS234" s="255"/>
      <c r="BYV234" s="242"/>
      <c r="BYW234" s="255"/>
      <c r="BYZ234" s="242"/>
      <c r="BZA234" s="255"/>
      <c r="BZD234" s="242"/>
      <c r="BZE234" s="255"/>
      <c r="BZH234" s="242"/>
      <c r="BZI234" s="255"/>
      <c r="BZL234" s="242"/>
      <c r="BZM234" s="255"/>
      <c r="BZP234" s="242"/>
      <c r="BZQ234" s="255"/>
      <c r="BZT234" s="242"/>
      <c r="BZU234" s="255"/>
      <c r="BZX234" s="242"/>
      <c r="BZY234" s="255"/>
      <c r="CAB234" s="242"/>
      <c r="CAC234" s="255"/>
      <c r="CAF234" s="242"/>
      <c r="CAG234" s="255"/>
      <c r="CAJ234" s="242"/>
      <c r="CAK234" s="255"/>
      <c r="CAN234" s="242"/>
      <c r="CAO234" s="255"/>
      <c r="CAR234" s="242"/>
      <c r="CAS234" s="255"/>
      <c r="CAV234" s="242"/>
      <c r="CAW234" s="255"/>
      <c r="CAZ234" s="242"/>
      <c r="CBA234" s="255"/>
      <c r="CBD234" s="242"/>
      <c r="CBE234" s="255"/>
      <c r="CBH234" s="242"/>
      <c r="CBI234" s="255"/>
      <c r="CBL234" s="242"/>
      <c r="CBM234" s="255"/>
      <c r="CBP234" s="242"/>
      <c r="CBQ234" s="255"/>
      <c r="CBT234" s="242"/>
      <c r="CBU234" s="255"/>
      <c r="CBX234" s="242"/>
      <c r="CBY234" s="255"/>
      <c r="CCB234" s="242"/>
      <c r="CCC234" s="255"/>
      <c r="CCF234" s="242"/>
      <c r="CCG234" s="255"/>
      <c r="CCJ234" s="242"/>
      <c r="CCK234" s="255"/>
      <c r="CCN234" s="242"/>
      <c r="CCO234" s="255"/>
      <c r="CCR234" s="242"/>
      <c r="CCS234" s="255"/>
      <c r="CCV234" s="242"/>
      <c r="CCW234" s="255"/>
      <c r="CCZ234" s="242"/>
      <c r="CDA234" s="255"/>
      <c r="CDD234" s="242"/>
      <c r="CDE234" s="255"/>
      <c r="CDH234" s="242"/>
      <c r="CDI234" s="255"/>
      <c r="CDL234" s="242"/>
      <c r="CDM234" s="255"/>
      <c r="CDP234" s="242"/>
      <c r="CDQ234" s="255"/>
      <c r="CDT234" s="242"/>
      <c r="CDU234" s="255"/>
      <c r="CDX234" s="242"/>
      <c r="CDY234" s="255"/>
      <c r="CEB234" s="242"/>
      <c r="CEC234" s="255"/>
      <c r="CEF234" s="242"/>
      <c r="CEG234" s="255"/>
      <c r="CEJ234" s="242"/>
      <c r="CEK234" s="255"/>
      <c r="CEN234" s="242"/>
      <c r="CEO234" s="255"/>
      <c r="CER234" s="242"/>
      <c r="CES234" s="255"/>
      <c r="CEV234" s="242"/>
      <c r="CEW234" s="255"/>
      <c r="CEZ234" s="242"/>
      <c r="CFA234" s="255"/>
      <c r="CFD234" s="242"/>
      <c r="CFE234" s="255"/>
      <c r="CFH234" s="242"/>
      <c r="CFI234" s="255"/>
      <c r="CFL234" s="242"/>
      <c r="CFM234" s="255"/>
      <c r="CFP234" s="242"/>
      <c r="CFQ234" s="255"/>
      <c r="CFT234" s="242"/>
      <c r="CFU234" s="255"/>
      <c r="CFX234" s="242"/>
      <c r="CFY234" s="255"/>
      <c r="CGB234" s="242"/>
      <c r="CGC234" s="255"/>
      <c r="CGF234" s="242"/>
      <c r="CGG234" s="255"/>
      <c r="CGJ234" s="242"/>
      <c r="CGK234" s="255"/>
      <c r="CGN234" s="242"/>
      <c r="CGO234" s="255"/>
      <c r="CGR234" s="242"/>
      <c r="CGS234" s="255"/>
      <c r="CGV234" s="242"/>
      <c r="CGW234" s="255"/>
      <c r="CGZ234" s="242"/>
      <c r="CHA234" s="255"/>
      <c r="CHD234" s="242"/>
      <c r="CHE234" s="255"/>
      <c r="CHH234" s="242"/>
      <c r="CHI234" s="255"/>
      <c r="CHL234" s="242"/>
      <c r="CHM234" s="255"/>
      <c r="CHP234" s="242"/>
      <c r="CHQ234" s="255"/>
      <c r="CHT234" s="242"/>
      <c r="CHU234" s="255"/>
      <c r="CHX234" s="242"/>
      <c r="CHY234" s="255"/>
      <c r="CIB234" s="242"/>
      <c r="CIC234" s="255"/>
      <c r="CIF234" s="242"/>
      <c r="CIG234" s="255"/>
      <c r="CIJ234" s="242"/>
      <c r="CIK234" s="255"/>
      <c r="CIN234" s="242"/>
      <c r="CIO234" s="255"/>
      <c r="CIR234" s="242"/>
      <c r="CIS234" s="255"/>
      <c r="CIV234" s="242"/>
      <c r="CIW234" s="255"/>
      <c r="CIZ234" s="242"/>
      <c r="CJA234" s="255"/>
      <c r="CJD234" s="242"/>
      <c r="CJE234" s="255"/>
      <c r="CJH234" s="242"/>
      <c r="CJI234" s="255"/>
      <c r="CJL234" s="242"/>
      <c r="CJM234" s="255"/>
      <c r="CJP234" s="242"/>
      <c r="CJQ234" s="255"/>
      <c r="CJT234" s="242"/>
      <c r="CJU234" s="255"/>
      <c r="CJX234" s="242"/>
      <c r="CJY234" s="255"/>
      <c r="CKB234" s="242"/>
      <c r="CKC234" s="255"/>
      <c r="CKF234" s="242"/>
      <c r="CKG234" s="255"/>
      <c r="CKJ234" s="242"/>
      <c r="CKK234" s="255"/>
      <c r="CKN234" s="242"/>
      <c r="CKO234" s="255"/>
      <c r="CKR234" s="242"/>
      <c r="CKS234" s="255"/>
      <c r="CKV234" s="242"/>
      <c r="CKW234" s="255"/>
      <c r="CKZ234" s="242"/>
      <c r="CLA234" s="255"/>
      <c r="CLD234" s="242"/>
      <c r="CLE234" s="255"/>
      <c r="CLH234" s="242"/>
      <c r="CLI234" s="255"/>
      <c r="CLL234" s="242"/>
      <c r="CLM234" s="255"/>
      <c r="CLP234" s="242"/>
      <c r="CLQ234" s="255"/>
      <c r="CLT234" s="242"/>
      <c r="CLU234" s="255"/>
      <c r="CLX234" s="242"/>
      <c r="CLY234" s="255"/>
      <c r="CMB234" s="242"/>
      <c r="CMC234" s="255"/>
      <c r="CMF234" s="242"/>
      <c r="CMG234" s="255"/>
      <c r="CMJ234" s="242"/>
      <c r="CMK234" s="255"/>
      <c r="CMN234" s="242"/>
      <c r="CMO234" s="255"/>
      <c r="CMR234" s="242"/>
      <c r="CMS234" s="255"/>
      <c r="CMV234" s="242"/>
      <c r="CMW234" s="255"/>
      <c r="CMZ234" s="242"/>
      <c r="CNA234" s="255"/>
      <c r="CND234" s="242"/>
      <c r="CNE234" s="255"/>
      <c r="CNH234" s="242"/>
      <c r="CNI234" s="255"/>
      <c r="CNL234" s="242"/>
      <c r="CNM234" s="255"/>
      <c r="CNP234" s="242"/>
      <c r="CNQ234" s="255"/>
      <c r="CNT234" s="242"/>
      <c r="CNU234" s="255"/>
      <c r="CNX234" s="242"/>
      <c r="CNY234" s="255"/>
      <c r="COB234" s="242"/>
      <c r="COC234" s="255"/>
      <c r="COF234" s="242"/>
      <c r="COG234" s="255"/>
      <c r="COJ234" s="242"/>
      <c r="COK234" s="255"/>
      <c r="CON234" s="242"/>
      <c r="COO234" s="255"/>
      <c r="COR234" s="242"/>
      <c r="COS234" s="255"/>
      <c r="COV234" s="242"/>
      <c r="COW234" s="255"/>
      <c r="COZ234" s="242"/>
      <c r="CPA234" s="255"/>
      <c r="CPD234" s="242"/>
      <c r="CPE234" s="255"/>
      <c r="CPH234" s="242"/>
      <c r="CPI234" s="255"/>
      <c r="CPL234" s="242"/>
      <c r="CPM234" s="255"/>
      <c r="CPP234" s="242"/>
      <c r="CPQ234" s="255"/>
      <c r="CPT234" s="242"/>
      <c r="CPU234" s="255"/>
      <c r="CPX234" s="242"/>
      <c r="CPY234" s="255"/>
      <c r="CQB234" s="242"/>
      <c r="CQC234" s="255"/>
      <c r="CQF234" s="242"/>
      <c r="CQG234" s="255"/>
      <c r="CQJ234" s="242"/>
      <c r="CQK234" s="255"/>
      <c r="CQN234" s="242"/>
      <c r="CQO234" s="255"/>
      <c r="CQR234" s="242"/>
      <c r="CQS234" s="255"/>
      <c r="CQV234" s="242"/>
      <c r="CQW234" s="255"/>
      <c r="CQZ234" s="242"/>
      <c r="CRA234" s="255"/>
      <c r="CRD234" s="242"/>
      <c r="CRE234" s="255"/>
      <c r="CRH234" s="242"/>
      <c r="CRI234" s="255"/>
      <c r="CRL234" s="242"/>
      <c r="CRM234" s="255"/>
      <c r="CRP234" s="242"/>
      <c r="CRQ234" s="255"/>
      <c r="CRT234" s="242"/>
      <c r="CRU234" s="255"/>
      <c r="CRX234" s="242"/>
      <c r="CRY234" s="255"/>
      <c r="CSB234" s="242"/>
      <c r="CSC234" s="255"/>
      <c r="CSF234" s="242"/>
      <c r="CSG234" s="255"/>
      <c r="CSJ234" s="242"/>
      <c r="CSK234" s="255"/>
      <c r="CSN234" s="242"/>
      <c r="CSO234" s="255"/>
      <c r="CSR234" s="242"/>
      <c r="CSS234" s="255"/>
      <c r="CSV234" s="242"/>
      <c r="CSW234" s="255"/>
      <c r="CSZ234" s="242"/>
      <c r="CTA234" s="255"/>
      <c r="CTD234" s="242"/>
      <c r="CTE234" s="255"/>
      <c r="CTH234" s="242"/>
      <c r="CTI234" s="255"/>
      <c r="CTL234" s="242"/>
      <c r="CTM234" s="255"/>
      <c r="CTP234" s="242"/>
      <c r="CTQ234" s="255"/>
      <c r="CTT234" s="242"/>
      <c r="CTU234" s="255"/>
      <c r="CTX234" s="242"/>
      <c r="CTY234" s="255"/>
      <c r="CUB234" s="242"/>
      <c r="CUC234" s="255"/>
      <c r="CUF234" s="242"/>
      <c r="CUG234" s="255"/>
      <c r="CUJ234" s="242"/>
      <c r="CUK234" s="255"/>
      <c r="CUN234" s="242"/>
      <c r="CUO234" s="255"/>
      <c r="CUR234" s="242"/>
      <c r="CUS234" s="255"/>
      <c r="CUV234" s="242"/>
      <c r="CUW234" s="255"/>
      <c r="CUZ234" s="242"/>
      <c r="CVA234" s="255"/>
      <c r="CVD234" s="242"/>
      <c r="CVE234" s="255"/>
      <c r="CVH234" s="242"/>
      <c r="CVI234" s="255"/>
      <c r="CVL234" s="242"/>
      <c r="CVM234" s="255"/>
      <c r="CVP234" s="242"/>
      <c r="CVQ234" s="255"/>
      <c r="CVT234" s="242"/>
      <c r="CVU234" s="255"/>
      <c r="CVX234" s="242"/>
      <c r="CVY234" s="255"/>
      <c r="CWB234" s="242"/>
      <c r="CWC234" s="255"/>
      <c r="CWF234" s="242"/>
      <c r="CWG234" s="255"/>
      <c r="CWJ234" s="242"/>
      <c r="CWK234" s="255"/>
      <c r="CWN234" s="242"/>
      <c r="CWO234" s="255"/>
      <c r="CWR234" s="242"/>
      <c r="CWS234" s="255"/>
      <c r="CWV234" s="242"/>
      <c r="CWW234" s="255"/>
      <c r="CWZ234" s="242"/>
      <c r="CXA234" s="255"/>
      <c r="CXD234" s="242"/>
      <c r="CXE234" s="255"/>
      <c r="CXH234" s="242"/>
      <c r="CXI234" s="255"/>
      <c r="CXL234" s="242"/>
      <c r="CXM234" s="255"/>
      <c r="CXP234" s="242"/>
      <c r="CXQ234" s="255"/>
      <c r="CXT234" s="242"/>
      <c r="CXU234" s="255"/>
      <c r="CXX234" s="242"/>
      <c r="CXY234" s="255"/>
      <c r="CYB234" s="242"/>
      <c r="CYC234" s="255"/>
      <c r="CYF234" s="242"/>
      <c r="CYG234" s="255"/>
      <c r="CYJ234" s="242"/>
      <c r="CYK234" s="255"/>
      <c r="CYN234" s="242"/>
      <c r="CYO234" s="255"/>
      <c r="CYR234" s="242"/>
      <c r="CYS234" s="255"/>
      <c r="CYV234" s="242"/>
      <c r="CYW234" s="255"/>
      <c r="CYZ234" s="242"/>
      <c r="CZA234" s="255"/>
      <c r="CZD234" s="242"/>
      <c r="CZE234" s="255"/>
      <c r="CZH234" s="242"/>
      <c r="CZI234" s="255"/>
      <c r="CZL234" s="242"/>
      <c r="CZM234" s="255"/>
      <c r="CZP234" s="242"/>
      <c r="CZQ234" s="255"/>
      <c r="CZT234" s="242"/>
      <c r="CZU234" s="255"/>
      <c r="CZX234" s="242"/>
      <c r="CZY234" s="255"/>
      <c r="DAB234" s="242"/>
      <c r="DAC234" s="255"/>
      <c r="DAF234" s="242"/>
      <c r="DAG234" s="255"/>
      <c r="DAJ234" s="242"/>
      <c r="DAK234" s="255"/>
      <c r="DAN234" s="242"/>
      <c r="DAO234" s="255"/>
      <c r="DAR234" s="242"/>
      <c r="DAS234" s="255"/>
      <c r="DAV234" s="242"/>
      <c r="DAW234" s="255"/>
      <c r="DAZ234" s="242"/>
      <c r="DBA234" s="255"/>
      <c r="DBD234" s="242"/>
      <c r="DBE234" s="255"/>
      <c r="DBH234" s="242"/>
      <c r="DBI234" s="255"/>
      <c r="DBL234" s="242"/>
      <c r="DBM234" s="255"/>
      <c r="DBP234" s="242"/>
      <c r="DBQ234" s="255"/>
      <c r="DBT234" s="242"/>
      <c r="DBU234" s="255"/>
      <c r="DBX234" s="242"/>
      <c r="DBY234" s="255"/>
      <c r="DCB234" s="242"/>
      <c r="DCC234" s="255"/>
      <c r="DCF234" s="242"/>
      <c r="DCG234" s="255"/>
      <c r="DCJ234" s="242"/>
      <c r="DCK234" s="255"/>
      <c r="DCN234" s="242"/>
      <c r="DCO234" s="255"/>
      <c r="DCR234" s="242"/>
      <c r="DCS234" s="255"/>
      <c r="DCV234" s="242"/>
      <c r="DCW234" s="255"/>
      <c r="DCZ234" s="242"/>
      <c r="DDA234" s="255"/>
      <c r="DDD234" s="242"/>
      <c r="DDE234" s="255"/>
      <c r="DDH234" s="242"/>
      <c r="DDI234" s="255"/>
      <c r="DDL234" s="242"/>
      <c r="DDM234" s="255"/>
      <c r="DDP234" s="242"/>
      <c r="DDQ234" s="255"/>
      <c r="DDT234" s="242"/>
      <c r="DDU234" s="255"/>
      <c r="DDX234" s="242"/>
      <c r="DDY234" s="255"/>
      <c r="DEB234" s="242"/>
      <c r="DEC234" s="255"/>
      <c r="DEF234" s="242"/>
      <c r="DEG234" s="255"/>
      <c r="DEJ234" s="242"/>
      <c r="DEK234" s="255"/>
      <c r="DEN234" s="242"/>
      <c r="DEO234" s="255"/>
      <c r="DER234" s="242"/>
      <c r="DES234" s="255"/>
      <c r="DEV234" s="242"/>
      <c r="DEW234" s="255"/>
      <c r="DEZ234" s="242"/>
      <c r="DFA234" s="255"/>
      <c r="DFD234" s="242"/>
      <c r="DFE234" s="255"/>
      <c r="DFH234" s="242"/>
      <c r="DFI234" s="255"/>
      <c r="DFL234" s="242"/>
      <c r="DFM234" s="255"/>
      <c r="DFP234" s="242"/>
      <c r="DFQ234" s="255"/>
      <c r="DFT234" s="242"/>
      <c r="DFU234" s="255"/>
      <c r="DFX234" s="242"/>
      <c r="DFY234" s="255"/>
      <c r="DGB234" s="242"/>
      <c r="DGC234" s="255"/>
      <c r="DGF234" s="242"/>
      <c r="DGG234" s="255"/>
      <c r="DGJ234" s="242"/>
      <c r="DGK234" s="255"/>
      <c r="DGN234" s="242"/>
      <c r="DGO234" s="255"/>
      <c r="DGR234" s="242"/>
      <c r="DGS234" s="255"/>
      <c r="DGV234" s="242"/>
      <c r="DGW234" s="255"/>
      <c r="DGZ234" s="242"/>
      <c r="DHA234" s="255"/>
      <c r="DHD234" s="242"/>
      <c r="DHE234" s="255"/>
      <c r="DHH234" s="242"/>
      <c r="DHI234" s="255"/>
      <c r="DHL234" s="242"/>
      <c r="DHM234" s="255"/>
      <c r="DHP234" s="242"/>
      <c r="DHQ234" s="255"/>
      <c r="DHT234" s="242"/>
      <c r="DHU234" s="255"/>
      <c r="DHX234" s="242"/>
      <c r="DHY234" s="255"/>
      <c r="DIB234" s="242"/>
      <c r="DIC234" s="255"/>
      <c r="DIF234" s="242"/>
      <c r="DIG234" s="255"/>
      <c r="DIJ234" s="242"/>
      <c r="DIK234" s="255"/>
      <c r="DIN234" s="242"/>
      <c r="DIO234" s="255"/>
      <c r="DIR234" s="242"/>
      <c r="DIS234" s="255"/>
      <c r="DIV234" s="242"/>
      <c r="DIW234" s="255"/>
      <c r="DIZ234" s="242"/>
      <c r="DJA234" s="255"/>
      <c r="DJD234" s="242"/>
      <c r="DJE234" s="255"/>
      <c r="DJH234" s="242"/>
      <c r="DJI234" s="255"/>
      <c r="DJL234" s="242"/>
      <c r="DJM234" s="255"/>
      <c r="DJP234" s="242"/>
      <c r="DJQ234" s="255"/>
      <c r="DJT234" s="242"/>
      <c r="DJU234" s="255"/>
      <c r="DJX234" s="242"/>
      <c r="DJY234" s="255"/>
      <c r="DKB234" s="242"/>
      <c r="DKC234" s="255"/>
      <c r="DKF234" s="242"/>
      <c r="DKG234" s="255"/>
      <c r="DKJ234" s="242"/>
      <c r="DKK234" s="255"/>
      <c r="DKN234" s="242"/>
      <c r="DKO234" s="255"/>
      <c r="DKR234" s="242"/>
      <c r="DKS234" s="255"/>
      <c r="DKV234" s="242"/>
      <c r="DKW234" s="255"/>
      <c r="DKZ234" s="242"/>
      <c r="DLA234" s="255"/>
      <c r="DLD234" s="242"/>
      <c r="DLE234" s="255"/>
      <c r="DLH234" s="242"/>
      <c r="DLI234" s="255"/>
      <c r="DLL234" s="242"/>
      <c r="DLM234" s="255"/>
      <c r="DLP234" s="242"/>
      <c r="DLQ234" s="255"/>
      <c r="DLT234" s="242"/>
      <c r="DLU234" s="255"/>
      <c r="DLX234" s="242"/>
      <c r="DLY234" s="255"/>
      <c r="DMB234" s="242"/>
      <c r="DMC234" s="255"/>
      <c r="DMF234" s="242"/>
      <c r="DMG234" s="255"/>
      <c r="DMJ234" s="242"/>
      <c r="DMK234" s="255"/>
      <c r="DMN234" s="242"/>
      <c r="DMO234" s="255"/>
      <c r="DMR234" s="242"/>
      <c r="DMS234" s="255"/>
      <c r="DMV234" s="242"/>
      <c r="DMW234" s="255"/>
      <c r="DMZ234" s="242"/>
      <c r="DNA234" s="255"/>
      <c r="DND234" s="242"/>
      <c r="DNE234" s="255"/>
      <c r="DNH234" s="242"/>
      <c r="DNI234" s="255"/>
      <c r="DNL234" s="242"/>
      <c r="DNM234" s="255"/>
      <c r="DNP234" s="242"/>
      <c r="DNQ234" s="255"/>
      <c r="DNT234" s="242"/>
      <c r="DNU234" s="255"/>
      <c r="DNX234" s="242"/>
      <c r="DNY234" s="255"/>
      <c r="DOB234" s="242"/>
      <c r="DOC234" s="255"/>
      <c r="DOF234" s="242"/>
      <c r="DOG234" s="255"/>
      <c r="DOJ234" s="242"/>
      <c r="DOK234" s="255"/>
      <c r="DON234" s="242"/>
      <c r="DOO234" s="255"/>
      <c r="DOR234" s="242"/>
      <c r="DOS234" s="255"/>
      <c r="DOV234" s="242"/>
      <c r="DOW234" s="255"/>
      <c r="DOZ234" s="242"/>
      <c r="DPA234" s="255"/>
      <c r="DPD234" s="242"/>
      <c r="DPE234" s="255"/>
      <c r="DPH234" s="242"/>
      <c r="DPI234" s="255"/>
      <c r="DPL234" s="242"/>
      <c r="DPM234" s="255"/>
      <c r="DPP234" s="242"/>
      <c r="DPQ234" s="255"/>
      <c r="DPT234" s="242"/>
      <c r="DPU234" s="255"/>
      <c r="DPX234" s="242"/>
      <c r="DPY234" s="255"/>
      <c r="DQB234" s="242"/>
      <c r="DQC234" s="255"/>
      <c r="DQF234" s="242"/>
      <c r="DQG234" s="255"/>
      <c r="DQJ234" s="242"/>
      <c r="DQK234" s="255"/>
      <c r="DQN234" s="242"/>
      <c r="DQO234" s="255"/>
      <c r="DQR234" s="242"/>
      <c r="DQS234" s="255"/>
      <c r="DQV234" s="242"/>
      <c r="DQW234" s="255"/>
      <c r="DQZ234" s="242"/>
      <c r="DRA234" s="255"/>
      <c r="DRD234" s="242"/>
      <c r="DRE234" s="255"/>
      <c r="DRH234" s="242"/>
      <c r="DRI234" s="255"/>
      <c r="DRL234" s="242"/>
      <c r="DRM234" s="255"/>
      <c r="DRP234" s="242"/>
      <c r="DRQ234" s="255"/>
      <c r="DRT234" s="242"/>
      <c r="DRU234" s="255"/>
      <c r="DRX234" s="242"/>
      <c r="DRY234" s="255"/>
      <c r="DSB234" s="242"/>
      <c r="DSC234" s="255"/>
      <c r="DSF234" s="242"/>
      <c r="DSG234" s="255"/>
      <c r="DSJ234" s="242"/>
      <c r="DSK234" s="255"/>
      <c r="DSN234" s="242"/>
      <c r="DSO234" s="255"/>
      <c r="DSR234" s="242"/>
      <c r="DSS234" s="255"/>
      <c r="DSV234" s="242"/>
      <c r="DSW234" s="255"/>
      <c r="DSZ234" s="242"/>
      <c r="DTA234" s="255"/>
      <c r="DTD234" s="242"/>
      <c r="DTE234" s="255"/>
      <c r="DTH234" s="242"/>
      <c r="DTI234" s="255"/>
      <c r="DTL234" s="242"/>
      <c r="DTM234" s="255"/>
      <c r="DTP234" s="242"/>
      <c r="DTQ234" s="255"/>
      <c r="DTT234" s="242"/>
      <c r="DTU234" s="255"/>
      <c r="DTX234" s="242"/>
      <c r="DTY234" s="255"/>
      <c r="DUB234" s="242"/>
      <c r="DUC234" s="255"/>
      <c r="DUF234" s="242"/>
      <c r="DUG234" s="255"/>
      <c r="DUJ234" s="242"/>
      <c r="DUK234" s="255"/>
      <c r="DUN234" s="242"/>
      <c r="DUO234" s="255"/>
      <c r="DUR234" s="242"/>
      <c r="DUS234" s="255"/>
      <c r="DUV234" s="242"/>
      <c r="DUW234" s="255"/>
      <c r="DUZ234" s="242"/>
      <c r="DVA234" s="255"/>
      <c r="DVD234" s="242"/>
      <c r="DVE234" s="255"/>
      <c r="DVH234" s="242"/>
      <c r="DVI234" s="255"/>
      <c r="DVL234" s="242"/>
      <c r="DVM234" s="255"/>
      <c r="DVP234" s="242"/>
      <c r="DVQ234" s="255"/>
      <c r="DVT234" s="242"/>
      <c r="DVU234" s="255"/>
      <c r="DVX234" s="242"/>
      <c r="DVY234" s="255"/>
      <c r="DWB234" s="242"/>
      <c r="DWC234" s="255"/>
      <c r="DWF234" s="242"/>
      <c r="DWG234" s="255"/>
      <c r="DWJ234" s="242"/>
      <c r="DWK234" s="255"/>
      <c r="DWN234" s="242"/>
      <c r="DWO234" s="255"/>
      <c r="DWR234" s="242"/>
      <c r="DWS234" s="255"/>
      <c r="DWV234" s="242"/>
      <c r="DWW234" s="255"/>
      <c r="DWZ234" s="242"/>
      <c r="DXA234" s="255"/>
      <c r="DXD234" s="242"/>
      <c r="DXE234" s="255"/>
      <c r="DXH234" s="242"/>
      <c r="DXI234" s="255"/>
      <c r="DXL234" s="242"/>
      <c r="DXM234" s="255"/>
      <c r="DXP234" s="242"/>
      <c r="DXQ234" s="255"/>
      <c r="DXT234" s="242"/>
      <c r="DXU234" s="255"/>
      <c r="DXX234" s="242"/>
      <c r="DXY234" s="255"/>
      <c r="DYB234" s="242"/>
      <c r="DYC234" s="255"/>
      <c r="DYF234" s="242"/>
      <c r="DYG234" s="255"/>
      <c r="DYJ234" s="242"/>
      <c r="DYK234" s="255"/>
      <c r="DYN234" s="242"/>
      <c r="DYO234" s="255"/>
      <c r="DYR234" s="242"/>
      <c r="DYS234" s="255"/>
      <c r="DYV234" s="242"/>
      <c r="DYW234" s="255"/>
      <c r="DYZ234" s="242"/>
      <c r="DZA234" s="255"/>
      <c r="DZD234" s="242"/>
      <c r="DZE234" s="255"/>
      <c r="DZH234" s="242"/>
      <c r="DZI234" s="255"/>
      <c r="DZL234" s="242"/>
      <c r="DZM234" s="255"/>
      <c r="DZP234" s="242"/>
      <c r="DZQ234" s="255"/>
      <c r="DZT234" s="242"/>
      <c r="DZU234" s="255"/>
      <c r="DZX234" s="242"/>
      <c r="DZY234" s="255"/>
      <c r="EAB234" s="242"/>
      <c r="EAC234" s="255"/>
      <c r="EAF234" s="242"/>
      <c r="EAG234" s="255"/>
      <c r="EAJ234" s="242"/>
      <c r="EAK234" s="255"/>
      <c r="EAN234" s="242"/>
      <c r="EAO234" s="255"/>
      <c r="EAR234" s="242"/>
      <c r="EAS234" s="255"/>
      <c r="EAV234" s="242"/>
      <c r="EAW234" s="255"/>
      <c r="EAZ234" s="242"/>
      <c r="EBA234" s="255"/>
      <c r="EBD234" s="242"/>
      <c r="EBE234" s="255"/>
      <c r="EBH234" s="242"/>
      <c r="EBI234" s="255"/>
      <c r="EBL234" s="242"/>
      <c r="EBM234" s="255"/>
      <c r="EBP234" s="242"/>
      <c r="EBQ234" s="255"/>
      <c r="EBT234" s="242"/>
      <c r="EBU234" s="255"/>
      <c r="EBX234" s="242"/>
      <c r="EBY234" s="255"/>
      <c r="ECB234" s="242"/>
      <c r="ECC234" s="255"/>
      <c r="ECF234" s="242"/>
      <c r="ECG234" s="255"/>
      <c r="ECJ234" s="242"/>
      <c r="ECK234" s="255"/>
      <c r="ECN234" s="242"/>
      <c r="ECO234" s="255"/>
      <c r="ECR234" s="242"/>
      <c r="ECS234" s="255"/>
      <c r="ECV234" s="242"/>
      <c r="ECW234" s="255"/>
      <c r="ECZ234" s="242"/>
      <c r="EDA234" s="255"/>
      <c r="EDD234" s="242"/>
      <c r="EDE234" s="255"/>
      <c r="EDH234" s="242"/>
      <c r="EDI234" s="255"/>
      <c r="EDL234" s="242"/>
      <c r="EDM234" s="255"/>
      <c r="EDP234" s="242"/>
      <c r="EDQ234" s="255"/>
      <c r="EDT234" s="242"/>
      <c r="EDU234" s="255"/>
      <c r="EDX234" s="242"/>
      <c r="EDY234" s="255"/>
      <c r="EEB234" s="242"/>
      <c r="EEC234" s="255"/>
      <c r="EEF234" s="242"/>
      <c r="EEG234" s="255"/>
      <c r="EEJ234" s="242"/>
      <c r="EEK234" s="255"/>
      <c r="EEN234" s="242"/>
      <c r="EEO234" s="255"/>
      <c r="EER234" s="242"/>
      <c r="EES234" s="255"/>
      <c r="EEV234" s="242"/>
      <c r="EEW234" s="255"/>
      <c r="EEZ234" s="242"/>
      <c r="EFA234" s="255"/>
      <c r="EFD234" s="242"/>
      <c r="EFE234" s="255"/>
      <c r="EFH234" s="242"/>
      <c r="EFI234" s="255"/>
      <c r="EFL234" s="242"/>
      <c r="EFM234" s="255"/>
      <c r="EFP234" s="242"/>
      <c r="EFQ234" s="255"/>
      <c r="EFT234" s="242"/>
      <c r="EFU234" s="255"/>
      <c r="EFX234" s="242"/>
      <c r="EFY234" s="255"/>
      <c r="EGB234" s="242"/>
      <c r="EGC234" s="255"/>
      <c r="EGF234" s="242"/>
      <c r="EGG234" s="255"/>
      <c r="EGJ234" s="242"/>
      <c r="EGK234" s="255"/>
      <c r="EGN234" s="242"/>
      <c r="EGO234" s="255"/>
      <c r="EGR234" s="242"/>
      <c r="EGS234" s="255"/>
      <c r="EGV234" s="242"/>
      <c r="EGW234" s="255"/>
      <c r="EGZ234" s="242"/>
      <c r="EHA234" s="255"/>
      <c r="EHD234" s="242"/>
      <c r="EHE234" s="255"/>
      <c r="EHH234" s="242"/>
      <c r="EHI234" s="255"/>
      <c r="EHL234" s="242"/>
      <c r="EHM234" s="255"/>
      <c r="EHP234" s="242"/>
      <c r="EHQ234" s="255"/>
      <c r="EHT234" s="242"/>
      <c r="EHU234" s="255"/>
      <c r="EHX234" s="242"/>
      <c r="EHY234" s="255"/>
      <c r="EIB234" s="242"/>
      <c r="EIC234" s="255"/>
      <c r="EIF234" s="242"/>
      <c r="EIG234" s="255"/>
      <c r="EIJ234" s="242"/>
      <c r="EIK234" s="255"/>
      <c r="EIN234" s="242"/>
      <c r="EIO234" s="255"/>
      <c r="EIR234" s="242"/>
      <c r="EIS234" s="255"/>
      <c r="EIV234" s="242"/>
      <c r="EIW234" s="255"/>
      <c r="EIZ234" s="242"/>
      <c r="EJA234" s="255"/>
      <c r="EJD234" s="242"/>
      <c r="EJE234" s="255"/>
      <c r="EJH234" s="242"/>
      <c r="EJI234" s="255"/>
      <c r="EJL234" s="242"/>
      <c r="EJM234" s="255"/>
      <c r="EJP234" s="242"/>
      <c r="EJQ234" s="255"/>
      <c r="EJT234" s="242"/>
      <c r="EJU234" s="255"/>
      <c r="EJX234" s="242"/>
      <c r="EJY234" s="255"/>
      <c r="EKB234" s="242"/>
      <c r="EKC234" s="255"/>
      <c r="EKF234" s="242"/>
      <c r="EKG234" s="255"/>
      <c r="EKJ234" s="242"/>
      <c r="EKK234" s="255"/>
      <c r="EKN234" s="242"/>
      <c r="EKO234" s="255"/>
      <c r="EKR234" s="242"/>
      <c r="EKS234" s="255"/>
      <c r="EKV234" s="242"/>
      <c r="EKW234" s="255"/>
      <c r="EKZ234" s="242"/>
      <c r="ELA234" s="255"/>
      <c r="ELD234" s="242"/>
      <c r="ELE234" s="255"/>
      <c r="ELH234" s="242"/>
      <c r="ELI234" s="255"/>
      <c r="ELL234" s="242"/>
      <c r="ELM234" s="255"/>
      <c r="ELP234" s="242"/>
      <c r="ELQ234" s="255"/>
      <c r="ELT234" s="242"/>
      <c r="ELU234" s="255"/>
      <c r="ELX234" s="242"/>
      <c r="ELY234" s="255"/>
      <c r="EMB234" s="242"/>
      <c r="EMC234" s="255"/>
      <c r="EMF234" s="242"/>
      <c r="EMG234" s="255"/>
      <c r="EMJ234" s="242"/>
      <c r="EMK234" s="255"/>
      <c r="EMN234" s="242"/>
      <c r="EMO234" s="255"/>
      <c r="EMR234" s="242"/>
      <c r="EMS234" s="255"/>
      <c r="EMV234" s="242"/>
      <c r="EMW234" s="255"/>
      <c r="EMZ234" s="242"/>
      <c r="ENA234" s="255"/>
      <c r="END234" s="242"/>
      <c r="ENE234" s="255"/>
      <c r="ENH234" s="242"/>
      <c r="ENI234" s="255"/>
      <c r="ENL234" s="242"/>
      <c r="ENM234" s="255"/>
      <c r="ENP234" s="242"/>
      <c r="ENQ234" s="255"/>
      <c r="ENT234" s="242"/>
      <c r="ENU234" s="255"/>
      <c r="ENX234" s="242"/>
      <c r="ENY234" s="255"/>
      <c r="EOB234" s="242"/>
      <c r="EOC234" s="255"/>
      <c r="EOF234" s="242"/>
      <c r="EOG234" s="255"/>
      <c r="EOJ234" s="242"/>
      <c r="EOK234" s="255"/>
      <c r="EON234" s="242"/>
      <c r="EOO234" s="255"/>
      <c r="EOR234" s="242"/>
      <c r="EOS234" s="255"/>
      <c r="EOV234" s="242"/>
      <c r="EOW234" s="255"/>
      <c r="EOZ234" s="242"/>
      <c r="EPA234" s="255"/>
      <c r="EPD234" s="242"/>
      <c r="EPE234" s="255"/>
      <c r="EPH234" s="242"/>
      <c r="EPI234" s="255"/>
      <c r="EPL234" s="242"/>
      <c r="EPM234" s="255"/>
      <c r="EPP234" s="242"/>
      <c r="EPQ234" s="255"/>
      <c r="EPT234" s="242"/>
      <c r="EPU234" s="255"/>
      <c r="EPX234" s="242"/>
      <c r="EPY234" s="255"/>
      <c r="EQB234" s="242"/>
      <c r="EQC234" s="255"/>
      <c r="EQF234" s="242"/>
      <c r="EQG234" s="255"/>
      <c r="EQJ234" s="242"/>
      <c r="EQK234" s="255"/>
      <c r="EQN234" s="242"/>
      <c r="EQO234" s="255"/>
      <c r="EQR234" s="242"/>
      <c r="EQS234" s="255"/>
      <c r="EQV234" s="242"/>
      <c r="EQW234" s="255"/>
      <c r="EQZ234" s="242"/>
      <c r="ERA234" s="255"/>
      <c r="ERD234" s="242"/>
      <c r="ERE234" s="255"/>
      <c r="ERH234" s="242"/>
      <c r="ERI234" s="255"/>
      <c r="ERL234" s="242"/>
      <c r="ERM234" s="255"/>
      <c r="ERP234" s="242"/>
      <c r="ERQ234" s="255"/>
      <c r="ERT234" s="242"/>
      <c r="ERU234" s="255"/>
      <c r="ERX234" s="242"/>
      <c r="ERY234" s="255"/>
      <c r="ESB234" s="242"/>
      <c r="ESC234" s="255"/>
      <c r="ESF234" s="242"/>
      <c r="ESG234" s="255"/>
      <c r="ESJ234" s="242"/>
      <c r="ESK234" s="255"/>
      <c r="ESN234" s="242"/>
      <c r="ESO234" s="255"/>
      <c r="ESR234" s="242"/>
      <c r="ESS234" s="255"/>
      <c r="ESV234" s="242"/>
      <c r="ESW234" s="255"/>
      <c r="ESZ234" s="242"/>
      <c r="ETA234" s="255"/>
      <c r="ETD234" s="242"/>
      <c r="ETE234" s="255"/>
      <c r="ETH234" s="242"/>
      <c r="ETI234" s="255"/>
      <c r="ETL234" s="242"/>
      <c r="ETM234" s="255"/>
      <c r="ETP234" s="242"/>
      <c r="ETQ234" s="255"/>
      <c r="ETT234" s="242"/>
      <c r="ETU234" s="255"/>
      <c r="ETX234" s="242"/>
      <c r="ETY234" s="255"/>
      <c r="EUB234" s="242"/>
      <c r="EUC234" s="255"/>
      <c r="EUF234" s="242"/>
      <c r="EUG234" s="255"/>
      <c r="EUJ234" s="242"/>
      <c r="EUK234" s="255"/>
      <c r="EUN234" s="242"/>
      <c r="EUO234" s="255"/>
      <c r="EUR234" s="242"/>
      <c r="EUS234" s="255"/>
      <c r="EUV234" s="242"/>
      <c r="EUW234" s="255"/>
      <c r="EUZ234" s="242"/>
      <c r="EVA234" s="255"/>
      <c r="EVD234" s="242"/>
      <c r="EVE234" s="255"/>
      <c r="EVH234" s="242"/>
      <c r="EVI234" s="255"/>
      <c r="EVL234" s="242"/>
      <c r="EVM234" s="255"/>
      <c r="EVP234" s="242"/>
      <c r="EVQ234" s="255"/>
      <c r="EVT234" s="242"/>
      <c r="EVU234" s="255"/>
      <c r="EVX234" s="242"/>
      <c r="EVY234" s="255"/>
      <c r="EWB234" s="242"/>
      <c r="EWC234" s="255"/>
      <c r="EWF234" s="242"/>
      <c r="EWG234" s="255"/>
      <c r="EWJ234" s="242"/>
      <c r="EWK234" s="255"/>
      <c r="EWN234" s="242"/>
      <c r="EWO234" s="255"/>
      <c r="EWR234" s="242"/>
      <c r="EWS234" s="255"/>
      <c r="EWV234" s="242"/>
      <c r="EWW234" s="255"/>
      <c r="EWZ234" s="242"/>
      <c r="EXA234" s="255"/>
      <c r="EXD234" s="242"/>
      <c r="EXE234" s="255"/>
      <c r="EXH234" s="242"/>
      <c r="EXI234" s="255"/>
      <c r="EXL234" s="242"/>
      <c r="EXM234" s="255"/>
      <c r="EXP234" s="242"/>
      <c r="EXQ234" s="255"/>
      <c r="EXT234" s="242"/>
      <c r="EXU234" s="255"/>
      <c r="EXX234" s="242"/>
      <c r="EXY234" s="255"/>
      <c r="EYB234" s="242"/>
      <c r="EYC234" s="255"/>
      <c r="EYF234" s="242"/>
      <c r="EYG234" s="255"/>
      <c r="EYJ234" s="242"/>
      <c r="EYK234" s="255"/>
      <c r="EYN234" s="242"/>
      <c r="EYO234" s="255"/>
      <c r="EYR234" s="242"/>
      <c r="EYS234" s="255"/>
      <c r="EYV234" s="242"/>
      <c r="EYW234" s="255"/>
      <c r="EYZ234" s="242"/>
      <c r="EZA234" s="255"/>
      <c r="EZD234" s="242"/>
      <c r="EZE234" s="255"/>
      <c r="EZH234" s="242"/>
      <c r="EZI234" s="255"/>
      <c r="EZL234" s="242"/>
      <c r="EZM234" s="255"/>
      <c r="EZP234" s="242"/>
      <c r="EZQ234" s="255"/>
      <c r="EZT234" s="242"/>
      <c r="EZU234" s="255"/>
      <c r="EZX234" s="242"/>
      <c r="EZY234" s="255"/>
      <c r="FAB234" s="242"/>
      <c r="FAC234" s="255"/>
      <c r="FAF234" s="242"/>
      <c r="FAG234" s="255"/>
      <c r="FAJ234" s="242"/>
      <c r="FAK234" s="255"/>
      <c r="FAN234" s="242"/>
      <c r="FAO234" s="255"/>
      <c r="FAR234" s="242"/>
      <c r="FAS234" s="255"/>
      <c r="FAV234" s="242"/>
      <c r="FAW234" s="255"/>
      <c r="FAZ234" s="242"/>
      <c r="FBA234" s="255"/>
      <c r="FBD234" s="242"/>
      <c r="FBE234" s="255"/>
      <c r="FBH234" s="242"/>
      <c r="FBI234" s="255"/>
      <c r="FBL234" s="242"/>
      <c r="FBM234" s="255"/>
      <c r="FBP234" s="242"/>
      <c r="FBQ234" s="255"/>
      <c r="FBT234" s="242"/>
      <c r="FBU234" s="255"/>
      <c r="FBX234" s="242"/>
      <c r="FBY234" s="255"/>
      <c r="FCB234" s="242"/>
      <c r="FCC234" s="255"/>
      <c r="FCF234" s="242"/>
      <c r="FCG234" s="255"/>
      <c r="FCJ234" s="242"/>
      <c r="FCK234" s="255"/>
      <c r="FCN234" s="242"/>
      <c r="FCO234" s="255"/>
      <c r="FCR234" s="242"/>
      <c r="FCS234" s="255"/>
      <c r="FCV234" s="242"/>
      <c r="FCW234" s="255"/>
      <c r="FCZ234" s="242"/>
      <c r="FDA234" s="255"/>
      <c r="FDD234" s="242"/>
      <c r="FDE234" s="255"/>
      <c r="FDH234" s="242"/>
      <c r="FDI234" s="255"/>
      <c r="FDL234" s="242"/>
      <c r="FDM234" s="255"/>
      <c r="FDP234" s="242"/>
      <c r="FDQ234" s="255"/>
      <c r="FDT234" s="242"/>
      <c r="FDU234" s="255"/>
      <c r="FDX234" s="242"/>
      <c r="FDY234" s="255"/>
      <c r="FEB234" s="242"/>
      <c r="FEC234" s="255"/>
      <c r="FEF234" s="242"/>
      <c r="FEG234" s="255"/>
      <c r="FEJ234" s="242"/>
      <c r="FEK234" s="255"/>
      <c r="FEN234" s="242"/>
      <c r="FEO234" s="255"/>
      <c r="FER234" s="242"/>
      <c r="FES234" s="255"/>
      <c r="FEV234" s="242"/>
      <c r="FEW234" s="255"/>
      <c r="FEZ234" s="242"/>
      <c r="FFA234" s="255"/>
      <c r="FFD234" s="242"/>
      <c r="FFE234" s="255"/>
      <c r="FFH234" s="242"/>
      <c r="FFI234" s="255"/>
      <c r="FFL234" s="242"/>
      <c r="FFM234" s="255"/>
      <c r="FFP234" s="242"/>
      <c r="FFQ234" s="255"/>
      <c r="FFT234" s="242"/>
      <c r="FFU234" s="255"/>
      <c r="FFX234" s="242"/>
      <c r="FFY234" s="255"/>
      <c r="FGB234" s="242"/>
      <c r="FGC234" s="255"/>
      <c r="FGF234" s="242"/>
      <c r="FGG234" s="255"/>
      <c r="FGJ234" s="242"/>
      <c r="FGK234" s="255"/>
      <c r="FGN234" s="242"/>
      <c r="FGO234" s="255"/>
      <c r="FGR234" s="242"/>
      <c r="FGS234" s="255"/>
      <c r="FGV234" s="242"/>
      <c r="FGW234" s="255"/>
      <c r="FGZ234" s="242"/>
      <c r="FHA234" s="255"/>
      <c r="FHD234" s="242"/>
      <c r="FHE234" s="255"/>
      <c r="FHH234" s="242"/>
      <c r="FHI234" s="255"/>
      <c r="FHL234" s="242"/>
      <c r="FHM234" s="255"/>
      <c r="FHP234" s="242"/>
      <c r="FHQ234" s="255"/>
      <c r="FHT234" s="242"/>
      <c r="FHU234" s="255"/>
      <c r="FHX234" s="242"/>
      <c r="FHY234" s="255"/>
      <c r="FIB234" s="242"/>
      <c r="FIC234" s="255"/>
      <c r="FIF234" s="242"/>
      <c r="FIG234" s="255"/>
      <c r="FIJ234" s="242"/>
      <c r="FIK234" s="255"/>
      <c r="FIN234" s="242"/>
      <c r="FIO234" s="255"/>
      <c r="FIR234" s="242"/>
      <c r="FIS234" s="255"/>
      <c r="FIV234" s="242"/>
      <c r="FIW234" s="255"/>
      <c r="FIZ234" s="242"/>
      <c r="FJA234" s="255"/>
      <c r="FJD234" s="242"/>
      <c r="FJE234" s="255"/>
      <c r="FJH234" s="242"/>
      <c r="FJI234" s="255"/>
      <c r="FJL234" s="242"/>
      <c r="FJM234" s="255"/>
      <c r="FJP234" s="242"/>
      <c r="FJQ234" s="255"/>
      <c r="FJT234" s="242"/>
      <c r="FJU234" s="255"/>
      <c r="FJX234" s="242"/>
      <c r="FJY234" s="255"/>
      <c r="FKB234" s="242"/>
      <c r="FKC234" s="255"/>
      <c r="FKF234" s="242"/>
      <c r="FKG234" s="255"/>
      <c r="FKJ234" s="242"/>
      <c r="FKK234" s="255"/>
      <c r="FKN234" s="242"/>
      <c r="FKO234" s="255"/>
      <c r="FKR234" s="242"/>
      <c r="FKS234" s="255"/>
      <c r="FKV234" s="242"/>
      <c r="FKW234" s="255"/>
      <c r="FKZ234" s="242"/>
      <c r="FLA234" s="255"/>
      <c r="FLD234" s="242"/>
      <c r="FLE234" s="255"/>
      <c r="FLH234" s="242"/>
      <c r="FLI234" s="255"/>
      <c r="FLL234" s="242"/>
      <c r="FLM234" s="255"/>
      <c r="FLP234" s="242"/>
      <c r="FLQ234" s="255"/>
      <c r="FLT234" s="242"/>
      <c r="FLU234" s="255"/>
      <c r="FLX234" s="242"/>
      <c r="FLY234" s="255"/>
      <c r="FMB234" s="242"/>
      <c r="FMC234" s="255"/>
      <c r="FMF234" s="242"/>
      <c r="FMG234" s="255"/>
      <c r="FMJ234" s="242"/>
      <c r="FMK234" s="255"/>
      <c r="FMN234" s="242"/>
      <c r="FMO234" s="255"/>
      <c r="FMR234" s="242"/>
      <c r="FMS234" s="255"/>
      <c r="FMV234" s="242"/>
      <c r="FMW234" s="255"/>
      <c r="FMZ234" s="242"/>
      <c r="FNA234" s="255"/>
      <c r="FND234" s="242"/>
      <c r="FNE234" s="255"/>
      <c r="FNH234" s="242"/>
      <c r="FNI234" s="255"/>
      <c r="FNL234" s="242"/>
      <c r="FNM234" s="255"/>
      <c r="FNP234" s="242"/>
      <c r="FNQ234" s="255"/>
      <c r="FNT234" s="242"/>
      <c r="FNU234" s="255"/>
      <c r="FNX234" s="242"/>
      <c r="FNY234" s="255"/>
      <c r="FOB234" s="242"/>
      <c r="FOC234" s="255"/>
      <c r="FOF234" s="242"/>
      <c r="FOG234" s="255"/>
      <c r="FOJ234" s="242"/>
      <c r="FOK234" s="255"/>
      <c r="FON234" s="242"/>
      <c r="FOO234" s="255"/>
      <c r="FOR234" s="242"/>
      <c r="FOS234" s="255"/>
      <c r="FOV234" s="242"/>
      <c r="FOW234" s="255"/>
      <c r="FOZ234" s="242"/>
      <c r="FPA234" s="255"/>
      <c r="FPD234" s="242"/>
      <c r="FPE234" s="255"/>
      <c r="FPH234" s="242"/>
      <c r="FPI234" s="255"/>
      <c r="FPL234" s="242"/>
      <c r="FPM234" s="255"/>
      <c r="FPP234" s="242"/>
      <c r="FPQ234" s="255"/>
      <c r="FPT234" s="242"/>
      <c r="FPU234" s="255"/>
      <c r="FPX234" s="242"/>
      <c r="FPY234" s="255"/>
      <c r="FQB234" s="242"/>
      <c r="FQC234" s="255"/>
      <c r="FQF234" s="242"/>
      <c r="FQG234" s="255"/>
      <c r="FQJ234" s="242"/>
      <c r="FQK234" s="255"/>
      <c r="FQN234" s="242"/>
      <c r="FQO234" s="255"/>
      <c r="FQR234" s="242"/>
      <c r="FQS234" s="255"/>
      <c r="FQV234" s="242"/>
      <c r="FQW234" s="255"/>
      <c r="FQZ234" s="242"/>
      <c r="FRA234" s="255"/>
      <c r="FRD234" s="242"/>
      <c r="FRE234" s="255"/>
      <c r="FRH234" s="242"/>
      <c r="FRI234" s="255"/>
      <c r="FRL234" s="242"/>
      <c r="FRM234" s="255"/>
      <c r="FRP234" s="242"/>
      <c r="FRQ234" s="255"/>
      <c r="FRT234" s="242"/>
      <c r="FRU234" s="255"/>
      <c r="FRX234" s="242"/>
      <c r="FRY234" s="255"/>
      <c r="FSB234" s="242"/>
      <c r="FSC234" s="255"/>
      <c r="FSF234" s="242"/>
      <c r="FSG234" s="255"/>
      <c r="FSJ234" s="242"/>
      <c r="FSK234" s="255"/>
      <c r="FSN234" s="242"/>
      <c r="FSO234" s="255"/>
      <c r="FSR234" s="242"/>
      <c r="FSS234" s="255"/>
      <c r="FSV234" s="242"/>
      <c r="FSW234" s="255"/>
      <c r="FSZ234" s="242"/>
      <c r="FTA234" s="255"/>
      <c r="FTD234" s="242"/>
      <c r="FTE234" s="255"/>
      <c r="FTH234" s="242"/>
      <c r="FTI234" s="255"/>
      <c r="FTL234" s="242"/>
      <c r="FTM234" s="255"/>
      <c r="FTP234" s="242"/>
      <c r="FTQ234" s="255"/>
      <c r="FTT234" s="242"/>
      <c r="FTU234" s="255"/>
      <c r="FTX234" s="242"/>
      <c r="FTY234" s="255"/>
      <c r="FUB234" s="242"/>
      <c r="FUC234" s="255"/>
      <c r="FUF234" s="242"/>
      <c r="FUG234" s="255"/>
      <c r="FUJ234" s="242"/>
      <c r="FUK234" s="255"/>
      <c r="FUN234" s="242"/>
      <c r="FUO234" s="255"/>
      <c r="FUR234" s="242"/>
      <c r="FUS234" s="255"/>
      <c r="FUV234" s="242"/>
      <c r="FUW234" s="255"/>
      <c r="FUZ234" s="242"/>
      <c r="FVA234" s="255"/>
      <c r="FVD234" s="242"/>
      <c r="FVE234" s="255"/>
      <c r="FVH234" s="242"/>
      <c r="FVI234" s="255"/>
      <c r="FVL234" s="242"/>
      <c r="FVM234" s="255"/>
      <c r="FVP234" s="242"/>
      <c r="FVQ234" s="255"/>
      <c r="FVT234" s="242"/>
      <c r="FVU234" s="255"/>
      <c r="FVX234" s="242"/>
      <c r="FVY234" s="255"/>
      <c r="FWB234" s="242"/>
      <c r="FWC234" s="255"/>
      <c r="FWF234" s="242"/>
      <c r="FWG234" s="255"/>
      <c r="FWJ234" s="242"/>
      <c r="FWK234" s="255"/>
      <c r="FWN234" s="242"/>
      <c r="FWO234" s="255"/>
      <c r="FWR234" s="242"/>
      <c r="FWS234" s="255"/>
      <c r="FWV234" s="242"/>
      <c r="FWW234" s="255"/>
      <c r="FWZ234" s="242"/>
      <c r="FXA234" s="255"/>
      <c r="FXD234" s="242"/>
      <c r="FXE234" s="255"/>
      <c r="FXH234" s="242"/>
      <c r="FXI234" s="255"/>
      <c r="FXL234" s="242"/>
      <c r="FXM234" s="255"/>
      <c r="FXP234" s="242"/>
      <c r="FXQ234" s="255"/>
      <c r="FXT234" s="242"/>
      <c r="FXU234" s="255"/>
      <c r="FXX234" s="242"/>
      <c r="FXY234" s="255"/>
      <c r="FYB234" s="242"/>
      <c r="FYC234" s="255"/>
      <c r="FYF234" s="242"/>
      <c r="FYG234" s="255"/>
      <c r="FYJ234" s="242"/>
      <c r="FYK234" s="255"/>
      <c r="FYN234" s="242"/>
      <c r="FYO234" s="255"/>
      <c r="FYR234" s="242"/>
      <c r="FYS234" s="255"/>
      <c r="FYV234" s="242"/>
      <c r="FYW234" s="255"/>
      <c r="FYZ234" s="242"/>
      <c r="FZA234" s="255"/>
      <c r="FZD234" s="242"/>
      <c r="FZE234" s="255"/>
      <c r="FZH234" s="242"/>
      <c r="FZI234" s="255"/>
      <c r="FZL234" s="242"/>
      <c r="FZM234" s="255"/>
      <c r="FZP234" s="242"/>
      <c r="FZQ234" s="255"/>
      <c r="FZT234" s="242"/>
      <c r="FZU234" s="255"/>
      <c r="FZX234" s="242"/>
      <c r="FZY234" s="255"/>
      <c r="GAB234" s="242"/>
      <c r="GAC234" s="255"/>
      <c r="GAF234" s="242"/>
      <c r="GAG234" s="255"/>
      <c r="GAJ234" s="242"/>
      <c r="GAK234" s="255"/>
      <c r="GAN234" s="242"/>
      <c r="GAO234" s="255"/>
      <c r="GAR234" s="242"/>
      <c r="GAS234" s="255"/>
      <c r="GAV234" s="242"/>
      <c r="GAW234" s="255"/>
      <c r="GAZ234" s="242"/>
      <c r="GBA234" s="255"/>
      <c r="GBD234" s="242"/>
      <c r="GBE234" s="255"/>
      <c r="GBH234" s="242"/>
      <c r="GBI234" s="255"/>
      <c r="GBL234" s="242"/>
      <c r="GBM234" s="255"/>
      <c r="GBP234" s="242"/>
      <c r="GBQ234" s="255"/>
      <c r="GBT234" s="242"/>
      <c r="GBU234" s="255"/>
      <c r="GBX234" s="242"/>
      <c r="GBY234" s="255"/>
      <c r="GCB234" s="242"/>
      <c r="GCC234" s="255"/>
      <c r="GCF234" s="242"/>
      <c r="GCG234" s="255"/>
      <c r="GCJ234" s="242"/>
      <c r="GCK234" s="255"/>
      <c r="GCN234" s="242"/>
      <c r="GCO234" s="255"/>
      <c r="GCR234" s="242"/>
      <c r="GCS234" s="255"/>
      <c r="GCV234" s="242"/>
      <c r="GCW234" s="255"/>
      <c r="GCZ234" s="242"/>
      <c r="GDA234" s="255"/>
      <c r="GDD234" s="242"/>
      <c r="GDE234" s="255"/>
      <c r="GDH234" s="242"/>
      <c r="GDI234" s="255"/>
      <c r="GDL234" s="242"/>
      <c r="GDM234" s="255"/>
      <c r="GDP234" s="242"/>
      <c r="GDQ234" s="255"/>
      <c r="GDT234" s="242"/>
      <c r="GDU234" s="255"/>
      <c r="GDX234" s="242"/>
      <c r="GDY234" s="255"/>
      <c r="GEB234" s="242"/>
      <c r="GEC234" s="255"/>
      <c r="GEF234" s="242"/>
      <c r="GEG234" s="255"/>
      <c r="GEJ234" s="242"/>
      <c r="GEK234" s="255"/>
      <c r="GEN234" s="242"/>
      <c r="GEO234" s="255"/>
      <c r="GER234" s="242"/>
      <c r="GES234" s="255"/>
      <c r="GEV234" s="242"/>
      <c r="GEW234" s="255"/>
      <c r="GEZ234" s="242"/>
      <c r="GFA234" s="255"/>
      <c r="GFD234" s="242"/>
      <c r="GFE234" s="255"/>
      <c r="GFH234" s="242"/>
      <c r="GFI234" s="255"/>
      <c r="GFL234" s="242"/>
      <c r="GFM234" s="255"/>
      <c r="GFP234" s="242"/>
      <c r="GFQ234" s="255"/>
      <c r="GFT234" s="242"/>
      <c r="GFU234" s="255"/>
      <c r="GFX234" s="242"/>
      <c r="GFY234" s="255"/>
      <c r="GGB234" s="242"/>
      <c r="GGC234" s="255"/>
      <c r="GGF234" s="242"/>
      <c r="GGG234" s="255"/>
      <c r="GGJ234" s="242"/>
      <c r="GGK234" s="255"/>
      <c r="GGN234" s="242"/>
      <c r="GGO234" s="255"/>
      <c r="GGR234" s="242"/>
      <c r="GGS234" s="255"/>
      <c r="GGV234" s="242"/>
      <c r="GGW234" s="255"/>
      <c r="GGZ234" s="242"/>
      <c r="GHA234" s="255"/>
      <c r="GHD234" s="242"/>
      <c r="GHE234" s="255"/>
      <c r="GHH234" s="242"/>
      <c r="GHI234" s="255"/>
      <c r="GHL234" s="242"/>
      <c r="GHM234" s="255"/>
      <c r="GHP234" s="242"/>
      <c r="GHQ234" s="255"/>
      <c r="GHT234" s="242"/>
      <c r="GHU234" s="255"/>
      <c r="GHX234" s="242"/>
      <c r="GHY234" s="255"/>
      <c r="GIB234" s="242"/>
      <c r="GIC234" s="255"/>
      <c r="GIF234" s="242"/>
      <c r="GIG234" s="255"/>
      <c r="GIJ234" s="242"/>
      <c r="GIK234" s="255"/>
      <c r="GIN234" s="242"/>
      <c r="GIO234" s="255"/>
      <c r="GIR234" s="242"/>
      <c r="GIS234" s="255"/>
      <c r="GIV234" s="242"/>
      <c r="GIW234" s="255"/>
      <c r="GIZ234" s="242"/>
      <c r="GJA234" s="255"/>
      <c r="GJD234" s="242"/>
      <c r="GJE234" s="255"/>
      <c r="GJH234" s="242"/>
      <c r="GJI234" s="255"/>
      <c r="GJL234" s="242"/>
      <c r="GJM234" s="255"/>
      <c r="GJP234" s="242"/>
      <c r="GJQ234" s="255"/>
      <c r="GJT234" s="242"/>
      <c r="GJU234" s="255"/>
      <c r="GJX234" s="242"/>
      <c r="GJY234" s="255"/>
      <c r="GKB234" s="242"/>
      <c r="GKC234" s="255"/>
      <c r="GKF234" s="242"/>
      <c r="GKG234" s="255"/>
      <c r="GKJ234" s="242"/>
      <c r="GKK234" s="255"/>
      <c r="GKN234" s="242"/>
      <c r="GKO234" s="255"/>
      <c r="GKR234" s="242"/>
      <c r="GKS234" s="255"/>
      <c r="GKV234" s="242"/>
      <c r="GKW234" s="255"/>
      <c r="GKZ234" s="242"/>
      <c r="GLA234" s="255"/>
      <c r="GLD234" s="242"/>
      <c r="GLE234" s="255"/>
      <c r="GLH234" s="242"/>
      <c r="GLI234" s="255"/>
      <c r="GLL234" s="242"/>
      <c r="GLM234" s="255"/>
      <c r="GLP234" s="242"/>
      <c r="GLQ234" s="255"/>
      <c r="GLT234" s="242"/>
      <c r="GLU234" s="255"/>
      <c r="GLX234" s="242"/>
      <c r="GLY234" s="255"/>
      <c r="GMB234" s="242"/>
      <c r="GMC234" s="255"/>
      <c r="GMF234" s="242"/>
      <c r="GMG234" s="255"/>
      <c r="GMJ234" s="242"/>
      <c r="GMK234" s="255"/>
      <c r="GMN234" s="242"/>
      <c r="GMO234" s="255"/>
      <c r="GMR234" s="242"/>
      <c r="GMS234" s="255"/>
      <c r="GMV234" s="242"/>
      <c r="GMW234" s="255"/>
      <c r="GMZ234" s="242"/>
      <c r="GNA234" s="255"/>
      <c r="GND234" s="242"/>
      <c r="GNE234" s="255"/>
      <c r="GNH234" s="242"/>
      <c r="GNI234" s="255"/>
      <c r="GNL234" s="242"/>
      <c r="GNM234" s="255"/>
      <c r="GNP234" s="242"/>
      <c r="GNQ234" s="255"/>
      <c r="GNT234" s="242"/>
      <c r="GNU234" s="255"/>
      <c r="GNX234" s="242"/>
      <c r="GNY234" s="255"/>
      <c r="GOB234" s="242"/>
      <c r="GOC234" s="255"/>
      <c r="GOF234" s="242"/>
      <c r="GOG234" s="255"/>
      <c r="GOJ234" s="242"/>
      <c r="GOK234" s="255"/>
      <c r="GON234" s="242"/>
      <c r="GOO234" s="255"/>
      <c r="GOR234" s="242"/>
      <c r="GOS234" s="255"/>
      <c r="GOV234" s="242"/>
      <c r="GOW234" s="255"/>
      <c r="GOZ234" s="242"/>
      <c r="GPA234" s="255"/>
      <c r="GPD234" s="242"/>
      <c r="GPE234" s="255"/>
      <c r="GPH234" s="242"/>
      <c r="GPI234" s="255"/>
      <c r="GPL234" s="242"/>
      <c r="GPM234" s="255"/>
      <c r="GPP234" s="242"/>
      <c r="GPQ234" s="255"/>
      <c r="GPT234" s="242"/>
      <c r="GPU234" s="255"/>
      <c r="GPX234" s="242"/>
      <c r="GPY234" s="255"/>
      <c r="GQB234" s="242"/>
      <c r="GQC234" s="255"/>
      <c r="GQF234" s="242"/>
      <c r="GQG234" s="255"/>
      <c r="GQJ234" s="242"/>
      <c r="GQK234" s="255"/>
      <c r="GQN234" s="242"/>
      <c r="GQO234" s="255"/>
      <c r="GQR234" s="242"/>
      <c r="GQS234" s="255"/>
      <c r="GQV234" s="242"/>
      <c r="GQW234" s="255"/>
      <c r="GQZ234" s="242"/>
      <c r="GRA234" s="255"/>
      <c r="GRD234" s="242"/>
      <c r="GRE234" s="255"/>
      <c r="GRH234" s="242"/>
      <c r="GRI234" s="255"/>
      <c r="GRL234" s="242"/>
      <c r="GRM234" s="255"/>
      <c r="GRP234" s="242"/>
      <c r="GRQ234" s="255"/>
      <c r="GRT234" s="242"/>
      <c r="GRU234" s="255"/>
      <c r="GRX234" s="242"/>
      <c r="GRY234" s="255"/>
      <c r="GSB234" s="242"/>
      <c r="GSC234" s="255"/>
      <c r="GSF234" s="242"/>
      <c r="GSG234" s="255"/>
      <c r="GSJ234" s="242"/>
      <c r="GSK234" s="255"/>
      <c r="GSN234" s="242"/>
      <c r="GSO234" s="255"/>
      <c r="GSR234" s="242"/>
      <c r="GSS234" s="255"/>
      <c r="GSV234" s="242"/>
      <c r="GSW234" s="255"/>
      <c r="GSZ234" s="242"/>
      <c r="GTA234" s="255"/>
      <c r="GTD234" s="242"/>
      <c r="GTE234" s="255"/>
      <c r="GTH234" s="242"/>
      <c r="GTI234" s="255"/>
      <c r="GTL234" s="242"/>
      <c r="GTM234" s="255"/>
      <c r="GTP234" s="242"/>
      <c r="GTQ234" s="255"/>
      <c r="GTT234" s="242"/>
      <c r="GTU234" s="255"/>
      <c r="GTX234" s="242"/>
      <c r="GTY234" s="255"/>
      <c r="GUB234" s="242"/>
      <c r="GUC234" s="255"/>
      <c r="GUF234" s="242"/>
      <c r="GUG234" s="255"/>
      <c r="GUJ234" s="242"/>
      <c r="GUK234" s="255"/>
      <c r="GUN234" s="242"/>
      <c r="GUO234" s="255"/>
      <c r="GUR234" s="242"/>
      <c r="GUS234" s="255"/>
      <c r="GUV234" s="242"/>
      <c r="GUW234" s="255"/>
      <c r="GUZ234" s="242"/>
      <c r="GVA234" s="255"/>
      <c r="GVD234" s="242"/>
      <c r="GVE234" s="255"/>
      <c r="GVH234" s="242"/>
      <c r="GVI234" s="255"/>
      <c r="GVL234" s="242"/>
      <c r="GVM234" s="255"/>
      <c r="GVP234" s="242"/>
      <c r="GVQ234" s="255"/>
      <c r="GVT234" s="242"/>
      <c r="GVU234" s="255"/>
      <c r="GVX234" s="242"/>
      <c r="GVY234" s="255"/>
      <c r="GWB234" s="242"/>
      <c r="GWC234" s="255"/>
      <c r="GWF234" s="242"/>
      <c r="GWG234" s="255"/>
      <c r="GWJ234" s="242"/>
      <c r="GWK234" s="255"/>
      <c r="GWN234" s="242"/>
      <c r="GWO234" s="255"/>
      <c r="GWR234" s="242"/>
      <c r="GWS234" s="255"/>
      <c r="GWV234" s="242"/>
      <c r="GWW234" s="255"/>
      <c r="GWZ234" s="242"/>
      <c r="GXA234" s="255"/>
      <c r="GXD234" s="242"/>
      <c r="GXE234" s="255"/>
      <c r="GXH234" s="242"/>
      <c r="GXI234" s="255"/>
      <c r="GXL234" s="242"/>
      <c r="GXM234" s="255"/>
      <c r="GXP234" s="242"/>
      <c r="GXQ234" s="255"/>
      <c r="GXT234" s="242"/>
      <c r="GXU234" s="255"/>
      <c r="GXX234" s="242"/>
      <c r="GXY234" s="255"/>
      <c r="GYB234" s="242"/>
      <c r="GYC234" s="255"/>
      <c r="GYF234" s="242"/>
      <c r="GYG234" s="255"/>
      <c r="GYJ234" s="242"/>
      <c r="GYK234" s="255"/>
      <c r="GYN234" s="242"/>
      <c r="GYO234" s="255"/>
      <c r="GYR234" s="242"/>
      <c r="GYS234" s="255"/>
      <c r="GYV234" s="242"/>
      <c r="GYW234" s="255"/>
      <c r="GYZ234" s="242"/>
      <c r="GZA234" s="255"/>
      <c r="GZD234" s="242"/>
      <c r="GZE234" s="255"/>
      <c r="GZH234" s="242"/>
      <c r="GZI234" s="255"/>
      <c r="GZL234" s="242"/>
      <c r="GZM234" s="255"/>
      <c r="GZP234" s="242"/>
      <c r="GZQ234" s="255"/>
      <c r="GZT234" s="242"/>
      <c r="GZU234" s="255"/>
      <c r="GZX234" s="242"/>
      <c r="GZY234" s="255"/>
      <c r="HAB234" s="242"/>
      <c r="HAC234" s="255"/>
      <c r="HAF234" s="242"/>
      <c r="HAG234" s="255"/>
      <c r="HAJ234" s="242"/>
      <c r="HAK234" s="255"/>
      <c r="HAN234" s="242"/>
      <c r="HAO234" s="255"/>
      <c r="HAR234" s="242"/>
      <c r="HAS234" s="255"/>
      <c r="HAV234" s="242"/>
      <c r="HAW234" s="255"/>
      <c r="HAZ234" s="242"/>
      <c r="HBA234" s="255"/>
      <c r="HBD234" s="242"/>
      <c r="HBE234" s="255"/>
      <c r="HBH234" s="242"/>
      <c r="HBI234" s="255"/>
      <c r="HBL234" s="242"/>
      <c r="HBM234" s="255"/>
      <c r="HBP234" s="242"/>
      <c r="HBQ234" s="255"/>
      <c r="HBT234" s="242"/>
      <c r="HBU234" s="255"/>
      <c r="HBX234" s="242"/>
      <c r="HBY234" s="255"/>
      <c r="HCB234" s="242"/>
      <c r="HCC234" s="255"/>
      <c r="HCF234" s="242"/>
      <c r="HCG234" s="255"/>
      <c r="HCJ234" s="242"/>
      <c r="HCK234" s="255"/>
      <c r="HCN234" s="242"/>
      <c r="HCO234" s="255"/>
      <c r="HCR234" s="242"/>
      <c r="HCS234" s="255"/>
      <c r="HCV234" s="242"/>
      <c r="HCW234" s="255"/>
      <c r="HCZ234" s="242"/>
      <c r="HDA234" s="255"/>
      <c r="HDD234" s="242"/>
      <c r="HDE234" s="255"/>
      <c r="HDH234" s="242"/>
      <c r="HDI234" s="255"/>
      <c r="HDL234" s="242"/>
      <c r="HDM234" s="255"/>
      <c r="HDP234" s="242"/>
      <c r="HDQ234" s="255"/>
      <c r="HDT234" s="242"/>
      <c r="HDU234" s="255"/>
      <c r="HDX234" s="242"/>
      <c r="HDY234" s="255"/>
      <c r="HEB234" s="242"/>
      <c r="HEC234" s="255"/>
      <c r="HEF234" s="242"/>
      <c r="HEG234" s="255"/>
      <c r="HEJ234" s="242"/>
      <c r="HEK234" s="255"/>
      <c r="HEN234" s="242"/>
      <c r="HEO234" s="255"/>
      <c r="HER234" s="242"/>
      <c r="HES234" s="255"/>
      <c r="HEV234" s="242"/>
      <c r="HEW234" s="255"/>
      <c r="HEZ234" s="242"/>
      <c r="HFA234" s="255"/>
      <c r="HFD234" s="242"/>
      <c r="HFE234" s="255"/>
      <c r="HFH234" s="242"/>
      <c r="HFI234" s="255"/>
      <c r="HFL234" s="242"/>
      <c r="HFM234" s="255"/>
      <c r="HFP234" s="242"/>
      <c r="HFQ234" s="255"/>
      <c r="HFT234" s="242"/>
      <c r="HFU234" s="255"/>
      <c r="HFX234" s="242"/>
      <c r="HFY234" s="255"/>
      <c r="HGB234" s="242"/>
      <c r="HGC234" s="255"/>
      <c r="HGF234" s="242"/>
      <c r="HGG234" s="255"/>
      <c r="HGJ234" s="242"/>
      <c r="HGK234" s="255"/>
      <c r="HGN234" s="242"/>
      <c r="HGO234" s="255"/>
      <c r="HGR234" s="242"/>
      <c r="HGS234" s="255"/>
      <c r="HGV234" s="242"/>
      <c r="HGW234" s="255"/>
      <c r="HGZ234" s="242"/>
      <c r="HHA234" s="255"/>
      <c r="HHD234" s="242"/>
      <c r="HHE234" s="255"/>
      <c r="HHH234" s="242"/>
      <c r="HHI234" s="255"/>
      <c r="HHL234" s="242"/>
      <c r="HHM234" s="255"/>
      <c r="HHP234" s="242"/>
      <c r="HHQ234" s="255"/>
      <c r="HHT234" s="242"/>
      <c r="HHU234" s="255"/>
      <c r="HHX234" s="242"/>
      <c r="HHY234" s="255"/>
      <c r="HIB234" s="242"/>
      <c r="HIC234" s="255"/>
      <c r="HIF234" s="242"/>
      <c r="HIG234" s="255"/>
      <c r="HIJ234" s="242"/>
      <c r="HIK234" s="255"/>
      <c r="HIN234" s="242"/>
      <c r="HIO234" s="255"/>
      <c r="HIR234" s="242"/>
      <c r="HIS234" s="255"/>
      <c r="HIV234" s="242"/>
      <c r="HIW234" s="255"/>
      <c r="HIZ234" s="242"/>
      <c r="HJA234" s="255"/>
      <c r="HJD234" s="242"/>
      <c r="HJE234" s="255"/>
      <c r="HJH234" s="242"/>
      <c r="HJI234" s="255"/>
      <c r="HJL234" s="242"/>
      <c r="HJM234" s="255"/>
      <c r="HJP234" s="242"/>
      <c r="HJQ234" s="255"/>
      <c r="HJT234" s="242"/>
      <c r="HJU234" s="255"/>
      <c r="HJX234" s="242"/>
      <c r="HJY234" s="255"/>
      <c r="HKB234" s="242"/>
      <c r="HKC234" s="255"/>
      <c r="HKF234" s="242"/>
      <c r="HKG234" s="255"/>
      <c r="HKJ234" s="242"/>
      <c r="HKK234" s="255"/>
      <c r="HKN234" s="242"/>
      <c r="HKO234" s="255"/>
      <c r="HKR234" s="242"/>
      <c r="HKS234" s="255"/>
      <c r="HKV234" s="242"/>
      <c r="HKW234" s="255"/>
      <c r="HKZ234" s="242"/>
      <c r="HLA234" s="255"/>
      <c r="HLD234" s="242"/>
      <c r="HLE234" s="255"/>
      <c r="HLH234" s="242"/>
      <c r="HLI234" s="255"/>
      <c r="HLL234" s="242"/>
      <c r="HLM234" s="255"/>
      <c r="HLP234" s="242"/>
      <c r="HLQ234" s="255"/>
      <c r="HLT234" s="242"/>
      <c r="HLU234" s="255"/>
      <c r="HLX234" s="242"/>
      <c r="HLY234" s="255"/>
      <c r="HMB234" s="242"/>
      <c r="HMC234" s="255"/>
      <c r="HMF234" s="242"/>
      <c r="HMG234" s="255"/>
      <c r="HMJ234" s="242"/>
      <c r="HMK234" s="255"/>
      <c r="HMN234" s="242"/>
      <c r="HMO234" s="255"/>
      <c r="HMR234" s="242"/>
      <c r="HMS234" s="255"/>
      <c r="HMV234" s="242"/>
      <c r="HMW234" s="255"/>
      <c r="HMZ234" s="242"/>
      <c r="HNA234" s="255"/>
      <c r="HND234" s="242"/>
      <c r="HNE234" s="255"/>
      <c r="HNH234" s="242"/>
      <c r="HNI234" s="255"/>
      <c r="HNL234" s="242"/>
      <c r="HNM234" s="255"/>
      <c r="HNP234" s="242"/>
      <c r="HNQ234" s="255"/>
      <c r="HNT234" s="242"/>
      <c r="HNU234" s="255"/>
      <c r="HNX234" s="242"/>
      <c r="HNY234" s="255"/>
      <c r="HOB234" s="242"/>
      <c r="HOC234" s="255"/>
      <c r="HOF234" s="242"/>
      <c r="HOG234" s="255"/>
      <c r="HOJ234" s="242"/>
      <c r="HOK234" s="255"/>
      <c r="HON234" s="242"/>
      <c r="HOO234" s="255"/>
      <c r="HOR234" s="242"/>
      <c r="HOS234" s="255"/>
      <c r="HOV234" s="242"/>
      <c r="HOW234" s="255"/>
      <c r="HOZ234" s="242"/>
      <c r="HPA234" s="255"/>
      <c r="HPD234" s="242"/>
      <c r="HPE234" s="255"/>
      <c r="HPH234" s="242"/>
      <c r="HPI234" s="255"/>
      <c r="HPL234" s="242"/>
      <c r="HPM234" s="255"/>
      <c r="HPP234" s="242"/>
      <c r="HPQ234" s="255"/>
      <c r="HPT234" s="242"/>
      <c r="HPU234" s="255"/>
      <c r="HPX234" s="242"/>
      <c r="HPY234" s="255"/>
      <c r="HQB234" s="242"/>
      <c r="HQC234" s="255"/>
      <c r="HQF234" s="242"/>
      <c r="HQG234" s="255"/>
      <c r="HQJ234" s="242"/>
      <c r="HQK234" s="255"/>
      <c r="HQN234" s="242"/>
      <c r="HQO234" s="255"/>
      <c r="HQR234" s="242"/>
      <c r="HQS234" s="255"/>
      <c r="HQV234" s="242"/>
      <c r="HQW234" s="255"/>
      <c r="HQZ234" s="242"/>
      <c r="HRA234" s="255"/>
      <c r="HRD234" s="242"/>
      <c r="HRE234" s="255"/>
      <c r="HRH234" s="242"/>
      <c r="HRI234" s="255"/>
      <c r="HRL234" s="242"/>
      <c r="HRM234" s="255"/>
      <c r="HRP234" s="242"/>
      <c r="HRQ234" s="255"/>
      <c r="HRT234" s="242"/>
      <c r="HRU234" s="255"/>
      <c r="HRX234" s="242"/>
      <c r="HRY234" s="255"/>
      <c r="HSB234" s="242"/>
      <c r="HSC234" s="255"/>
      <c r="HSF234" s="242"/>
      <c r="HSG234" s="255"/>
      <c r="HSJ234" s="242"/>
      <c r="HSK234" s="255"/>
      <c r="HSN234" s="242"/>
      <c r="HSO234" s="255"/>
      <c r="HSR234" s="242"/>
      <c r="HSS234" s="255"/>
      <c r="HSV234" s="242"/>
      <c r="HSW234" s="255"/>
      <c r="HSZ234" s="242"/>
      <c r="HTA234" s="255"/>
      <c r="HTD234" s="242"/>
      <c r="HTE234" s="255"/>
      <c r="HTH234" s="242"/>
      <c r="HTI234" s="255"/>
      <c r="HTL234" s="242"/>
      <c r="HTM234" s="255"/>
      <c r="HTP234" s="242"/>
      <c r="HTQ234" s="255"/>
      <c r="HTT234" s="242"/>
      <c r="HTU234" s="255"/>
      <c r="HTX234" s="242"/>
      <c r="HTY234" s="255"/>
      <c r="HUB234" s="242"/>
      <c r="HUC234" s="255"/>
      <c r="HUF234" s="242"/>
      <c r="HUG234" s="255"/>
      <c r="HUJ234" s="242"/>
      <c r="HUK234" s="255"/>
      <c r="HUN234" s="242"/>
      <c r="HUO234" s="255"/>
      <c r="HUR234" s="242"/>
      <c r="HUS234" s="255"/>
      <c r="HUV234" s="242"/>
      <c r="HUW234" s="255"/>
      <c r="HUZ234" s="242"/>
      <c r="HVA234" s="255"/>
      <c r="HVD234" s="242"/>
      <c r="HVE234" s="255"/>
      <c r="HVH234" s="242"/>
      <c r="HVI234" s="255"/>
      <c r="HVL234" s="242"/>
      <c r="HVM234" s="255"/>
      <c r="HVP234" s="242"/>
      <c r="HVQ234" s="255"/>
      <c r="HVT234" s="242"/>
      <c r="HVU234" s="255"/>
      <c r="HVX234" s="242"/>
      <c r="HVY234" s="255"/>
      <c r="HWB234" s="242"/>
      <c r="HWC234" s="255"/>
      <c r="HWF234" s="242"/>
      <c r="HWG234" s="255"/>
      <c r="HWJ234" s="242"/>
      <c r="HWK234" s="255"/>
      <c r="HWN234" s="242"/>
      <c r="HWO234" s="255"/>
      <c r="HWR234" s="242"/>
      <c r="HWS234" s="255"/>
      <c r="HWV234" s="242"/>
      <c r="HWW234" s="255"/>
      <c r="HWZ234" s="242"/>
      <c r="HXA234" s="255"/>
      <c r="HXD234" s="242"/>
      <c r="HXE234" s="255"/>
      <c r="HXH234" s="242"/>
      <c r="HXI234" s="255"/>
      <c r="HXL234" s="242"/>
      <c r="HXM234" s="255"/>
      <c r="HXP234" s="242"/>
      <c r="HXQ234" s="255"/>
      <c r="HXT234" s="242"/>
      <c r="HXU234" s="255"/>
      <c r="HXX234" s="242"/>
      <c r="HXY234" s="255"/>
      <c r="HYB234" s="242"/>
      <c r="HYC234" s="255"/>
      <c r="HYF234" s="242"/>
      <c r="HYG234" s="255"/>
      <c r="HYJ234" s="242"/>
      <c r="HYK234" s="255"/>
      <c r="HYN234" s="242"/>
      <c r="HYO234" s="255"/>
      <c r="HYR234" s="242"/>
      <c r="HYS234" s="255"/>
      <c r="HYV234" s="242"/>
      <c r="HYW234" s="255"/>
      <c r="HYZ234" s="242"/>
      <c r="HZA234" s="255"/>
      <c r="HZD234" s="242"/>
      <c r="HZE234" s="255"/>
      <c r="HZH234" s="242"/>
      <c r="HZI234" s="255"/>
      <c r="HZL234" s="242"/>
      <c r="HZM234" s="255"/>
      <c r="HZP234" s="242"/>
      <c r="HZQ234" s="255"/>
      <c r="HZT234" s="242"/>
      <c r="HZU234" s="255"/>
      <c r="HZX234" s="242"/>
      <c r="HZY234" s="255"/>
      <c r="IAB234" s="242"/>
      <c r="IAC234" s="255"/>
      <c r="IAF234" s="242"/>
      <c r="IAG234" s="255"/>
      <c r="IAJ234" s="242"/>
      <c r="IAK234" s="255"/>
      <c r="IAN234" s="242"/>
      <c r="IAO234" s="255"/>
      <c r="IAR234" s="242"/>
      <c r="IAS234" s="255"/>
      <c r="IAV234" s="242"/>
      <c r="IAW234" s="255"/>
      <c r="IAZ234" s="242"/>
      <c r="IBA234" s="255"/>
      <c r="IBD234" s="242"/>
      <c r="IBE234" s="255"/>
      <c r="IBH234" s="242"/>
      <c r="IBI234" s="255"/>
      <c r="IBL234" s="242"/>
      <c r="IBM234" s="255"/>
      <c r="IBP234" s="242"/>
      <c r="IBQ234" s="255"/>
      <c r="IBT234" s="242"/>
      <c r="IBU234" s="255"/>
      <c r="IBX234" s="242"/>
      <c r="IBY234" s="255"/>
      <c r="ICB234" s="242"/>
      <c r="ICC234" s="255"/>
      <c r="ICF234" s="242"/>
      <c r="ICG234" s="255"/>
      <c r="ICJ234" s="242"/>
      <c r="ICK234" s="255"/>
      <c r="ICN234" s="242"/>
      <c r="ICO234" s="255"/>
      <c r="ICR234" s="242"/>
      <c r="ICS234" s="255"/>
      <c r="ICV234" s="242"/>
      <c r="ICW234" s="255"/>
      <c r="ICZ234" s="242"/>
      <c r="IDA234" s="255"/>
      <c r="IDD234" s="242"/>
      <c r="IDE234" s="255"/>
      <c r="IDH234" s="242"/>
      <c r="IDI234" s="255"/>
      <c r="IDL234" s="242"/>
      <c r="IDM234" s="255"/>
      <c r="IDP234" s="242"/>
      <c r="IDQ234" s="255"/>
      <c r="IDT234" s="242"/>
      <c r="IDU234" s="255"/>
      <c r="IDX234" s="242"/>
      <c r="IDY234" s="255"/>
      <c r="IEB234" s="242"/>
      <c r="IEC234" s="255"/>
      <c r="IEF234" s="242"/>
      <c r="IEG234" s="255"/>
      <c r="IEJ234" s="242"/>
      <c r="IEK234" s="255"/>
      <c r="IEN234" s="242"/>
      <c r="IEO234" s="255"/>
      <c r="IER234" s="242"/>
      <c r="IES234" s="255"/>
      <c r="IEV234" s="242"/>
      <c r="IEW234" s="255"/>
      <c r="IEZ234" s="242"/>
      <c r="IFA234" s="255"/>
      <c r="IFD234" s="242"/>
      <c r="IFE234" s="255"/>
      <c r="IFH234" s="242"/>
      <c r="IFI234" s="255"/>
      <c r="IFL234" s="242"/>
      <c r="IFM234" s="255"/>
      <c r="IFP234" s="242"/>
      <c r="IFQ234" s="255"/>
      <c r="IFT234" s="242"/>
      <c r="IFU234" s="255"/>
      <c r="IFX234" s="242"/>
      <c r="IFY234" s="255"/>
      <c r="IGB234" s="242"/>
      <c r="IGC234" s="255"/>
      <c r="IGF234" s="242"/>
      <c r="IGG234" s="255"/>
      <c r="IGJ234" s="242"/>
      <c r="IGK234" s="255"/>
      <c r="IGN234" s="242"/>
      <c r="IGO234" s="255"/>
      <c r="IGR234" s="242"/>
      <c r="IGS234" s="255"/>
      <c r="IGV234" s="242"/>
      <c r="IGW234" s="255"/>
      <c r="IGZ234" s="242"/>
      <c r="IHA234" s="255"/>
      <c r="IHD234" s="242"/>
      <c r="IHE234" s="255"/>
      <c r="IHH234" s="242"/>
      <c r="IHI234" s="255"/>
      <c r="IHL234" s="242"/>
      <c r="IHM234" s="255"/>
      <c r="IHP234" s="242"/>
      <c r="IHQ234" s="255"/>
      <c r="IHT234" s="242"/>
      <c r="IHU234" s="255"/>
      <c r="IHX234" s="242"/>
      <c r="IHY234" s="255"/>
      <c r="IIB234" s="242"/>
      <c r="IIC234" s="255"/>
      <c r="IIF234" s="242"/>
      <c r="IIG234" s="255"/>
      <c r="IIJ234" s="242"/>
      <c r="IIK234" s="255"/>
      <c r="IIN234" s="242"/>
      <c r="IIO234" s="255"/>
      <c r="IIR234" s="242"/>
      <c r="IIS234" s="255"/>
      <c r="IIV234" s="242"/>
      <c r="IIW234" s="255"/>
      <c r="IIZ234" s="242"/>
      <c r="IJA234" s="255"/>
      <c r="IJD234" s="242"/>
      <c r="IJE234" s="255"/>
      <c r="IJH234" s="242"/>
      <c r="IJI234" s="255"/>
      <c r="IJL234" s="242"/>
      <c r="IJM234" s="255"/>
      <c r="IJP234" s="242"/>
      <c r="IJQ234" s="255"/>
      <c r="IJT234" s="242"/>
      <c r="IJU234" s="255"/>
      <c r="IJX234" s="242"/>
      <c r="IJY234" s="255"/>
      <c r="IKB234" s="242"/>
      <c r="IKC234" s="255"/>
      <c r="IKF234" s="242"/>
      <c r="IKG234" s="255"/>
      <c r="IKJ234" s="242"/>
      <c r="IKK234" s="255"/>
      <c r="IKN234" s="242"/>
      <c r="IKO234" s="255"/>
      <c r="IKR234" s="242"/>
      <c r="IKS234" s="255"/>
      <c r="IKV234" s="242"/>
      <c r="IKW234" s="255"/>
      <c r="IKZ234" s="242"/>
      <c r="ILA234" s="255"/>
      <c r="ILD234" s="242"/>
      <c r="ILE234" s="255"/>
      <c r="ILH234" s="242"/>
      <c r="ILI234" s="255"/>
      <c r="ILL234" s="242"/>
      <c r="ILM234" s="255"/>
      <c r="ILP234" s="242"/>
      <c r="ILQ234" s="255"/>
      <c r="ILT234" s="242"/>
      <c r="ILU234" s="255"/>
      <c r="ILX234" s="242"/>
      <c r="ILY234" s="255"/>
      <c r="IMB234" s="242"/>
      <c r="IMC234" s="255"/>
      <c r="IMF234" s="242"/>
      <c r="IMG234" s="255"/>
      <c r="IMJ234" s="242"/>
      <c r="IMK234" s="255"/>
      <c r="IMN234" s="242"/>
      <c r="IMO234" s="255"/>
      <c r="IMR234" s="242"/>
      <c r="IMS234" s="255"/>
      <c r="IMV234" s="242"/>
      <c r="IMW234" s="255"/>
      <c r="IMZ234" s="242"/>
      <c r="INA234" s="255"/>
      <c r="IND234" s="242"/>
      <c r="INE234" s="255"/>
      <c r="INH234" s="242"/>
      <c r="INI234" s="255"/>
      <c r="INL234" s="242"/>
      <c r="INM234" s="255"/>
      <c r="INP234" s="242"/>
      <c r="INQ234" s="255"/>
      <c r="INT234" s="242"/>
      <c r="INU234" s="255"/>
      <c r="INX234" s="242"/>
      <c r="INY234" s="255"/>
      <c r="IOB234" s="242"/>
      <c r="IOC234" s="255"/>
      <c r="IOF234" s="242"/>
      <c r="IOG234" s="255"/>
      <c r="IOJ234" s="242"/>
      <c r="IOK234" s="255"/>
      <c r="ION234" s="242"/>
      <c r="IOO234" s="255"/>
      <c r="IOR234" s="242"/>
      <c r="IOS234" s="255"/>
      <c r="IOV234" s="242"/>
      <c r="IOW234" s="255"/>
      <c r="IOZ234" s="242"/>
      <c r="IPA234" s="255"/>
      <c r="IPD234" s="242"/>
      <c r="IPE234" s="255"/>
      <c r="IPH234" s="242"/>
      <c r="IPI234" s="255"/>
      <c r="IPL234" s="242"/>
      <c r="IPM234" s="255"/>
      <c r="IPP234" s="242"/>
      <c r="IPQ234" s="255"/>
      <c r="IPT234" s="242"/>
      <c r="IPU234" s="255"/>
      <c r="IPX234" s="242"/>
      <c r="IPY234" s="255"/>
      <c r="IQB234" s="242"/>
      <c r="IQC234" s="255"/>
      <c r="IQF234" s="242"/>
      <c r="IQG234" s="255"/>
      <c r="IQJ234" s="242"/>
      <c r="IQK234" s="255"/>
      <c r="IQN234" s="242"/>
      <c r="IQO234" s="255"/>
      <c r="IQR234" s="242"/>
      <c r="IQS234" s="255"/>
      <c r="IQV234" s="242"/>
      <c r="IQW234" s="255"/>
      <c r="IQZ234" s="242"/>
      <c r="IRA234" s="255"/>
      <c r="IRD234" s="242"/>
      <c r="IRE234" s="255"/>
      <c r="IRH234" s="242"/>
      <c r="IRI234" s="255"/>
      <c r="IRL234" s="242"/>
      <c r="IRM234" s="255"/>
      <c r="IRP234" s="242"/>
      <c r="IRQ234" s="255"/>
      <c r="IRT234" s="242"/>
      <c r="IRU234" s="255"/>
      <c r="IRX234" s="242"/>
      <c r="IRY234" s="255"/>
      <c r="ISB234" s="242"/>
      <c r="ISC234" s="255"/>
      <c r="ISF234" s="242"/>
      <c r="ISG234" s="255"/>
      <c r="ISJ234" s="242"/>
      <c r="ISK234" s="255"/>
      <c r="ISN234" s="242"/>
      <c r="ISO234" s="255"/>
      <c r="ISR234" s="242"/>
      <c r="ISS234" s="255"/>
      <c r="ISV234" s="242"/>
      <c r="ISW234" s="255"/>
      <c r="ISZ234" s="242"/>
      <c r="ITA234" s="255"/>
      <c r="ITD234" s="242"/>
      <c r="ITE234" s="255"/>
      <c r="ITH234" s="242"/>
      <c r="ITI234" s="255"/>
      <c r="ITL234" s="242"/>
      <c r="ITM234" s="255"/>
      <c r="ITP234" s="242"/>
      <c r="ITQ234" s="255"/>
      <c r="ITT234" s="242"/>
      <c r="ITU234" s="255"/>
      <c r="ITX234" s="242"/>
      <c r="ITY234" s="255"/>
      <c r="IUB234" s="242"/>
      <c r="IUC234" s="255"/>
      <c r="IUF234" s="242"/>
      <c r="IUG234" s="255"/>
      <c r="IUJ234" s="242"/>
      <c r="IUK234" s="255"/>
      <c r="IUN234" s="242"/>
      <c r="IUO234" s="255"/>
      <c r="IUR234" s="242"/>
      <c r="IUS234" s="255"/>
      <c r="IUV234" s="242"/>
      <c r="IUW234" s="255"/>
      <c r="IUZ234" s="242"/>
      <c r="IVA234" s="255"/>
      <c r="IVD234" s="242"/>
      <c r="IVE234" s="255"/>
      <c r="IVH234" s="242"/>
      <c r="IVI234" s="255"/>
      <c r="IVL234" s="242"/>
      <c r="IVM234" s="255"/>
      <c r="IVP234" s="242"/>
      <c r="IVQ234" s="255"/>
      <c r="IVT234" s="242"/>
      <c r="IVU234" s="255"/>
      <c r="IVX234" s="242"/>
      <c r="IVY234" s="255"/>
      <c r="IWB234" s="242"/>
      <c r="IWC234" s="255"/>
      <c r="IWF234" s="242"/>
      <c r="IWG234" s="255"/>
      <c r="IWJ234" s="242"/>
      <c r="IWK234" s="255"/>
      <c r="IWN234" s="242"/>
      <c r="IWO234" s="255"/>
      <c r="IWR234" s="242"/>
      <c r="IWS234" s="255"/>
      <c r="IWV234" s="242"/>
      <c r="IWW234" s="255"/>
      <c r="IWZ234" s="242"/>
      <c r="IXA234" s="255"/>
      <c r="IXD234" s="242"/>
      <c r="IXE234" s="255"/>
      <c r="IXH234" s="242"/>
      <c r="IXI234" s="255"/>
      <c r="IXL234" s="242"/>
      <c r="IXM234" s="255"/>
      <c r="IXP234" s="242"/>
      <c r="IXQ234" s="255"/>
      <c r="IXT234" s="242"/>
      <c r="IXU234" s="255"/>
      <c r="IXX234" s="242"/>
      <c r="IXY234" s="255"/>
      <c r="IYB234" s="242"/>
      <c r="IYC234" s="255"/>
      <c r="IYF234" s="242"/>
      <c r="IYG234" s="255"/>
      <c r="IYJ234" s="242"/>
      <c r="IYK234" s="255"/>
      <c r="IYN234" s="242"/>
      <c r="IYO234" s="255"/>
      <c r="IYR234" s="242"/>
      <c r="IYS234" s="255"/>
      <c r="IYV234" s="242"/>
      <c r="IYW234" s="255"/>
      <c r="IYZ234" s="242"/>
      <c r="IZA234" s="255"/>
      <c r="IZD234" s="242"/>
      <c r="IZE234" s="255"/>
      <c r="IZH234" s="242"/>
      <c r="IZI234" s="255"/>
      <c r="IZL234" s="242"/>
      <c r="IZM234" s="255"/>
      <c r="IZP234" s="242"/>
      <c r="IZQ234" s="255"/>
      <c r="IZT234" s="242"/>
      <c r="IZU234" s="255"/>
      <c r="IZX234" s="242"/>
      <c r="IZY234" s="255"/>
      <c r="JAB234" s="242"/>
      <c r="JAC234" s="255"/>
      <c r="JAF234" s="242"/>
      <c r="JAG234" s="255"/>
      <c r="JAJ234" s="242"/>
      <c r="JAK234" s="255"/>
      <c r="JAN234" s="242"/>
      <c r="JAO234" s="255"/>
      <c r="JAR234" s="242"/>
      <c r="JAS234" s="255"/>
      <c r="JAV234" s="242"/>
      <c r="JAW234" s="255"/>
      <c r="JAZ234" s="242"/>
      <c r="JBA234" s="255"/>
      <c r="JBD234" s="242"/>
      <c r="JBE234" s="255"/>
      <c r="JBH234" s="242"/>
      <c r="JBI234" s="255"/>
      <c r="JBL234" s="242"/>
      <c r="JBM234" s="255"/>
      <c r="JBP234" s="242"/>
      <c r="JBQ234" s="255"/>
      <c r="JBT234" s="242"/>
      <c r="JBU234" s="255"/>
      <c r="JBX234" s="242"/>
      <c r="JBY234" s="255"/>
      <c r="JCB234" s="242"/>
      <c r="JCC234" s="255"/>
      <c r="JCF234" s="242"/>
      <c r="JCG234" s="255"/>
      <c r="JCJ234" s="242"/>
      <c r="JCK234" s="255"/>
      <c r="JCN234" s="242"/>
      <c r="JCO234" s="255"/>
      <c r="JCR234" s="242"/>
      <c r="JCS234" s="255"/>
      <c r="JCV234" s="242"/>
      <c r="JCW234" s="255"/>
      <c r="JCZ234" s="242"/>
      <c r="JDA234" s="255"/>
      <c r="JDD234" s="242"/>
      <c r="JDE234" s="255"/>
      <c r="JDH234" s="242"/>
      <c r="JDI234" s="255"/>
      <c r="JDL234" s="242"/>
      <c r="JDM234" s="255"/>
      <c r="JDP234" s="242"/>
      <c r="JDQ234" s="255"/>
      <c r="JDT234" s="242"/>
      <c r="JDU234" s="255"/>
      <c r="JDX234" s="242"/>
      <c r="JDY234" s="255"/>
      <c r="JEB234" s="242"/>
      <c r="JEC234" s="255"/>
      <c r="JEF234" s="242"/>
      <c r="JEG234" s="255"/>
      <c r="JEJ234" s="242"/>
      <c r="JEK234" s="255"/>
      <c r="JEN234" s="242"/>
      <c r="JEO234" s="255"/>
      <c r="JER234" s="242"/>
      <c r="JES234" s="255"/>
      <c r="JEV234" s="242"/>
      <c r="JEW234" s="255"/>
      <c r="JEZ234" s="242"/>
      <c r="JFA234" s="255"/>
      <c r="JFD234" s="242"/>
      <c r="JFE234" s="255"/>
      <c r="JFH234" s="242"/>
      <c r="JFI234" s="255"/>
      <c r="JFL234" s="242"/>
      <c r="JFM234" s="255"/>
      <c r="JFP234" s="242"/>
      <c r="JFQ234" s="255"/>
      <c r="JFT234" s="242"/>
      <c r="JFU234" s="255"/>
      <c r="JFX234" s="242"/>
      <c r="JFY234" s="255"/>
      <c r="JGB234" s="242"/>
      <c r="JGC234" s="255"/>
      <c r="JGF234" s="242"/>
      <c r="JGG234" s="255"/>
      <c r="JGJ234" s="242"/>
      <c r="JGK234" s="255"/>
      <c r="JGN234" s="242"/>
      <c r="JGO234" s="255"/>
      <c r="JGR234" s="242"/>
      <c r="JGS234" s="255"/>
      <c r="JGV234" s="242"/>
      <c r="JGW234" s="255"/>
      <c r="JGZ234" s="242"/>
      <c r="JHA234" s="255"/>
      <c r="JHD234" s="242"/>
      <c r="JHE234" s="255"/>
      <c r="JHH234" s="242"/>
      <c r="JHI234" s="255"/>
      <c r="JHL234" s="242"/>
      <c r="JHM234" s="255"/>
      <c r="JHP234" s="242"/>
      <c r="JHQ234" s="255"/>
      <c r="JHT234" s="242"/>
      <c r="JHU234" s="255"/>
      <c r="JHX234" s="242"/>
      <c r="JHY234" s="255"/>
      <c r="JIB234" s="242"/>
      <c r="JIC234" s="255"/>
      <c r="JIF234" s="242"/>
      <c r="JIG234" s="255"/>
      <c r="JIJ234" s="242"/>
      <c r="JIK234" s="255"/>
      <c r="JIN234" s="242"/>
      <c r="JIO234" s="255"/>
      <c r="JIR234" s="242"/>
      <c r="JIS234" s="255"/>
      <c r="JIV234" s="242"/>
      <c r="JIW234" s="255"/>
      <c r="JIZ234" s="242"/>
      <c r="JJA234" s="255"/>
      <c r="JJD234" s="242"/>
      <c r="JJE234" s="255"/>
      <c r="JJH234" s="242"/>
      <c r="JJI234" s="255"/>
      <c r="JJL234" s="242"/>
      <c r="JJM234" s="255"/>
      <c r="JJP234" s="242"/>
      <c r="JJQ234" s="255"/>
      <c r="JJT234" s="242"/>
      <c r="JJU234" s="255"/>
      <c r="JJX234" s="242"/>
      <c r="JJY234" s="255"/>
      <c r="JKB234" s="242"/>
      <c r="JKC234" s="255"/>
      <c r="JKF234" s="242"/>
      <c r="JKG234" s="255"/>
      <c r="JKJ234" s="242"/>
      <c r="JKK234" s="255"/>
      <c r="JKN234" s="242"/>
      <c r="JKO234" s="255"/>
      <c r="JKR234" s="242"/>
      <c r="JKS234" s="255"/>
      <c r="JKV234" s="242"/>
      <c r="JKW234" s="255"/>
      <c r="JKZ234" s="242"/>
      <c r="JLA234" s="255"/>
      <c r="JLD234" s="242"/>
      <c r="JLE234" s="255"/>
      <c r="JLH234" s="242"/>
      <c r="JLI234" s="255"/>
      <c r="JLL234" s="242"/>
      <c r="JLM234" s="255"/>
      <c r="JLP234" s="242"/>
      <c r="JLQ234" s="255"/>
      <c r="JLT234" s="242"/>
      <c r="JLU234" s="255"/>
      <c r="JLX234" s="242"/>
      <c r="JLY234" s="255"/>
      <c r="JMB234" s="242"/>
      <c r="JMC234" s="255"/>
      <c r="JMF234" s="242"/>
      <c r="JMG234" s="255"/>
      <c r="JMJ234" s="242"/>
      <c r="JMK234" s="255"/>
      <c r="JMN234" s="242"/>
      <c r="JMO234" s="255"/>
      <c r="JMR234" s="242"/>
      <c r="JMS234" s="255"/>
      <c r="JMV234" s="242"/>
      <c r="JMW234" s="255"/>
      <c r="JMZ234" s="242"/>
      <c r="JNA234" s="255"/>
      <c r="JND234" s="242"/>
      <c r="JNE234" s="255"/>
      <c r="JNH234" s="242"/>
      <c r="JNI234" s="255"/>
      <c r="JNL234" s="242"/>
      <c r="JNM234" s="255"/>
      <c r="JNP234" s="242"/>
      <c r="JNQ234" s="255"/>
      <c r="JNT234" s="242"/>
      <c r="JNU234" s="255"/>
      <c r="JNX234" s="242"/>
      <c r="JNY234" s="255"/>
      <c r="JOB234" s="242"/>
      <c r="JOC234" s="255"/>
      <c r="JOF234" s="242"/>
      <c r="JOG234" s="255"/>
      <c r="JOJ234" s="242"/>
      <c r="JOK234" s="255"/>
      <c r="JON234" s="242"/>
      <c r="JOO234" s="255"/>
      <c r="JOR234" s="242"/>
      <c r="JOS234" s="255"/>
      <c r="JOV234" s="242"/>
      <c r="JOW234" s="255"/>
      <c r="JOZ234" s="242"/>
      <c r="JPA234" s="255"/>
      <c r="JPD234" s="242"/>
      <c r="JPE234" s="255"/>
      <c r="JPH234" s="242"/>
      <c r="JPI234" s="255"/>
      <c r="JPL234" s="242"/>
      <c r="JPM234" s="255"/>
      <c r="JPP234" s="242"/>
      <c r="JPQ234" s="255"/>
      <c r="JPT234" s="242"/>
      <c r="JPU234" s="255"/>
      <c r="JPX234" s="242"/>
      <c r="JPY234" s="255"/>
      <c r="JQB234" s="242"/>
      <c r="JQC234" s="255"/>
      <c r="JQF234" s="242"/>
      <c r="JQG234" s="255"/>
      <c r="JQJ234" s="242"/>
      <c r="JQK234" s="255"/>
      <c r="JQN234" s="242"/>
      <c r="JQO234" s="255"/>
      <c r="JQR234" s="242"/>
      <c r="JQS234" s="255"/>
      <c r="JQV234" s="242"/>
      <c r="JQW234" s="255"/>
      <c r="JQZ234" s="242"/>
      <c r="JRA234" s="255"/>
      <c r="JRD234" s="242"/>
      <c r="JRE234" s="255"/>
      <c r="JRH234" s="242"/>
      <c r="JRI234" s="255"/>
      <c r="JRL234" s="242"/>
      <c r="JRM234" s="255"/>
      <c r="JRP234" s="242"/>
      <c r="JRQ234" s="255"/>
      <c r="JRT234" s="242"/>
      <c r="JRU234" s="255"/>
      <c r="JRX234" s="242"/>
      <c r="JRY234" s="255"/>
      <c r="JSB234" s="242"/>
      <c r="JSC234" s="255"/>
      <c r="JSF234" s="242"/>
      <c r="JSG234" s="255"/>
      <c r="JSJ234" s="242"/>
      <c r="JSK234" s="255"/>
      <c r="JSN234" s="242"/>
      <c r="JSO234" s="255"/>
      <c r="JSR234" s="242"/>
      <c r="JSS234" s="255"/>
      <c r="JSV234" s="242"/>
      <c r="JSW234" s="255"/>
      <c r="JSZ234" s="242"/>
      <c r="JTA234" s="255"/>
      <c r="JTD234" s="242"/>
      <c r="JTE234" s="255"/>
      <c r="JTH234" s="242"/>
      <c r="JTI234" s="255"/>
      <c r="JTL234" s="242"/>
      <c r="JTM234" s="255"/>
      <c r="JTP234" s="242"/>
      <c r="JTQ234" s="255"/>
      <c r="JTT234" s="242"/>
      <c r="JTU234" s="255"/>
      <c r="JTX234" s="242"/>
      <c r="JTY234" s="255"/>
      <c r="JUB234" s="242"/>
      <c r="JUC234" s="255"/>
      <c r="JUF234" s="242"/>
      <c r="JUG234" s="255"/>
      <c r="JUJ234" s="242"/>
      <c r="JUK234" s="255"/>
      <c r="JUN234" s="242"/>
      <c r="JUO234" s="255"/>
      <c r="JUR234" s="242"/>
      <c r="JUS234" s="255"/>
      <c r="JUV234" s="242"/>
      <c r="JUW234" s="255"/>
      <c r="JUZ234" s="242"/>
      <c r="JVA234" s="255"/>
      <c r="JVD234" s="242"/>
      <c r="JVE234" s="255"/>
      <c r="JVH234" s="242"/>
      <c r="JVI234" s="255"/>
      <c r="JVL234" s="242"/>
      <c r="JVM234" s="255"/>
      <c r="JVP234" s="242"/>
      <c r="JVQ234" s="255"/>
      <c r="JVT234" s="242"/>
      <c r="JVU234" s="255"/>
      <c r="JVX234" s="242"/>
      <c r="JVY234" s="255"/>
      <c r="JWB234" s="242"/>
      <c r="JWC234" s="255"/>
      <c r="JWF234" s="242"/>
      <c r="JWG234" s="255"/>
      <c r="JWJ234" s="242"/>
      <c r="JWK234" s="255"/>
      <c r="JWN234" s="242"/>
      <c r="JWO234" s="255"/>
      <c r="JWR234" s="242"/>
      <c r="JWS234" s="255"/>
      <c r="JWV234" s="242"/>
      <c r="JWW234" s="255"/>
      <c r="JWZ234" s="242"/>
      <c r="JXA234" s="255"/>
      <c r="JXD234" s="242"/>
      <c r="JXE234" s="255"/>
      <c r="JXH234" s="242"/>
      <c r="JXI234" s="255"/>
      <c r="JXL234" s="242"/>
      <c r="JXM234" s="255"/>
      <c r="JXP234" s="242"/>
      <c r="JXQ234" s="255"/>
      <c r="JXT234" s="242"/>
      <c r="JXU234" s="255"/>
      <c r="JXX234" s="242"/>
      <c r="JXY234" s="255"/>
      <c r="JYB234" s="242"/>
      <c r="JYC234" s="255"/>
      <c r="JYF234" s="242"/>
      <c r="JYG234" s="255"/>
      <c r="JYJ234" s="242"/>
      <c r="JYK234" s="255"/>
      <c r="JYN234" s="242"/>
      <c r="JYO234" s="255"/>
      <c r="JYR234" s="242"/>
      <c r="JYS234" s="255"/>
      <c r="JYV234" s="242"/>
      <c r="JYW234" s="255"/>
      <c r="JYZ234" s="242"/>
      <c r="JZA234" s="255"/>
      <c r="JZD234" s="242"/>
      <c r="JZE234" s="255"/>
      <c r="JZH234" s="242"/>
      <c r="JZI234" s="255"/>
      <c r="JZL234" s="242"/>
      <c r="JZM234" s="255"/>
      <c r="JZP234" s="242"/>
      <c r="JZQ234" s="255"/>
      <c r="JZT234" s="242"/>
      <c r="JZU234" s="255"/>
      <c r="JZX234" s="242"/>
      <c r="JZY234" s="255"/>
      <c r="KAB234" s="242"/>
      <c r="KAC234" s="255"/>
      <c r="KAF234" s="242"/>
      <c r="KAG234" s="255"/>
      <c r="KAJ234" s="242"/>
      <c r="KAK234" s="255"/>
      <c r="KAN234" s="242"/>
      <c r="KAO234" s="255"/>
      <c r="KAR234" s="242"/>
      <c r="KAS234" s="255"/>
      <c r="KAV234" s="242"/>
      <c r="KAW234" s="255"/>
      <c r="KAZ234" s="242"/>
      <c r="KBA234" s="255"/>
      <c r="KBD234" s="242"/>
      <c r="KBE234" s="255"/>
      <c r="KBH234" s="242"/>
      <c r="KBI234" s="255"/>
      <c r="KBL234" s="242"/>
      <c r="KBM234" s="255"/>
      <c r="KBP234" s="242"/>
      <c r="KBQ234" s="255"/>
      <c r="KBT234" s="242"/>
      <c r="KBU234" s="255"/>
      <c r="KBX234" s="242"/>
      <c r="KBY234" s="255"/>
      <c r="KCB234" s="242"/>
      <c r="KCC234" s="255"/>
      <c r="KCF234" s="242"/>
      <c r="KCG234" s="255"/>
      <c r="KCJ234" s="242"/>
      <c r="KCK234" s="255"/>
      <c r="KCN234" s="242"/>
      <c r="KCO234" s="255"/>
      <c r="KCR234" s="242"/>
      <c r="KCS234" s="255"/>
      <c r="KCV234" s="242"/>
      <c r="KCW234" s="255"/>
      <c r="KCZ234" s="242"/>
      <c r="KDA234" s="255"/>
      <c r="KDD234" s="242"/>
      <c r="KDE234" s="255"/>
      <c r="KDH234" s="242"/>
      <c r="KDI234" s="255"/>
      <c r="KDL234" s="242"/>
      <c r="KDM234" s="255"/>
      <c r="KDP234" s="242"/>
      <c r="KDQ234" s="255"/>
      <c r="KDT234" s="242"/>
      <c r="KDU234" s="255"/>
      <c r="KDX234" s="242"/>
      <c r="KDY234" s="255"/>
      <c r="KEB234" s="242"/>
      <c r="KEC234" s="255"/>
      <c r="KEF234" s="242"/>
      <c r="KEG234" s="255"/>
      <c r="KEJ234" s="242"/>
      <c r="KEK234" s="255"/>
      <c r="KEN234" s="242"/>
      <c r="KEO234" s="255"/>
      <c r="KER234" s="242"/>
      <c r="KES234" s="255"/>
      <c r="KEV234" s="242"/>
      <c r="KEW234" s="255"/>
      <c r="KEZ234" s="242"/>
      <c r="KFA234" s="255"/>
      <c r="KFD234" s="242"/>
      <c r="KFE234" s="255"/>
      <c r="KFH234" s="242"/>
      <c r="KFI234" s="255"/>
      <c r="KFL234" s="242"/>
      <c r="KFM234" s="255"/>
      <c r="KFP234" s="242"/>
      <c r="KFQ234" s="255"/>
      <c r="KFT234" s="242"/>
      <c r="KFU234" s="255"/>
      <c r="KFX234" s="242"/>
      <c r="KFY234" s="255"/>
      <c r="KGB234" s="242"/>
      <c r="KGC234" s="255"/>
      <c r="KGF234" s="242"/>
      <c r="KGG234" s="255"/>
      <c r="KGJ234" s="242"/>
      <c r="KGK234" s="255"/>
      <c r="KGN234" s="242"/>
      <c r="KGO234" s="255"/>
      <c r="KGR234" s="242"/>
      <c r="KGS234" s="255"/>
      <c r="KGV234" s="242"/>
      <c r="KGW234" s="255"/>
      <c r="KGZ234" s="242"/>
      <c r="KHA234" s="255"/>
      <c r="KHD234" s="242"/>
      <c r="KHE234" s="255"/>
      <c r="KHH234" s="242"/>
      <c r="KHI234" s="255"/>
      <c r="KHL234" s="242"/>
      <c r="KHM234" s="255"/>
      <c r="KHP234" s="242"/>
      <c r="KHQ234" s="255"/>
      <c r="KHT234" s="242"/>
      <c r="KHU234" s="255"/>
      <c r="KHX234" s="242"/>
      <c r="KHY234" s="255"/>
      <c r="KIB234" s="242"/>
      <c r="KIC234" s="255"/>
      <c r="KIF234" s="242"/>
      <c r="KIG234" s="255"/>
      <c r="KIJ234" s="242"/>
      <c r="KIK234" s="255"/>
      <c r="KIN234" s="242"/>
      <c r="KIO234" s="255"/>
      <c r="KIR234" s="242"/>
      <c r="KIS234" s="255"/>
      <c r="KIV234" s="242"/>
      <c r="KIW234" s="255"/>
      <c r="KIZ234" s="242"/>
      <c r="KJA234" s="255"/>
      <c r="KJD234" s="242"/>
      <c r="KJE234" s="255"/>
      <c r="KJH234" s="242"/>
      <c r="KJI234" s="255"/>
      <c r="KJL234" s="242"/>
      <c r="KJM234" s="255"/>
      <c r="KJP234" s="242"/>
      <c r="KJQ234" s="255"/>
      <c r="KJT234" s="242"/>
      <c r="KJU234" s="255"/>
      <c r="KJX234" s="242"/>
      <c r="KJY234" s="255"/>
      <c r="KKB234" s="242"/>
      <c r="KKC234" s="255"/>
      <c r="KKF234" s="242"/>
      <c r="KKG234" s="255"/>
      <c r="KKJ234" s="242"/>
      <c r="KKK234" s="255"/>
      <c r="KKN234" s="242"/>
      <c r="KKO234" s="255"/>
      <c r="KKR234" s="242"/>
      <c r="KKS234" s="255"/>
      <c r="KKV234" s="242"/>
      <c r="KKW234" s="255"/>
      <c r="KKZ234" s="242"/>
      <c r="KLA234" s="255"/>
      <c r="KLD234" s="242"/>
      <c r="KLE234" s="255"/>
      <c r="KLH234" s="242"/>
      <c r="KLI234" s="255"/>
      <c r="KLL234" s="242"/>
      <c r="KLM234" s="255"/>
      <c r="KLP234" s="242"/>
      <c r="KLQ234" s="255"/>
      <c r="KLT234" s="242"/>
      <c r="KLU234" s="255"/>
      <c r="KLX234" s="242"/>
      <c r="KLY234" s="255"/>
      <c r="KMB234" s="242"/>
      <c r="KMC234" s="255"/>
      <c r="KMF234" s="242"/>
      <c r="KMG234" s="255"/>
      <c r="KMJ234" s="242"/>
      <c r="KMK234" s="255"/>
      <c r="KMN234" s="242"/>
      <c r="KMO234" s="255"/>
      <c r="KMR234" s="242"/>
      <c r="KMS234" s="255"/>
      <c r="KMV234" s="242"/>
      <c r="KMW234" s="255"/>
      <c r="KMZ234" s="242"/>
      <c r="KNA234" s="255"/>
      <c r="KND234" s="242"/>
      <c r="KNE234" s="255"/>
      <c r="KNH234" s="242"/>
      <c r="KNI234" s="255"/>
      <c r="KNL234" s="242"/>
      <c r="KNM234" s="255"/>
      <c r="KNP234" s="242"/>
      <c r="KNQ234" s="255"/>
      <c r="KNT234" s="242"/>
      <c r="KNU234" s="255"/>
      <c r="KNX234" s="242"/>
      <c r="KNY234" s="255"/>
      <c r="KOB234" s="242"/>
      <c r="KOC234" s="255"/>
      <c r="KOF234" s="242"/>
      <c r="KOG234" s="255"/>
      <c r="KOJ234" s="242"/>
      <c r="KOK234" s="255"/>
      <c r="KON234" s="242"/>
      <c r="KOO234" s="255"/>
      <c r="KOR234" s="242"/>
      <c r="KOS234" s="255"/>
      <c r="KOV234" s="242"/>
      <c r="KOW234" s="255"/>
      <c r="KOZ234" s="242"/>
      <c r="KPA234" s="255"/>
      <c r="KPD234" s="242"/>
      <c r="KPE234" s="255"/>
      <c r="KPH234" s="242"/>
      <c r="KPI234" s="255"/>
      <c r="KPL234" s="242"/>
      <c r="KPM234" s="255"/>
      <c r="KPP234" s="242"/>
      <c r="KPQ234" s="255"/>
      <c r="KPT234" s="242"/>
      <c r="KPU234" s="255"/>
      <c r="KPX234" s="242"/>
      <c r="KPY234" s="255"/>
      <c r="KQB234" s="242"/>
      <c r="KQC234" s="255"/>
      <c r="KQF234" s="242"/>
      <c r="KQG234" s="255"/>
      <c r="KQJ234" s="242"/>
      <c r="KQK234" s="255"/>
      <c r="KQN234" s="242"/>
      <c r="KQO234" s="255"/>
      <c r="KQR234" s="242"/>
      <c r="KQS234" s="255"/>
      <c r="KQV234" s="242"/>
      <c r="KQW234" s="255"/>
      <c r="KQZ234" s="242"/>
      <c r="KRA234" s="255"/>
      <c r="KRD234" s="242"/>
      <c r="KRE234" s="255"/>
      <c r="KRH234" s="242"/>
      <c r="KRI234" s="255"/>
      <c r="KRL234" s="242"/>
      <c r="KRM234" s="255"/>
      <c r="KRP234" s="242"/>
      <c r="KRQ234" s="255"/>
      <c r="KRT234" s="242"/>
      <c r="KRU234" s="255"/>
      <c r="KRX234" s="242"/>
      <c r="KRY234" s="255"/>
      <c r="KSB234" s="242"/>
      <c r="KSC234" s="255"/>
      <c r="KSF234" s="242"/>
      <c r="KSG234" s="255"/>
      <c r="KSJ234" s="242"/>
      <c r="KSK234" s="255"/>
      <c r="KSN234" s="242"/>
      <c r="KSO234" s="255"/>
      <c r="KSR234" s="242"/>
      <c r="KSS234" s="255"/>
      <c r="KSV234" s="242"/>
      <c r="KSW234" s="255"/>
      <c r="KSZ234" s="242"/>
      <c r="KTA234" s="255"/>
      <c r="KTD234" s="242"/>
      <c r="KTE234" s="255"/>
      <c r="KTH234" s="242"/>
      <c r="KTI234" s="255"/>
      <c r="KTL234" s="242"/>
      <c r="KTM234" s="255"/>
      <c r="KTP234" s="242"/>
      <c r="KTQ234" s="255"/>
      <c r="KTT234" s="242"/>
      <c r="KTU234" s="255"/>
      <c r="KTX234" s="242"/>
      <c r="KTY234" s="255"/>
      <c r="KUB234" s="242"/>
      <c r="KUC234" s="255"/>
      <c r="KUF234" s="242"/>
      <c r="KUG234" s="255"/>
      <c r="KUJ234" s="242"/>
      <c r="KUK234" s="255"/>
      <c r="KUN234" s="242"/>
      <c r="KUO234" s="255"/>
      <c r="KUR234" s="242"/>
      <c r="KUS234" s="255"/>
      <c r="KUV234" s="242"/>
      <c r="KUW234" s="255"/>
      <c r="KUZ234" s="242"/>
      <c r="KVA234" s="255"/>
      <c r="KVD234" s="242"/>
      <c r="KVE234" s="255"/>
      <c r="KVH234" s="242"/>
      <c r="KVI234" s="255"/>
      <c r="KVL234" s="242"/>
      <c r="KVM234" s="255"/>
      <c r="KVP234" s="242"/>
      <c r="KVQ234" s="255"/>
      <c r="KVT234" s="242"/>
      <c r="KVU234" s="255"/>
      <c r="KVX234" s="242"/>
      <c r="KVY234" s="255"/>
      <c r="KWB234" s="242"/>
      <c r="KWC234" s="255"/>
      <c r="KWF234" s="242"/>
      <c r="KWG234" s="255"/>
      <c r="KWJ234" s="242"/>
      <c r="KWK234" s="255"/>
      <c r="KWN234" s="242"/>
      <c r="KWO234" s="255"/>
      <c r="KWR234" s="242"/>
      <c r="KWS234" s="255"/>
      <c r="KWV234" s="242"/>
      <c r="KWW234" s="255"/>
      <c r="KWZ234" s="242"/>
      <c r="KXA234" s="255"/>
      <c r="KXD234" s="242"/>
      <c r="KXE234" s="255"/>
      <c r="KXH234" s="242"/>
      <c r="KXI234" s="255"/>
      <c r="KXL234" s="242"/>
      <c r="KXM234" s="255"/>
      <c r="KXP234" s="242"/>
      <c r="KXQ234" s="255"/>
      <c r="KXT234" s="242"/>
      <c r="KXU234" s="255"/>
      <c r="KXX234" s="242"/>
      <c r="KXY234" s="255"/>
      <c r="KYB234" s="242"/>
      <c r="KYC234" s="255"/>
      <c r="KYF234" s="242"/>
      <c r="KYG234" s="255"/>
      <c r="KYJ234" s="242"/>
      <c r="KYK234" s="255"/>
      <c r="KYN234" s="242"/>
      <c r="KYO234" s="255"/>
      <c r="KYR234" s="242"/>
      <c r="KYS234" s="255"/>
      <c r="KYV234" s="242"/>
      <c r="KYW234" s="255"/>
      <c r="KYZ234" s="242"/>
      <c r="KZA234" s="255"/>
      <c r="KZD234" s="242"/>
      <c r="KZE234" s="255"/>
      <c r="KZH234" s="242"/>
      <c r="KZI234" s="255"/>
      <c r="KZL234" s="242"/>
      <c r="KZM234" s="255"/>
      <c r="KZP234" s="242"/>
      <c r="KZQ234" s="255"/>
      <c r="KZT234" s="242"/>
      <c r="KZU234" s="255"/>
      <c r="KZX234" s="242"/>
      <c r="KZY234" s="255"/>
      <c r="LAB234" s="242"/>
      <c r="LAC234" s="255"/>
      <c r="LAF234" s="242"/>
      <c r="LAG234" s="255"/>
      <c r="LAJ234" s="242"/>
      <c r="LAK234" s="255"/>
      <c r="LAN234" s="242"/>
      <c r="LAO234" s="255"/>
      <c r="LAR234" s="242"/>
      <c r="LAS234" s="255"/>
      <c r="LAV234" s="242"/>
      <c r="LAW234" s="255"/>
      <c r="LAZ234" s="242"/>
      <c r="LBA234" s="255"/>
      <c r="LBD234" s="242"/>
      <c r="LBE234" s="255"/>
      <c r="LBH234" s="242"/>
      <c r="LBI234" s="255"/>
      <c r="LBL234" s="242"/>
      <c r="LBM234" s="255"/>
      <c r="LBP234" s="242"/>
      <c r="LBQ234" s="255"/>
      <c r="LBT234" s="242"/>
      <c r="LBU234" s="255"/>
      <c r="LBX234" s="242"/>
      <c r="LBY234" s="255"/>
      <c r="LCB234" s="242"/>
      <c r="LCC234" s="255"/>
      <c r="LCF234" s="242"/>
      <c r="LCG234" s="255"/>
      <c r="LCJ234" s="242"/>
      <c r="LCK234" s="255"/>
      <c r="LCN234" s="242"/>
      <c r="LCO234" s="255"/>
      <c r="LCR234" s="242"/>
      <c r="LCS234" s="255"/>
      <c r="LCV234" s="242"/>
      <c r="LCW234" s="255"/>
      <c r="LCZ234" s="242"/>
      <c r="LDA234" s="255"/>
      <c r="LDD234" s="242"/>
      <c r="LDE234" s="255"/>
      <c r="LDH234" s="242"/>
      <c r="LDI234" s="255"/>
      <c r="LDL234" s="242"/>
      <c r="LDM234" s="255"/>
      <c r="LDP234" s="242"/>
      <c r="LDQ234" s="255"/>
      <c r="LDT234" s="242"/>
      <c r="LDU234" s="255"/>
      <c r="LDX234" s="242"/>
      <c r="LDY234" s="255"/>
      <c r="LEB234" s="242"/>
      <c r="LEC234" s="255"/>
      <c r="LEF234" s="242"/>
      <c r="LEG234" s="255"/>
      <c r="LEJ234" s="242"/>
      <c r="LEK234" s="255"/>
      <c r="LEN234" s="242"/>
      <c r="LEO234" s="255"/>
      <c r="LER234" s="242"/>
      <c r="LES234" s="255"/>
      <c r="LEV234" s="242"/>
      <c r="LEW234" s="255"/>
      <c r="LEZ234" s="242"/>
      <c r="LFA234" s="255"/>
      <c r="LFD234" s="242"/>
      <c r="LFE234" s="255"/>
      <c r="LFH234" s="242"/>
      <c r="LFI234" s="255"/>
      <c r="LFL234" s="242"/>
      <c r="LFM234" s="255"/>
      <c r="LFP234" s="242"/>
      <c r="LFQ234" s="255"/>
      <c r="LFT234" s="242"/>
      <c r="LFU234" s="255"/>
      <c r="LFX234" s="242"/>
      <c r="LFY234" s="255"/>
      <c r="LGB234" s="242"/>
      <c r="LGC234" s="255"/>
      <c r="LGF234" s="242"/>
      <c r="LGG234" s="255"/>
      <c r="LGJ234" s="242"/>
      <c r="LGK234" s="255"/>
      <c r="LGN234" s="242"/>
      <c r="LGO234" s="255"/>
      <c r="LGR234" s="242"/>
      <c r="LGS234" s="255"/>
      <c r="LGV234" s="242"/>
      <c r="LGW234" s="255"/>
      <c r="LGZ234" s="242"/>
      <c r="LHA234" s="255"/>
      <c r="LHD234" s="242"/>
      <c r="LHE234" s="255"/>
      <c r="LHH234" s="242"/>
      <c r="LHI234" s="255"/>
      <c r="LHL234" s="242"/>
      <c r="LHM234" s="255"/>
      <c r="LHP234" s="242"/>
      <c r="LHQ234" s="255"/>
      <c r="LHT234" s="242"/>
      <c r="LHU234" s="255"/>
      <c r="LHX234" s="242"/>
      <c r="LHY234" s="255"/>
      <c r="LIB234" s="242"/>
      <c r="LIC234" s="255"/>
      <c r="LIF234" s="242"/>
      <c r="LIG234" s="255"/>
      <c r="LIJ234" s="242"/>
      <c r="LIK234" s="255"/>
      <c r="LIN234" s="242"/>
      <c r="LIO234" s="255"/>
      <c r="LIR234" s="242"/>
      <c r="LIS234" s="255"/>
      <c r="LIV234" s="242"/>
      <c r="LIW234" s="255"/>
      <c r="LIZ234" s="242"/>
      <c r="LJA234" s="255"/>
      <c r="LJD234" s="242"/>
      <c r="LJE234" s="255"/>
      <c r="LJH234" s="242"/>
      <c r="LJI234" s="255"/>
      <c r="LJL234" s="242"/>
      <c r="LJM234" s="255"/>
      <c r="LJP234" s="242"/>
      <c r="LJQ234" s="255"/>
      <c r="LJT234" s="242"/>
      <c r="LJU234" s="255"/>
      <c r="LJX234" s="242"/>
      <c r="LJY234" s="255"/>
      <c r="LKB234" s="242"/>
      <c r="LKC234" s="255"/>
      <c r="LKF234" s="242"/>
      <c r="LKG234" s="255"/>
      <c r="LKJ234" s="242"/>
      <c r="LKK234" s="255"/>
      <c r="LKN234" s="242"/>
      <c r="LKO234" s="255"/>
      <c r="LKR234" s="242"/>
      <c r="LKS234" s="255"/>
      <c r="LKV234" s="242"/>
      <c r="LKW234" s="255"/>
      <c r="LKZ234" s="242"/>
      <c r="LLA234" s="255"/>
      <c r="LLD234" s="242"/>
      <c r="LLE234" s="255"/>
      <c r="LLH234" s="242"/>
      <c r="LLI234" s="255"/>
      <c r="LLL234" s="242"/>
      <c r="LLM234" s="255"/>
      <c r="LLP234" s="242"/>
      <c r="LLQ234" s="255"/>
      <c r="LLT234" s="242"/>
      <c r="LLU234" s="255"/>
      <c r="LLX234" s="242"/>
      <c r="LLY234" s="255"/>
      <c r="LMB234" s="242"/>
      <c r="LMC234" s="255"/>
      <c r="LMF234" s="242"/>
      <c r="LMG234" s="255"/>
      <c r="LMJ234" s="242"/>
      <c r="LMK234" s="255"/>
      <c r="LMN234" s="242"/>
      <c r="LMO234" s="255"/>
      <c r="LMR234" s="242"/>
      <c r="LMS234" s="255"/>
      <c r="LMV234" s="242"/>
      <c r="LMW234" s="255"/>
      <c r="LMZ234" s="242"/>
      <c r="LNA234" s="255"/>
      <c r="LND234" s="242"/>
      <c r="LNE234" s="255"/>
      <c r="LNH234" s="242"/>
      <c r="LNI234" s="255"/>
      <c r="LNL234" s="242"/>
      <c r="LNM234" s="255"/>
      <c r="LNP234" s="242"/>
      <c r="LNQ234" s="255"/>
      <c r="LNT234" s="242"/>
      <c r="LNU234" s="255"/>
      <c r="LNX234" s="242"/>
      <c r="LNY234" s="255"/>
      <c r="LOB234" s="242"/>
      <c r="LOC234" s="255"/>
      <c r="LOF234" s="242"/>
      <c r="LOG234" s="255"/>
      <c r="LOJ234" s="242"/>
      <c r="LOK234" s="255"/>
      <c r="LON234" s="242"/>
      <c r="LOO234" s="255"/>
      <c r="LOR234" s="242"/>
      <c r="LOS234" s="255"/>
      <c r="LOV234" s="242"/>
      <c r="LOW234" s="255"/>
      <c r="LOZ234" s="242"/>
      <c r="LPA234" s="255"/>
      <c r="LPD234" s="242"/>
      <c r="LPE234" s="255"/>
      <c r="LPH234" s="242"/>
      <c r="LPI234" s="255"/>
      <c r="LPL234" s="242"/>
      <c r="LPM234" s="255"/>
      <c r="LPP234" s="242"/>
      <c r="LPQ234" s="255"/>
      <c r="LPT234" s="242"/>
      <c r="LPU234" s="255"/>
      <c r="LPX234" s="242"/>
      <c r="LPY234" s="255"/>
      <c r="LQB234" s="242"/>
      <c r="LQC234" s="255"/>
      <c r="LQF234" s="242"/>
      <c r="LQG234" s="255"/>
      <c r="LQJ234" s="242"/>
      <c r="LQK234" s="255"/>
      <c r="LQN234" s="242"/>
      <c r="LQO234" s="255"/>
      <c r="LQR234" s="242"/>
      <c r="LQS234" s="255"/>
      <c r="LQV234" s="242"/>
      <c r="LQW234" s="255"/>
      <c r="LQZ234" s="242"/>
      <c r="LRA234" s="255"/>
      <c r="LRD234" s="242"/>
      <c r="LRE234" s="255"/>
      <c r="LRH234" s="242"/>
      <c r="LRI234" s="255"/>
      <c r="LRL234" s="242"/>
      <c r="LRM234" s="255"/>
      <c r="LRP234" s="242"/>
      <c r="LRQ234" s="255"/>
      <c r="LRT234" s="242"/>
      <c r="LRU234" s="255"/>
      <c r="LRX234" s="242"/>
      <c r="LRY234" s="255"/>
      <c r="LSB234" s="242"/>
      <c r="LSC234" s="255"/>
      <c r="LSF234" s="242"/>
      <c r="LSG234" s="255"/>
      <c r="LSJ234" s="242"/>
      <c r="LSK234" s="255"/>
      <c r="LSN234" s="242"/>
      <c r="LSO234" s="255"/>
      <c r="LSR234" s="242"/>
      <c r="LSS234" s="255"/>
      <c r="LSV234" s="242"/>
      <c r="LSW234" s="255"/>
      <c r="LSZ234" s="242"/>
      <c r="LTA234" s="255"/>
      <c r="LTD234" s="242"/>
      <c r="LTE234" s="255"/>
      <c r="LTH234" s="242"/>
      <c r="LTI234" s="255"/>
      <c r="LTL234" s="242"/>
      <c r="LTM234" s="255"/>
      <c r="LTP234" s="242"/>
      <c r="LTQ234" s="255"/>
      <c r="LTT234" s="242"/>
      <c r="LTU234" s="255"/>
      <c r="LTX234" s="242"/>
      <c r="LTY234" s="255"/>
      <c r="LUB234" s="242"/>
      <c r="LUC234" s="255"/>
      <c r="LUF234" s="242"/>
      <c r="LUG234" s="255"/>
      <c r="LUJ234" s="242"/>
      <c r="LUK234" s="255"/>
      <c r="LUN234" s="242"/>
      <c r="LUO234" s="255"/>
      <c r="LUR234" s="242"/>
      <c r="LUS234" s="255"/>
      <c r="LUV234" s="242"/>
      <c r="LUW234" s="255"/>
      <c r="LUZ234" s="242"/>
      <c r="LVA234" s="255"/>
      <c r="LVD234" s="242"/>
      <c r="LVE234" s="255"/>
      <c r="LVH234" s="242"/>
      <c r="LVI234" s="255"/>
      <c r="LVL234" s="242"/>
      <c r="LVM234" s="255"/>
      <c r="LVP234" s="242"/>
      <c r="LVQ234" s="255"/>
      <c r="LVT234" s="242"/>
      <c r="LVU234" s="255"/>
      <c r="LVX234" s="242"/>
      <c r="LVY234" s="255"/>
      <c r="LWB234" s="242"/>
      <c r="LWC234" s="255"/>
      <c r="LWF234" s="242"/>
      <c r="LWG234" s="255"/>
      <c r="LWJ234" s="242"/>
      <c r="LWK234" s="255"/>
      <c r="LWN234" s="242"/>
      <c r="LWO234" s="255"/>
      <c r="LWR234" s="242"/>
      <c r="LWS234" s="255"/>
      <c r="LWV234" s="242"/>
      <c r="LWW234" s="255"/>
      <c r="LWZ234" s="242"/>
      <c r="LXA234" s="255"/>
      <c r="LXD234" s="242"/>
      <c r="LXE234" s="255"/>
      <c r="LXH234" s="242"/>
      <c r="LXI234" s="255"/>
      <c r="LXL234" s="242"/>
      <c r="LXM234" s="255"/>
      <c r="LXP234" s="242"/>
      <c r="LXQ234" s="255"/>
      <c r="LXT234" s="242"/>
      <c r="LXU234" s="255"/>
      <c r="LXX234" s="242"/>
      <c r="LXY234" s="255"/>
      <c r="LYB234" s="242"/>
      <c r="LYC234" s="255"/>
      <c r="LYF234" s="242"/>
      <c r="LYG234" s="255"/>
      <c r="LYJ234" s="242"/>
      <c r="LYK234" s="255"/>
      <c r="LYN234" s="242"/>
      <c r="LYO234" s="255"/>
      <c r="LYR234" s="242"/>
      <c r="LYS234" s="255"/>
      <c r="LYV234" s="242"/>
      <c r="LYW234" s="255"/>
      <c r="LYZ234" s="242"/>
      <c r="LZA234" s="255"/>
      <c r="LZD234" s="242"/>
      <c r="LZE234" s="255"/>
      <c r="LZH234" s="242"/>
      <c r="LZI234" s="255"/>
      <c r="LZL234" s="242"/>
      <c r="LZM234" s="255"/>
      <c r="LZP234" s="242"/>
      <c r="LZQ234" s="255"/>
      <c r="LZT234" s="242"/>
      <c r="LZU234" s="255"/>
      <c r="LZX234" s="242"/>
      <c r="LZY234" s="255"/>
      <c r="MAB234" s="242"/>
      <c r="MAC234" s="255"/>
      <c r="MAF234" s="242"/>
      <c r="MAG234" s="255"/>
      <c r="MAJ234" s="242"/>
      <c r="MAK234" s="255"/>
      <c r="MAN234" s="242"/>
      <c r="MAO234" s="255"/>
      <c r="MAR234" s="242"/>
      <c r="MAS234" s="255"/>
      <c r="MAV234" s="242"/>
      <c r="MAW234" s="255"/>
      <c r="MAZ234" s="242"/>
      <c r="MBA234" s="255"/>
      <c r="MBD234" s="242"/>
      <c r="MBE234" s="255"/>
      <c r="MBH234" s="242"/>
      <c r="MBI234" s="255"/>
      <c r="MBL234" s="242"/>
      <c r="MBM234" s="255"/>
      <c r="MBP234" s="242"/>
      <c r="MBQ234" s="255"/>
      <c r="MBT234" s="242"/>
      <c r="MBU234" s="255"/>
      <c r="MBX234" s="242"/>
      <c r="MBY234" s="255"/>
      <c r="MCB234" s="242"/>
      <c r="MCC234" s="255"/>
      <c r="MCF234" s="242"/>
      <c r="MCG234" s="255"/>
      <c r="MCJ234" s="242"/>
      <c r="MCK234" s="255"/>
      <c r="MCN234" s="242"/>
      <c r="MCO234" s="255"/>
      <c r="MCR234" s="242"/>
      <c r="MCS234" s="255"/>
      <c r="MCV234" s="242"/>
      <c r="MCW234" s="255"/>
      <c r="MCZ234" s="242"/>
      <c r="MDA234" s="255"/>
      <c r="MDD234" s="242"/>
      <c r="MDE234" s="255"/>
      <c r="MDH234" s="242"/>
      <c r="MDI234" s="255"/>
      <c r="MDL234" s="242"/>
      <c r="MDM234" s="255"/>
      <c r="MDP234" s="242"/>
      <c r="MDQ234" s="255"/>
      <c r="MDT234" s="242"/>
      <c r="MDU234" s="255"/>
      <c r="MDX234" s="242"/>
      <c r="MDY234" s="255"/>
      <c r="MEB234" s="242"/>
      <c r="MEC234" s="255"/>
      <c r="MEF234" s="242"/>
      <c r="MEG234" s="255"/>
      <c r="MEJ234" s="242"/>
      <c r="MEK234" s="255"/>
      <c r="MEN234" s="242"/>
      <c r="MEO234" s="255"/>
      <c r="MER234" s="242"/>
      <c r="MES234" s="255"/>
      <c r="MEV234" s="242"/>
      <c r="MEW234" s="255"/>
      <c r="MEZ234" s="242"/>
      <c r="MFA234" s="255"/>
      <c r="MFD234" s="242"/>
      <c r="MFE234" s="255"/>
      <c r="MFH234" s="242"/>
      <c r="MFI234" s="255"/>
      <c r="MFL234" s="242"/>
      <c r="MFM234" s="255"/>
      <c r="MFP234" s="242"/>
      <c r="MFQ234" s="255"/>
      <c r="MFT234" s="242"/>
      <c r="MFU234" s="255"/>
      <c r="MFX234" s="242"/>
      <c r="MFY234" s="255"/>
      <c r="MGB234" s="242"/>
      <c r="MGC234" s="255"/>
      <c r="MGF234" s="242"/>
      <c r="MGG234" s="255"/>
      <c r="MGJ234" s="242"/>
      <c r="MGK234" s="255"/>
      <c r="MGN234" s="242"/>
      <c r="MGO234" s="255"/>
      <c r="MGR234" s="242"/>
      <c r="MGS234" s="255"/>
      <c r="MGV234" s="242"/>
      <c r="MGW234" s="255"/>
      <c r="MGZ234" s="242"/>
      <c r="MHA234" s="255"/>
      <c r="MHD234" s="242"/>
      <c r="MHE234" s="255"/>
      <c r="MHH234" s="242"/>
      <c r="MHI234" s="255"/>
      <c r="MHL234" s="242"/>
      <c r="MHM234" s="255"/>
      <c r="MHP234" s="242"/>
      <c r="MHQ234" s="255"/>
      <c r="MHT234" s="242"/>
      <c r="MHU234" s="255"/>
      <c r="MHX234" s="242"/>
      <c r="MHY234" s="255"/>
      <c r="MIB234" s="242"/>
      <c r="MIC234" s="255"/>
      <c r="MIF234" s="242"/>
      <c r="MIG234" s="255"/>
      <c r="MIJ234" s="242"/>
      <c r="MIK234" s="255"/>
      <c r="MIN234" s="242"/>
      <c r="MIO234" s="255"/>
      <c r="MIR234" s="242"/>
      <c r="MIS234" s="255"/>
      <c r="MIV234" s="242"/>
      <c r="MIW234" s="255"/>
      <c r="MIZ234" s="242"/>
      <c r="MJA234" s="255"/>
      <c r="MJD234" s="242"/>
      <c r="MJE234" s="255"/>
      <c r="MJH234" s="242"/>
      <c r="MJI234" s="255"/>
      <c r="MJL234" s="242"/>
      <c r="MJM234" s="255"/>
      <c r="MJP234" s="242"/>
      <c r="MJQ234" s="255"/>
      <c r="MJT234" s="242"/>
      <c r="MJU234" s="255"/>
      <c r="MJX234" s="242"/>
      <c r="MJY234" s="255"/>
      <c r="MKB234" s="242"/>
      <c r="MKC234" s="255"/>
      <c r="MKF234" s="242"/>
      <c r="MKG234" s="255"/>
      <c r="MKJ234" s="242"/>
      <c r="MKK234" s="255"/>
      <c r="MKN234" s="242"/>
      <c r="MKO234" s="255"/>
      <c r="MKR234" s="242"/>
      <c r="MKS234" s="255"/>
      <c r="MKV234" s="242"/>
      <c r="MKW234" s="255"/>
      <c r="MKZ234" s="242"/>
      <c r="MLA234" s="255"/>
      <c r="MLD234" s="242"/>
      <c r="MLE234" s="255"/>
      <c r="MLH234" s="242"/>
      <c r="MLI234" s="255"/>
      <c r="MLL234" s="242"/>
      <c r="MLM234" s="255"/>
      <c r="MLP234" s="242"/>
      <c r="MLQ234" s="255"/>
      <c r="MLT234" s="242"/>
      <c r="MLU234" s="255"/>
      <c r="MLX234" s="242"/>
      <c r="MLY234" s="255"/>
      <c r="MMB234" s="242"/>
      <c r="MMC234" s="255"/>
      <c r="MMF234" s="242"/>
      <c r="MMG234" s="255"/>
      <c r="MMJ234" s="242"/>
      <c r="MMK234" s="255"/>
      <c r="MMN234" s="242"/>
      <c r="MMO234" s="255"/>
      <c r="MMR234" s="242"/>
      <c r="MMS234" s="255"/>
      <c r="MMV234" s="242"/>
      <c r="MMW234" s="255"/>
      <c r="MMZ234" s="242"/>
      <c r="MNA234" s="255"/>
      <c r="MND234" s="242"/>
      <c r="MNE234" s="255"/>
      <c r="MNH234" s="242"/>
      <c r="MNI234" s="255"/>
      <c r="MNL234" s="242"/>
      <c r="MNM234" s="255"/>
      <c r="MNP234" s="242"/>
      <c r="MNQ234" s="255"/>
      <c r="MNT234" s="242"/>
      <c r="MNU234" s="255"/>
      <c r="MNX234" s="242"/>
      <c r="MNY234" s="255"/>
      <c r="MOB234" s="242"/>
      <c r="MOC234" s="255"/>
      <c r="MOF234" s="242"/>
      <c r="MOG234" s="255"/>
      <c r="MOJ234" s="242"/>
      <c r="MOK234" s="255"/>
      <c r="MON234" s="242"/>
      <c r="MOO234" s="255"/>
      <c r="MOR234" s="242"/>
      <c r="MOS234" s="255"/>
      <c r="MOV234" s="242"/>
      <c r="MOW234" s="255"/>
      <c r="MOZ234" s="242"/>
      <c r="MPA234" s="255"/>
      <c r="MPD234" s="242"/>
      <c r="MPE234" s="255"/>
      <c r="MPH234" s="242"/>
      <c r="MPI234" s="255"/>
      <c r="MPL234" s="242"/>
      <c r="MPM234" s="255"/>
      <c r="MPP234" s="242"/>
      <c r="MPQ234" s="255"/>
      <c r="MPT234" s="242"/>
      <c r="MPU234" s="255"/>
      <c r="MPX234" s="242"/>
      <c r="MPY234" s="255"/>
      <c r="MQB234" s="242"/>
      <c r="MQC234" s="255"/>
      <c r="MQF234" s="242"/>
      <c r="MQG234" s="255"/>
      <c r="MQJ234" s="242"/>
      <c r="MQK234" s="255"/>
      <c r="MQN234" s="242"/>
      <c r="MQO234" s="255"/>
      <c r="MQR234" s="242"/>
      <c r="MQS234" s="255"/>
      <c r="MQV234" s="242"/>
      <c r="MQW234" s="255"/>
      <c r="MQZ234" s="242"/>
      <c r="MRA234" s="255"/>
      <c r="MRD234" s="242"/>
      <c r="MRE234" s="255"/>
      <c r="MRH234" s="242"/>
      <c r="MRI234" s="255"/>
      <c r="MRL234" s="242"/>
      <c r="MRM234" s="255"/>
      <c r="MRP234" s="242"/>
      <c r="MRQ234" s="255"/>
      <c r="MRT234" s="242"/>
      <c r="MRU234" s="255"/>
      <c r="MRX234" s="242"/>
      <c r="MRY234" s="255"/>
      <c r="MSB234" s="242"/>
      <c r="MSC234" s="255"/>
      <c r="MSF234" s="242"/>
      <c r="MSG234" s="255"/>
      <c r="MSJ234" s="242"/>
      <c r="MSK234" s="255"/>
      <c r="MSN234" s="242"/>
      <c r="MSO234" s="255"/>
      <c r="MSR234" s="242"/>
      <c r="MSS234" s="255"/>
      <c r="MSV234" s="242"/>
      <c r="MSW234" s="255"/>
      <c r="MSZ234" s="242"/>
      <c r="MTA234" s="255"/>
      <c r="MTD234" s="242"/>
      <c r="MTE234" s="255"/>
      <c r="MTH234" s="242"/>
      <c r="MTI234" s="255"/>
      <c r="MTL234" s="242"/>
      <c r="MTM234" s="255"/>
      <c r="MTP234" s="242"/>
      <c r="MTQ234" s="255"/>
      <c r="MTT234" s="242"/>
      <c r="MTU234" s="255"/>
      <c r="MTX234" s="242"/>
      <c r="MTY234" s="255"/>
      <c r="MUB234" s="242"/>
      <c r="MUC234" s="255"/>
      <c r="MUF234" s="242"/>
      <c r="MUG234" s="255"/>
      <c r="MUJ234" s="242"/>
      <c r="MUK234" s="255"/>
      <c r="MUN234" s="242"/>
      <c r="MUO234" s="255"/>
      <c r="MUR234" s="242"/>
      <c r="MUS234" s="255"/>
      <c r="MUV234" s="242"/>
      <c r="MUW234" s="255"/>
      <c r="MUZ234" s="242"/>
      <c r="MVA234" s="255"/>
      <c r="MVD234" s="242"/>
      <c r="MVE234" s="255"/>
      <c r="MVH234" s="242"/>
      <c r="MVI234" s="255"/>
      <c r="MVL234" s="242"/>
      <c r="MVM234" s="255"/>
      <c r="MVP234" s="242"/>
      <c r="MVQ234" s="255"/>
      <c r="MVT234" s="242"/>
      <c r="MVU234" s="255"/>
      <c r="MVX234" s="242"/>
      <c r="MVY234" s="255"/>
      <c r="MWB234" s="242"/>
      <c r="MWC234" s="255"/>
      <c r="MWF234" s="242"/>
      <c r="MWG234" s="255"/>
      <c r="MWJ234" s="242"/>
      <c r="MWK234" s="255"/>
      <c r="MWN234" s="242"/>
      <c r="MWO234" s="255"/>
      <c r="MWR234" s="242"/>
      <c r="MWS234" s="255"/>
      <c r="MWV234" s="242"/>
      <c r="MWW234" s="255"/>
      <c r="MWZ234" s="242"/>
      <c r="MXA234" s="255"/>
      <c r="MXD234" s="242"/>
      <c r="MXE234" s="255"/>
      <c r="MXH234" s="242"/>
      <c r="MXI234" s="255"/>
      <c r="MXL234" s="242"/>
      <c r="MXM234" s="255"/>
      <c r="MXP234" s="242"/>
      <c r="MXQ234" s="255"/>
      <c r="MXT234" s="242"/>
      <c r="MXU234" s="255"/>
      <c r="MXX234" s="242"/>
      <c r="MXY234" s="255"/>
      <c r="MYB234" s="242"/>
      <c r="MYC234" s="255"/>
      <c r="MYF234" s="242"/>
      <c r="MYG234" s="255"/>
      <c r="MYJ234" s="242"/>
      <c r="MYK234" s="255"/>
      <c r="MYN234" s="242"/>
      <c r="MYO234" s="255"/>
      <c r="MYR234" s="242"/>
      <c r="MYS234" s="255"/>
      <c r="MYV234" s="242"/>
      <c r="MYW234" s="255"/>
      <c r="MYZ234" s="242"/>
      <c r="MZA234" s="255"/>
      <c r="MZD234" s="242"/>
      <c r="MZE234" s="255"/>
      <c r="MZH234" s="242"/>
      <c r="MZI234" s="255"/>
      <c r="MZL234" s="242"/>
      <c r="MZM234" s="255"/>
      <c r="MZP234" s="242"/>
      <c r="MZQ234" s="255"/>
      <c r="MZT234" s="242"/>
      <c r="MZU234" s="255"/>
      <c r="MZX234" s="242"/>
      <c r="MZY234" s="255"/>
      <c r="NAB234" s="242"/>
      <c r="NAC234" s="255"/>
      <c r="NAF234" s="242"/>
      <c r="NAG234" s="255"/>
      <c r="NAJ234" s="242"/>
      <c r="NAK234" s="255"/>
      <c r="NAN234" s="242"/>
      <c r="NAO234" s="255"/>
      <c r="NAR234" s="242"/>
      <c r="NAS234" s="255"/>
      <c r="NAV234" s="242"/>
      <c r="NAW234" s="255"/>
      <c r="NAZ234" s="242"/>
      <c r="NBA234" s="255"/>
      <c r="NBD234" s="242"/>
      <c r="NBE234" s="255"/>
      <c r="NBH234" s="242"/>
      <c r="NBI234" s="255"/>
      <c r="NBL234" s="242"/>
      <c r="NBM234" s="255"/>
      <c r="NBP234" s="242"/>
      <c r="NBQ234" s="255"/>
      <c r="NBT234" s="242"/>
      <c r="NBU234" s="255"/>
      <c r="NBX234" s="242"/>
      <c r="NBY234" s="255"/>
      <c r="NCB234" s="242"/>
      <c r="NCC234" s="255"/>
      <c r="NCF234" s="242"/>
      <c r="NCG234" s="255"/>
      <c r="NCJ234" s="242"/>
      <c r="NCK234" s="255"/>
      <c r="NCN234" s="242"/>
      <c r="NCO234" s="255"/>
      <c r="NCR234" s="242"/>
      <c r="NCS234" s="255"/>
      <c r="NCV234" s="242"/>
      <c r="NCW234" s="255"/>
      <c r="NCZ234" s="242"/>
      <c r="NDA234" s="255"/>
      <c r="NDD234" s="242"/>
      <c r="NDE234" s="255"/>
      <c r="NDH234" s="242"/>
      <c r="NDI234" s="255"/>
      <c r="NDL234" s="242"/>
      <c r="NDM234" s="255"/>
      <c r="NDP234" s="242"/>
      <c r="NDQ234" s="255"/>
      <c r="NDT234" s="242"/>
      <c r="NDU234" s="255"/>
      <c r="NDX234" s="242"/>
      <c r="NDY234" s="255"/>
      <c r="NEB234" s="242"/>
      <c r="NEC234" s="255"/>
      <c r="NEF234" s="242"/>
      <c r="NEG234" s="255"/>
      <c r="NEJ234" s="242"/>
      <c r="NEK234" s="255"/>
      <c r="NEN234" s="242"/>
      <c r="NEO234" s="255"/>
      <c r="NER234" s="242"/>
      <c r="NES234" s="255"/>
      <c r="NEV234" s="242"/>
      <c r="NEW234" s="255"/>
      <c r="NEZ234" s="242"/>
      <c r="NFA234" s="255"/>
      <c r="NFD234" s="242"/>
      <c r="NFE234" s="255"/>
      <c r="NFH234" s="242"/>
      <c r="NFI234" s="255"/>
      <c r="NFL234" s="242"/>
      <c r="NFM234" s="255"/>
      <c r="NFP234" s="242"/>
      <c r="NFQ234" s="255"/>
      <c r="NFT234" s="242"/>
      <c r="NFU234" s="255"/>
      <c r="NFX234" s="242"/>
      <c r="NFY234" s="255"/>
      <c r="NGB234" s="242"/>
      <c r="NGC234" s="255"/>
      <c r="NGF234" s="242"/>
      <c r="NGG234" s="255"/>
      <c r="NGJ234" s="242"/>
      <c r="NGK234" s="255"/>
      <c r="NGN234" s="242"/>
      <c r="NGO234" s="255"/>
      <c r="NGR234" s="242"/>
      <c r="NGS234" s="255"/>
      <c r="NGV234" s="242"/>
      <c r="NGW234" s="255"/>
      <c r="NGZ234" s="242"/>
      <c r="NHA234" s="255"/>
      <c r="NHD234" s="242"/>
      <c r="NHE234" s="255"/>
      <c r="NHH234" s="242"/>
      <c r="NHI234" s="255"/>
      <c r="NHL234" s="242"/>
      <c r="NHM234" s="255"/>
      <c r="NHP234" s="242"/>
      <c r="NHQ234" s="255"/>
      <c r="NHT234" s="242"/>
      <c r="NHU234" s="255"/>
      <c r="NHX234" s="242"/>
      <c r="NHY234" s="255"/>
      <c r="NIB234" s="242"/>
      <c r="NIC234" s="255"/>
      <c r="NIF234" s="242"/>
      <c r="NIG234" s="255"/>
      <c r="NIJ234" s="242"/>
      <c r="NIK234" s="255"/>
      <c r="NIN234" s="242"/>
      <c r="NIO234" s="255"/>
      <c r="NIR234" s="242"/>
      <c r="NIS234" s="255"/>
      <c r="NIV234" s="242"/>
      <c r="NIW234" s="255"/>
      <c r="NIZ234" s="242"/>
      <c r="NJA234" s="255"/>
      <c r="NJD234" s="242"/>
      <c r="NJE234" s="255"/>
      <c r="NJH234" s="242"/>
      <c r="NJI234" s="255"/>
      <c r="NJL234" s="242"/>
      <c r="NJM234" s="255"/>
      <c r="NJP234" s="242"/>
      <c r="NJQ234" s="255"/>
      <c r="NJT234" s="242"/>
      <c r="NJU234" s="255"/>
      <c r="NJX234" s="242"/>
      <c r="NJY234" s="255"/>
      <c r="NKB234" s="242"/>
      <c r="NKC234" s="255"/>
      <c r="NKF234" s="242"/>
      <c r="NKG234" s="255"/>
      <c r="NKJ234" s="242"/>
      <c r="NKK234" s="255"/>
      <c r="NKN234" s="242"/>
      <c r="NKO234" s="255"/>
      <c r="NKR234" s="242"/>
      <c r="NKS234" s="255"/>
      <c r="NKV234" s="242"/>
      <c r="NKW234" s="255"/>
      <c r="NKZ234" s="242"/>
      <c r="NLA234" s="255"/>
      <c r="NLD234" s="242"/>
      <c r="NLE234" s="255"/>
      <c r="NLH234" s="242"/>
      <c r="NLI234" s="255"/>
      <c r="NLL234" s="242"/>
      <c r="NLM234" s="255"/>
      <c r="NLP234" s="242"/>
      <c r="NLQ234" s="255"/>
      <c r="NLT234" s="242"/>
      <c r="NLU234" s="255"/>
      <c r="NLX234" s="242"/>
      <c r="NLY234" s="255"/>
      <c r="NMB234" s="242"/>
      <c r="NMC234" s="255"/>
      <c r="NMF234" s="242"/>
      <c r="NMG234" s="255"/>
      <c r="NMJ234" s="242"/>
      <c r="NMK234" s="255"/>
      <c r="NMN234" s="242"/>
      <c r="NMO234" s="255"/>
      <c r="NMR234" s="242"/>
      <c r="NMS234" s="255"/>
      <c r="NMV234" s="242"/>
      <c r="NMW234" s="255"/>
      <c r="NMZ234" s="242"/>
      <c r="NNA234" s="255"/>
      <c r="NND234" s="242"/>
      <c r="NNE234" s="255"/>
      <c r="NNH234" s="242"/>
      <c r="NNI234" s="255"/>
      <c r="NNL234" s="242"/>
      <c r="NNM234" s="255"/>
      <c r="NNP234" s="242"/>
      <c r="NNQ234" s="255"/>
      <c r="NNT234" s="242"/>
      <c r="NNU234" s="255"/>
      <c r="NNX234" s="242"/>
      <c r="NNY234" s="255"/>
      <c r="NOB234" s="242"/>
      <c r="NOC234" s="255"/>
      <c r="NOF234" s="242"/>
      <c r="NOG234" s="255"/>
      <c r="NOJ234" s="242"/>
      <c r="NOK234" s="255"/>
      <c r="NON234" s="242"/>
      <c r="NOO234" s="255"/>
      <c r="NOR234" s="242"/>
      <c r="NOS234" s="255"/>
      <c r="NOV234" s="242"/>
      <c r="NOW234" s="255"/>
      <c r="NOZ234" s="242"/>
      <c r="NPA234" s="255"/>
      <c r="NPD234" s="242"/>
      <c r="NPE234" s="255"/>
      <c r="NPH234" s="242"/>
      <c r="NPI234" s="255"/>
      <c r="NPL234" s="242"/>
      <c r="NPM234" s="255"/>
      <c r="NPP234" s="242"/>
      <c r="NPQ234" s="255"/>
      <c r="NPT234" s="242"/>
      <c r="NPU234" s="255"/>
      <c r="NPX234" s="242"/>
      <c r="NPY234" s="255"/>
      <c r="NQB234" s="242"/>
      <c r="NQC234" s="255"/>
      <c r="NQF234" s="242"/>
      <c r="NQG234" s="255"/>
      <c r="NQJ234" s="242"/>
      <c r="NQK234" s="255"/>
      <c r="NQN234" s="242"/>
      <c r="NQO234" s="255"/>
      <c r="NQR234" s="242"/>
      <c r="NQS234" s="255"/>
      <c r="NQV234" s="242"/>
      <c r="NQW234" s="255"/>
      <c r="NQZ234" s="242"/>
      <c r="NRA234" s="255"/>
      <c r="NRD234" s="242"/>
      <c r="NRE234" s="255"/>
      <c r="NRH234" s="242"/>
      <c r="NRI234" s="255"/>
      <c r="NRL234" s="242"/>
      <c r="NRM234" s="255"/>
      <c r="NRP234" s="242"/>
      <c r="NRQ234" s="255"/>
      <c r="NRT234" s="242"/>
      <c r="NRU234" s="255"/>
      <c r="NRX234" s="242"/>
      <c r="NRY234" s="255"/>
      <c r="NSB234" s="242"/>
      <c r="NSC234" s="255"/>
      <c r="NSF234" s="242"/>
      <c r="NSG234" s="255"/>
      <c r="NSJ234" s="242"/>
      <c r="NSK234" s="255"/>
      <c r="NSN234" s="242"/>
      <c r="NSO234" s="255"/>
      <c r="NSR234" s="242"/>
      <c r="NSS234" s="255"/>
      <c r="NSV234" s="242"/>
      <c r="NSW234" s="255"/>
      <c r="NSZ234" s="242"/>
      <c r="NTA234" s="255"/>
      <c r="NTD234" s="242"/>
      <c r="NTE234" s="255"/>
      <c r="NTH234" s="242"/>
      <c r="NTI234" s="255"/>
      <c r="NTL234" s="242"/>
      <c r="NTM234" s="255"/>
      <c r="NTP234" s="242"/>
      <c r="NTQ234" s="255"/>
      <c r="NTT234" s="242"/>
      <c r="NTU234" s="255"/>
      <c r="NTX234" s="242"/>
      <c r="NTY234" s="255"/>
      <c r="NUB234" s="242"/>
      <c r="NUC234" s="255"/>
      <c r="NUF234" s="242"/>
      <c r="NUG234" s="255"/>
      <c r="NUJ234" s="242"/>
      <c r="NUK234" s="255"/>
      <c r="NUN234" s="242"/>
      <c r="NUO234" s="255"/>
      <c r="NUR234" s="242"/>
      <c r="NUS234" s="255"/>
      <c r="NUV234" s="242"/>
      <c r="NUW234" s="255"/>
      <c r="NUZ234" s="242"/>
      <c r="NVA234" s="255"/>
      <c r="NVD234" s="242"/>
      <c r="NVE234" s="255"/>
      <c r="NVH234" s="242"/>
      <c r="NVI234" s="255"/>
      <c r="NVL234" s="242"/>
      <c r="NVM234" s="255"/>
      <c r="NVP234" s="242"/>
      <c r="NVQ234" s="255"/>
      <c r="NVT234" s="242"/>
      <c r="NVU234" s="255"/>
      <c r="NVX234" s="242"/>
      <c r="NVY234" s="255"/>
      <c r="NWB234" s="242"/>
      <c r="NWC234" s="255"/>
      <c r="NWF234" s="242"/>
      <c r="NWG234" s="255"/>
      <c r="NWJ234" s="242"/>
      <c r="NWK234" s="255"/>
      <c r="NWN234" s="242"/>
      <c r="NWO234" s="255"/>
      <c r="NWR234" s="242"/>
      <c r="NWS234" s="255"/>
      <c r="NWV234" s="242"/>
      <c r="NWW234" s="255"/>
      <c r="NWZ234" s="242"/>
      <c r="NXA234" s="255"/>
      <c r="NXD234" s="242"/>
      <c r="NXE234" s="255"/>
      <c r="NXH234" s="242"/>
      <c r="NXI234" s="255"/>
      <c r="NXL234" s="242"/>
      <c r="NXM234" s="255"/>
      <c r="NXP234" s="242"/>
      <c r="NXQ234" s="255"/>
      <c r="NXT234" s="242"/>
      <c r="NXU234" s="255"/>
      <c r="NXX234" s="242"/>
      <c r="NXY234" s="255"/>
      <c r="NYB234" s="242"/>
      <c r="NYC234" s="255"/>
      <c r="NYF234" s="242"/>
      <c r="NYG234" s="255"/>
      <c r="NYJ234" s="242"/>
      <c r="NYK234" s="255"/>
      <c r="NYN234" s="242"/>
      <c r="NYO234" s="255"/>
      <c r="NYR234" s="242"/>
      <c r="NYS234" s="255"/>
      <c r="NYV234" s="242"/>
      <c r="NYW234" s="255"/>
      <c r="NYZ234" s="242"/>
      <c r="NZA234" s="255"/>
      <c r="NZD234" s="242"/>
      <c r="NZE234" s="255"/>
      <c r="NZH234" s="242"/>
      <c r="NZI234" s="255"/>
      <c r="NZL234" s="242"/>
      <c r="NZM234" s="255"/>
      <c r="NZP234" s="242"/>
      <c r="NZQ234" s="255"/>
      <c r="NZT234" s="242"/>
      <c r="NZU234" s="255"/>
      <c r="NZX234" s="242"/>
      <c r="NZY234" s="255"/>
      <c r="OAB234" s="242"/>
      <c r="OAC234" s="255"/>
      <c r="OAF234" s="242"/>
      <c r="OAG234" s="255"/>
      <c r="OAJ234" s="242"/>
      <c r="OAK234" s="255"/>
      <c r="OAN234" s="242"/>
      <c r="OAO234" s="255"/>
      <c r="OAR234" s="242"/>
      <c r="OAS234" s="255"/>
      <c r="OAV234" s="242"/>
      <c r="OAW234" s="255"/>
      <c r="OAZ234" s="242"/>
      <c r="OBA234" s="255"/>
      <c r="OBD234" s="242"/>
      <c r="OBE234" s="255"/>
      <c r="OBH234" s="242"/>
      <c r="OBI234" s="255"/>
      <c r="OBL234" s="242"/>
      <c r="OBM234" s="255"/>
      <c r="OBP234" s="242"/>
      <c r="OBQ234" s="255"/>
      <c r="OBT234" s="242"/>
      <c r="OBU234" s="255"/>
      <c r="OBX234" s="242"/>
      <c r="OBY234" s="255"/>
      <c r="OCB234" s="242"/>
      <c r="OCC234" s="255"/>
      <c r="OCF234" s="242"/>
      <c r="OCG234" s="255"/>
      <c r="OCJ234" s="242"/>
      <c r="OCK234" s="255"/>
      <c r="OCN234" s="242"/>
      <c r="OCO234" s="255"/>
      <c r="OCR234" s="242"/>
      <c r="OCS234" s="255"/>
      <c r="OCV234" s="242"/>
      <c r="OCW234" s="255"/>
      <c r="OCZ234" s="242"/>
      <c r="ODA234" s="255"/>
      <c r="ODD234" s="242"/>
      <c r="ODE234" s="255"/>
      <c r="ODH234" s="242"/>
      <c r="ODI234" s="255"/>
      <c r="ODL234" s="242"/>
      <c r="ODM234" s="255"/>
      <c r="ODP234" s="242"/>
      <c r="ODQ234" s="255"/>
      <c r="ODT234" s="242"/>
      <c r="ODU234" s="255"/>
      <c r="ODX234" s="242"/>
      <c r="ODY234" s="255"/>
      <c r="OEB234" s="242"/>
      <c r="OEC234" s="255"/>
      <c r="OEF234" s="242"/>
      <c r="OEG234" s="255"/>
      <c r="OEJ234" s="242"/>
      <c r="OEK234" s="255"/>
      <c r="OEN234" s="242"/>
      <c r="OEO234" s="255"/>
      <c r="OER234" s="242"/>
      <c r="OES234" s="255"/>
      <c r="OEV234" s="242"/>
      <c r="OEW234" s="255"/>
      <c r="OEZ234" s="242"/>
      <c r="OFA234" s="255"/>
      <c r="OFD234" s="242"/>
      <c r="OFE234" s="255"/>
      <c r="OFH234" s="242"/>
      <c r="OFI234" s="255"/>
      <c r="OFL234" s="242"/>
      <c r="OFM234" s="255"/>
      <c r="OFP234" s="242"/>
      <c r="OFQ234" s="255"/>
      <c r="OFT234" s="242"/>
      <c r="OFU234" s="255"/>
      <c r="OFX234" s="242"/>
      <c r="OFY234" s="255"/>
      <c r="OGB234" s="242"/>
      <c r="OGC234" s="255"/>
      <c r="OGF234" s="242"/>
      <c r="OGG234" s="255"/>
      <c r="OGJ234" s="242"/>
      <c r="OGK234" s="255"/>
      <c r="OGN234" s="242"/>
      <c r="OGO234" s="255"/>
      <c r="OGR234" s="242"/>
      <c r="OGS234" s="255"/>
      <c r="OGV234" s="242"/>
      <c r="OGW234" s="255"/>
      <c r="OGZ234" s="242"/>
      <c r="OHA234" s="255"/>
      <c r="OHD234" s="242"/>
      <c r="OHE234" s="255"/>
      <c r="OHH234" s="242"/>
      <c r="OHI234" s="255"/>
      <c r="OHL234" s="242"/>
      <c r="OHM234" s="255"/>
      <c r="OHP234" s="242"/>
      <c r="OHQ234" s="255"/>
      <c r="OHT234" s="242"/>
      <c r="OHU234" s="255"/>
      <c r="OHX234" s="242"/>
      <c r="OHY234" s="255"/>
      <c r="OIB234" s="242"/>
      <c r="OIC234" s="255"/>
      <c r="OIF234" s="242"/>
      <c r="OIG234" s="255"/>
      <c r="OIJ234" s="242"/>
      <c r="OIK234" s="255"/>
      <c r="OIN234" s="242"/>
      <c r="OIO234" s="255"/>
      <c r="OIR234" s="242"/>
      <c r="OIS234" s="255"/>
      <c r="OIV234" s="242"/>
      <c r="OIW234" s="255"/>
      <c r="OIZ234" s="242"/>
      <c r="OJA234" s="255"/>
      <c r="OJD234" s="242"/>
      <c r="OJE234" s="255"/>
      <c r="OJH234" s="242"/>
      <c r="OJI234" s="255"/>
      <c r="OJL234" s="242"/>
      <c r="OJM234" s="255"/>
      <c r="OJP234" s="242"/>
      <c r="OJQ234" s="255"/>
      <c r="OJT234" s="242"/>
      <c r="OJU234" s="255"/>
      <c r="OJX234" s="242"/>
      <c r="OJY234" s="255"/>
      <c r="OKB234" s="242"/>
      <c r="OKC234" s="255"/>
      <c r="OKF234" s="242"/>
      <c r="OKG234" s="255"/>
      <c r="OKJ234" s="242"/>
      <c r="OKK234" s="255"/>
      <c r="OKN234" s="242"/>
      <c r="OKO234" s="255"/>
      <c r="OKR234" s="242"/>
      <c r="OKS234" s="255"/>
      <c r="OKV234" s="242"/>
      <c r="OKW234" s="255"/>
      <c r="OKZ234" s="242"/>
      <c r="OLA234" s="255"/>
      <c r="OLD234" s="242"/>
      <c r="OLE234" s="255"/>
      <c r="OLH234" s="242"/>
      <c r="OLI234" s="255"/>
      <c r="OLL234" s="242"/>
      <c r="OLM234" s="255"/>
      <c r="OLP234" s="242"/>
      <c r="OLQ234" s="255"/>
      <c r="OLT234" s="242"/>
      <c r="OLU234" s="255"/>
      <c r="OLX234" s="242"/>
      <c r="OLY234" s="255"/>
      <c r="OMB234" s="242"/>
      <c r="OMC234" s="255"/>
      <c r="OMF234" s="242"/>
      <c r="OMG234" s="255"/>
      <c r="OMJ234" s="242"/>
      <c r="OMK234" s="255"/>
      <c r="OMN234" s="242"/>
      <c r="OMO234" s="255"/>
      <c r="OMR234" s="242"/>
      <c r="OMS234" s="255"/>
      <c r="OMV234" s="242"/>
      <c r="OMW234" s="255"/>
      <c r="OMZ234" s="242"/>
      <c r="ONA234" s="255"/>
      <c r="OND234" s="242"/>
      <c r="ONE234" s="255"/>
      <c r="ONH234" s="242"/>
      <c r="ONI234" s="255"/>
      <c r="ONL234" s="242"/>
      <c r="ONM234" s="255"/>
      <c r="ONP234" s="242"/>
      <c r="ONQ234" s="255"/>
      <c r="ONT234" s="242"/>
      <c r="ONU234" s="255"/>
      <c r="ONX234" s="242"/>
      <c r="ONY234" s="255"/>
      <c r="OOB234" s="242"/>
      <c r="OOC234" s="255"/>
      <c r="OOF234" s="242"/>
      <c r="OOG234" s="255"/>
      <c r="OOJ234" s="242"/>
      <c r="OOK234" s="255"/>
      <c r="OON234" s="242"/>
      <c r="OOO234" s="255"/>
      <c r="OOR234" s="242"/>
      <c r="OOS234" s="255"/>
      <c r="OOV234" s="242"/>
      <c r="OOW234" s="255"/>
      <c r="OOZ234" s="242"/>
      <c r="OPA234" s="255"/>
      <c r="OPD234" s="242"/>
      <c r="OPE234" s="255"/>
      <c r="OPH234" s="242"/>
      <c r="OPI234" s="255"/>
      <c r="OPL234" s="242"/>
      <c r="OPM234" s="255"/>
      <c r="OPP234" s="242"/>
      <c r="OPQ234" s="255"/>
      <c r="OPT234" s="242"/>
      <c r="OPU234" s="255"/>
      <c r="OPX234" s="242"/>
      <c r="OPY234" s="255"/>
      <c r="OQB234" s="242"/>
      <c r="OQC234" s="255"/>
      <c r="OQF234" s="242"/>
      <c r="OQG234" s="255"/>
      <c r="OQJ234" s="242"/>
      <c r="OQK234" s="255"/>
      <c r="OQN234" s="242"/>
      <c r="OQO234" s="255"/>
      <c r="OQR234" s="242"/>
      <c r="OQS234" s="255"/>
      <c r="OQV234" s="242"/>
      <c r="OQW234" s="255"/>
      <c r="OQZ234" s="242"/>
      <c r="ORA234" s="255"/>
      <c r="ORD234" s="242"/>
      <c r="ORE234" s="255"/>
      <c r="ORH234" s="242"/>
      <c r="ORI234" s="255"/>
      <c r="ORL234" s="242"/>
      <c r="ORM234" s="255"/>
      <c r="ORP234" s="242"/>
      <c r="ORQ234" s="255"/>
      <c r="ORT234" s="242"/>
      <c r="ORU234" s="255"/>
      <c r="ORX234" s="242"/>
      <c r="ORY234" s="255"/>
      <c r="OSB234" s="242"/>
      <c r="OSC234" s="255"/>
      <c r="OSF234" s="242"/>
      <c r="OSG234" s="255"/>
      <c r="OSJ234" s="242"/>
      <c r="OSK234" s="255"/>
      <c r="OSN234" s="242"/>
      <c r="OSO234" s="255"/>
      <c r="OSR234" s="242"/>
      <c r="OSS234" s="255"/>
      <c r="OSV234" s="242"/>
      <c r="OSW234" s="255"/>
      <c r="OSZ234" s="242"/>
      <c r="OTA234" s="255"/>
      <c r="OTD234" s="242"/>
      <c r="OTE234" s="255"/>
      <c r="OTH234" s="242"/>
      <c r="OTI234" s="255"/>
      <c r="OTL234" s="242"/>
      <c r="OTM234" s="255"/>
      <c r="OTP234" s="242"/>
      <c r="OTQ234" s="255"/>
      <c r="OTT234" s="242"/>
      <c r="OTU234" s="255"/>
      <c r="OTX234" s="242"/>
      <c r="OTY234" s="255"/>
      <c r="OUB234" s="242"/>
      <c r="OUC234" s="255"/>
      <c r="OUF234" s="242"/>
      <c r="OUG234" s="255"/>
      <c r="OUJ234" s="242"/>
      <c r="OUK234" s="255"/>
      <c r="OUN234" s="242"/>
      <c r="OUO234" s="255"/>
      <c r="OUR234" s="242"/>
      <c r="OUS234" s="255"/>
      <c r="OUV234" s="242"/>
      <c r="OUW234" s="255"/>
      <c r="OUZ234" s="242"/>
      <c r="OVA234" s="255"/>
      <c r="OVD234" s="242"/>
      <c r="OVE234" s="255"/>
      <c r="OVH234" s="242"/>
      <c r="OVI234" s="255"/>
      <c r="OVL234" s="242"/>
      <c r="OVM234" s="255"/>
      <c r="OVP234" s="242"/>
      <c r="OVQ234" s="255"/>
      <c r="OVT234" s="242"/>
      <c r="OVU234" s="255"/>
      <c r="OVX234" s="242"/>
      <c r="OVY234" s="255"/>
      <c r="OWB234" s="242"/>
      <c r="OWC234" s="255"/>
      <c r="OWF234" s="242"/>
      <c r="OWG234" s="255"/>
      <c r="OWJ234" s="242"/>
      <c r="OWK234" s="255"/>
      <c r="OWN234" s="242"/>
      <c r="OWO234" s="255"/>
      <c r="OWR234" s="242"/>
      <c r="OWS234" s="255"/>
      <c r="OWV234" s="242"/>
      <c r="OWW234" s="255"/>
      <c r="OWZ234" s="242"/>
      <c r="OXA234" s="255"/>
      <c r="OXD234" s="242"/>
      <c r="OXE234" s="255"/>
      <c r="OXH234" s="242"/>
      <c r="OXI234" s="255"/>
      <c r="OXL234" s="242"/>
      <c r="OXM234" s="255"/>
      <c r="OXP234" s="242"/>
      <c r="OXQ234" s="255"/>
      <c r="OXT234" s="242"/>
      <c r="OXU234" s="255"/>
      <c r="OXX234" s="242"/>
      <c r="OXY234" s="255"/>
      <c r="OYB234" s="242"/>
      <c r="OYC234" s="255"/>
      <c r="OYF234" s="242"/>
      <c r="OYG234" s="255"/>
      <c r="OYJ234" s="242"/>
      <c r="OYK234" s="255"/>
      <c r="OYN234" s="242"/>
      <c r="OYO234" s="255"/>
      <c r="OYR234" s="242"/>
      <c r="OYS234" s="255"/>
      <c r="OYV234" s="242"/>
      <c r="OYW234" s="255"/>
      <c r="OYZ234" s="242"/>
      <c r="OZA234" s="255"/>
      <c r="OZD234" s="242"/>
      <c r="OZE234" s="255"/>
      <c r="OZH234" s="242"/>
      <c r="OZI234" s="255"/>
      <c r="OZL234" s="242"/>
      <c r="OZM234" s="255"/>
      <c r="OZP234" s="242"/>
      <c r="OZQ234" s="255"/>
      <c r="OZT234" s="242"/>
      <c r="OZU234" s="255"/>
      <c r="OZX234" s="242"/>
      <c r="OZY234" s="255"/>
      <c r="PAB234" s="242"/>
      <c r="PAC234" s="255"/>
      <c r="PAF234" s="242"/>
      <c r="PAG234" s="255"/>
      <c r="PAJ234" s="242"/>
      <c r="PAK234" s="255"/>
      <c r="PAN234" s="242"/>
      <c r="PAO234" s="255"/>
      <c r="PAR234" s="242"/>
      <c r="PAS234" s="255"/>
      <c r="PAV234" s="242"/>
      <c r="PAW234" s="255"/>
      <c r="PAZ234" s="242"/>
      <c r="PBA234" s="255"/>
      <c r="PBD234" s="242"/>
      <c r="PBE234" s="255"/>
      <c r="PBH234" s="242"/>
      <c r="PBI234" s="255"/>
      <c r="PBL234" s="242"/>
      <c r="PBM234" s="255"/>
      <c r="PBP234" s="242"/>
      <c r="PBQ234" s="255"/>
      <c r="PBT234" s="242"/>
      <c r="PBU234" s="255"/>
      <c r="PBX234" s="242"/>
      <c r="PBY234" s="255"/>
      <c r="PCB234" s="242"/>
      <c r="PCC234" s="255"/>
      <c r="PCF234" s="242"/>
      <c r="PCG234" s="255"/>
      <c r="PCJ234" s="242"/>
      <c r="PCK234" s="255"/>
      <c r="PCN234" s="242"/>
      <c r="PCO234" s="255"/>
      <c r="PCR234" s="242"/>
      <c r="PCS234" s="255"/>
      <c r="PCV234" s="242"/>
      <c r="PCW234" s="255"/>
      <c r="PCZ234" s="242"/>
      <c r="PDA234" s="255"/>
      <c r="PDD234" s="242"/>
      <c r="PDE234" s="255"/>
      <c r="PDH234" s="242"/>
      <c r="PDI234" s="255"/>
      <c r="PDL234" s="242"/>
      <c r="PDM234" s="255"/>
      <c r="PDP234" s="242"/>
      <c r="PDQ234" s="255"/>
      <c r="PDT234" s="242"/>
      <c r="PDU234" s="255"/>
      <c r="PDX234" s="242"/>
      <c r="PDY234" s="255"/>
      <c r="PEB234" s="242"/>
      <c r="PEC234" s="255"/>
      <c r="PEF234" s="242"/>
      <c r="PEG234" s="255"/>
      <c r="PEJ234" s="242"/>
      <c r="PEK234" s="255"/>
      <c r="PEN234" s="242"/>
      <c r="PEO234" s="255"/>
      <c r="PER234" s="242"/>
      <c r="PES234" s="255"/>
      <c r="PEV234" s="242"/>
      <c r="PEW234" s="255"/>
      <c r="PEZ234" s="242"/>
      <c r="PFA234" s="255"/>
      <c r="PFD234" s="242"/>
      <c r="PFE234" s="255"/>
      <c r="PFH234" s="242"/>
      <c r="PFI234" s="255"/>
      <c r="PFL234" s="242"/>
      <c r="PFM234" s="255"/>
      <c r="PFP234" s="242"/>
      <c r="PFQ234" s="255"/>
      <c r="PFT234" s="242"/>
      <c r="PFU234" s="255"/>
      <c r="PFX234" s="242"/>
      <c r="PFY234" s="255"/>
      <c r="PGB234" s="242"/>
      <c r="PGC234" s="255"/>
      <c r="PGF234" s="242"/>
      <c r="PGG234" s="255"/>
      <c r="PGJ234" s="242"/>
      <c r="PGK234" s="255"/>
      <c r="PGN234" s="242"/>
      <c r="PGO234" s="255"/>
      <c r="PGR234" s="242"/>
      <c r="PGS234" s="255"/>
      <c r="PGV234" s="242"/>
      <c r="PGW234" s="255"/>
      <c r="PGZ234" s="242"/>
      <c r="PHA234" s="255"/>
      <c r="PHD234" s="242"/>
      <c r="PHE234" s="255"/>
      <c r="PHH234" s="242"/>
      <c r="PHI234" s="255"/>
      <c r="PHL234" s="242"/>
      <c r="PHM234" s="255"/>
      <c r="PHP234" s="242"/>
      <c r="PHQ234" s="255"/>
      <c r="PHT234" s="242"/>
      <c r="PHU234" s="255"/>
      <c r="PHX234" s="242"/>
      <c r="PHY234" s="255"/>
      <c r="PIB234" s="242"/>
      <c r="PIC234" s="255"/>
      <c r="PIF234" s="242"/>
      <c r="PIG234" s="255"/>
      <c r="PIJ234" s="242"/>
      <c r="PIK234" s="255"/>
      <c r="PIN234" s="242"/>
      <c r="PIO234" s="255"/>
      <c r="PIR234" s="242"/>
      <c r="PIS234" s="255"/>
      <c r="PIV234" s="242"/>
      <c r="PIW234" s="255"/>
      <c r="PIZ234" s="242"/>
      <c r="PJA234" s="255"/>
      <c r="PJD234" s="242"/>
      <c r="PJE234" s="255"/>
      <c r="PJH234" s="242"/>
      <c r="PJI234" s="255"/>
      <c r="PJL234" s="242"/>
      <c r="PJM234" s="255"/>
      <c r="PJP234" s="242"/>
      <c r="PJQ234" s="255"/>
      <c r="PJT234" s="242"/>
      <c r="PJU234" s="255"/>
      <c r="PJX234" s="242"/>
      <c r="PJY234" s="255"/>
      <c r="PKB234" s="242"/>
      <c r="PKC234" s="255"/>
      <c r="PKF234" s="242"/>
      <c r="PKG234" s="255"/>
      <c r="PKJ234" s="242"/>
      <c r="PKK234" s="255"/>
      <c r="PKN234" s="242"/>
      <c r="PKO234" s="255"/>
      <c r="PKR234" s="242"/>
      <c r="PKS234" s="255"/>
      <c r="PKV234" s="242"/>
      <c r="PKW234" s="255"/>
      <c r="PKZ234" s="242"/>
      <c r="PLA234" s="255"/>
      <c r="PLD234" s="242"/>
      <c r="PLE234" s="255"/>
      <c r="PLH234" s="242"/>
      <c r="PLI234" s="255"/>
      <c r="PLL234" s="242"/>
      <c r="PLM234" s="255"/>
      <c r="PLP234" s="242"/>
      <c r="PLQ234" s="255"/>
      <c r="PLT234" s="242"/>
      <c r="PLU234" s="255"/>
      <c r="PLX234" s="242"/>
      <c r="PLY234" s="255"/>
      <c r="PMB234" s="242"/>
      <c r="PMC234" s="255"/>
      <c r="PMF234" s="242"/>
      <c r="PMG234" s="255"/>
      <c r="PMJ234" s="242"/>
      <c r="PMK234" s="255"/>
      <c r="PMN234" s="242"/>
      <c r="PMO234" s="255"/>
      <c r="PMR234" s="242"/>
      <c r="PMS234" s="255"/>
      <c r="PMV234" s="242"/>
      <c r="PMW234" s="255"/>
      <c r="PMZ234" s="242"/>
      <c r="PNA234" s="255"/>
      <c r="PND234" s="242"/>
      <c r="PNE234" s="255"/>
      <c r="PNH234" s="242"/>
      <c r="PNI234" s="255"/>
      <c r="PNL234" s="242"/>
      <c r="PNM234" s="255"/>
      <c r="PNP234" s="242"/>
      <c r="PNQ234" s="255"/>
      <c r="PNT234" s="242"/>
      <c r="PNU234" s="255"/>
      <c r="PNX234" s="242"/>
      <c r="PNY234" s="255"/>
      <c r="POB234" s="242"/>
      <c r="POC234" s="255"/>
      <c r="POF234" s="242"/>
      <c r="POG234" s="255"/>
      <c r="POJ234" s="242"/>
      <c r="POK234" s="255"/>
      <c r="PON234" s="242"/>
      <c r="POO234" s="255"/>
      <c r="POR234" s="242"/>
      <c r="POS234" s="255"/>
      <c r="POV234" s="242"/>
      <c r="POW234" s="255"/>
      <c r="POZ234" s="242"/>
      <c r="PPA234" s="255"/>
      <c r="PPD234" s="242"/>
      <c r="PPE234" s="255"/>
      <c r="PPH234" s="242"/>
      <c r="PPI234" s="255"/>
      <c r="PPL234" s="242"/>
      <c r="PPM234" s="255"/>
      <c r="PPP234" s="242"/>
      <c r="PPQ234" s="255"/>
      <c r="PPT234" s="242"/>
      <c r="PPU234" s="255"/>
      <c r="PPX234" s="242"/>
      <c r="PPY234" s="255"/>
      <c r="PQB234" s="242"/>
      <c r="PQC234" s="255"/>
      <c r="PQF234" s="242"/>
      <c r="PQG234" s="255"/>
      <c r="PQJ234" s="242"/>
      <c r="PQK234" s="255"/>
      <c r="PQN234" s="242"/>
      <c r="PQO234" s="255"/>
      <c r="PQR234" s="242"/>
      <c r="PQS234" s="255"/>
      <c r="PQV234" s="242"/>
      <c r="PQW234" s="255"/>
      <c r="PQZ234" s="242"/>
      <c r="PRA234" s="255"/>
      <c r="PRD234" s="242"/>
      <c r="PRE234" s="255"/>
      <c r="PRH234" s="242"/>
      <c r="PRI234" s="255"/>
      <c r="PRL234" s="242"/>
      <c r="PRM234" s="255"/>
      <c r="PRP234" s="242"/>
      <c r="PRQ234" s="255"/>
      <c r="PRT234" s="242"/>
      <c r="PRU234" s="255"/>
      <c r="PRX234" s="242"/>
      <c r="PRY234" s="255"/>
      <c r="PSB234" s="242"/>
      <c r="PSC234" s="255"/>
      <c r="PSF234" s="242"/>
      <c r="PSG234" s="255"/>
      <c r="PSJ234" s="242"/>
      <c r="PSK234" s="255"/>
      <c r="PSN234" s="242"/>
      <c r="PSO234" s="255"/>
      <c r="PSR234" s="242"/>
      <c r="PSS234" s="255"/>
      <c r="PSV234" s="242"/>
      <c r="PSW234" s="255"/>
      <c r="PSZ234" s="242"/>
      <c r="PTA234" s="255"/>
      <c r="PTD234" s="242"/>
      <c r="PTE234" s="255"/>
      <c r="PTH234" s="242"/>
      <c r="PTI234" s="255"/>
      <c r="PTL234" s="242"/>
      <c r="PTM234" s="255"/>
      <c r="PTP234" s="242"/>
      <c r="PTQ234" s="255"/>
      <c r="PTT234" s="242"/>
      <c r="PTU234" s="255"/>
      <c r="PTX234" s="242"/>
      <c r="PTY234" s="255"/>
      <c r="PUB234" s="242"/>
      <c r="PUC234" s="255"/>
      <c r="PUF234" s="242"/>
      <c r="PUG234" s="255"/>
      <c r="PUJ234" s="242"/>
      <c r="PUK234" s="255"/>
      <c r="PUN234" s="242"/>
      <c r="PUO234" s="255"/>
      <c r="PUR234" s="242"/>
      <c r="PUS234" s="255"/>
      <c r="PUV234" s="242"/>
      <c r="PUW234" s="255"/>
      <c r="PUZ234" s="242"/>
      <c r="PVA234" s="255"/>
      <c r="PVD234" s="242"/>
      <c r="PVE234" s="255"/>
      <c r="PVH234" s="242"/>
      <c r="PVI234" s="255"/>
      <c r="PVL234" s="242"/>
      <c r="PVM234" s="255"/>
      <c r="PVP234" s="242"/>
      <c r="PVQ234" s="255"/>
      <c r="PVT234" s="242"/>
      <c r="PVU234" s="255"/>
      <c r="PVX234" s="242"/>
      <c r="PVY234" s="255"/>
      <c r="PWB234" s="242"/>
      <c r="PWC234" s="255"/>
      <c r="PWF234" s="242"/>
      <c r="PWG234" s="255"/>
      <c r="PWJ234" s="242"/>
      <c r="PWK234" s="255"/>
      <c r="PWN234" s="242"/>
      <c r="PWO234" s="255"/>
      <c r="PWR234" s="242"/>
      <c r="PWS234" s="255"/>
      <c r="PWV234" s="242"/>
      <c r="PWW234" s="255"/>
      <c r="PWZ234" s="242"/>
      <c r="PXA234" s="255"/>
      <c r="PXD234" s="242"/>
      <c r="PXE234" s="255"/>
      <c r="PXH234" s="242"/>
      <c r="PXI234" s="255"/>
      <c r="PXL234" s="242"/>
      <c r="PXM234" s="255"/>
      <c r="PXP234" s="242"/>
      <c r="PXQ234" s="255"/>
      <c r="PXT234" s="242"/>
      <c r="PXU234" s="255"/>
      <c r="PXX234" s="242"/>
      <c r="PXY234" s="255"/>
      <c r="PYB234" s="242"/>
      <c r="PYC234" s="255"/>
      <c r="PYF234" s="242"/>
      <c r="PYG234" s="255"/>
      <c r="PYJ234" s="242"/>
      <c r="PYK234" s="255"/>
      <c r="PYN234" s="242"/>
      <c r="PYO234" s="255"/>
      <c r="PYR234" s="242"/>
      <c r="PYS234" s="255"/>
      <c r="PYV234" s="242"/>
      <c r="PYW234" s="255"/>
      <c r="PYZ234" s="242"/>
      <c r="PZA234" s="255"/>
      <c r="PZD234" s="242"/>
      <c r="PZE234" s="255"/>
      <c r="PZH234" s="242"/>
      <c r="PZI234" s="255"/>
      <c r="PZL234" s="242"/>
      <c r="PZM234" s="255"/>
      <c r="PZP234" s="242"/>
      <c r="PZQ234" s="255"/>
      <c r="PZT234" s="242"/>
      <c r="PZU234" s="255"/>
      <c r="PZX234" s="242"/>
      <c r="PZY234" s="255"/>
      <c r="QAB234" s="242"/>
      <c r="QAC234" s="255"/>
      <c r="QAF234" s="242"/>
      <c r="QAG234" s="255"/>
      <c r="QAJ234" s="242"/>
      <c r="QAK234" s="255"/>
      <c r="QAN234" s="242"/>
      <c r="QAO234" s="255"/>
      <c r="QAR234" s="242"/>
      <c r="QAS234" s="255"/>
      <c r="QAV234" s="242"/>
      <c r="QAW234" s="255"/>
      <c r="QAZ234" s="242"/>
      <c r="QBA234" s="255"/>
      <c r="QBD234" s="242"/>
      <c r="QBE234" s="255"/>
      <c r="QBH234" s="242"/>
      <c r="QBI234" s="255"/>
      <c r="QBL234" s="242"/>
      <c r="QBM234" s="255"/>
      <c r="QBP234" s="242"/>
      <c r="QBQ234" s="255"/>
      <c r="QBT234" s="242"/>
      <c r="QBU234" s="255"/>
      <c r="QBX234" s="242"/>
      <c r="QBY234" s="255"/>
      <c r="QCB234" s="242"/>
      <c r="QCC234" s="255"/>
      <c r="QCF234" s="242"/>
      <c r="QCG234" s="255"/>
      <c r="QCJ234" s="242"/>
      <c r="QCK234" s="255"/>
      <c r="QCN234" s="242"/>
      <c r="QCO234" s="255"/>
      <c r="QCR234" s="242"/>
      <c r="QCS234" s="255"/>
      <c r="QCV234" s="242"/>
      <c r="QCW234" s="255"/>
      <c r="QCZ234" s="242"/>
      <c r="QDA234" s="255"/>
      <c r="QDD234" s="242"/>
      <c r="QDE234" s="255"/>
      <c r="QDH234" s="242"/>
      <c r="QDI234" s="255"/>
      <c r="QDL234" s="242"/>
      <c r="QDM234" s="255"/>
      <c r="QDP234" s="242"/>
      <c r="QDQ234" s="255"/>
      <c r="QDT234" s="242"/>
      <c r="QDU234" s="255"/>
      <c r="QDX234" s="242"/>
      <c r="QDY234" s="255"/>
      <c r="QEB234" s="242"/>
      <c r="QEC234" s="255"/>
      <c r="QEF234" s="242"/>
      <c r="QEG234" s="255"/>
      <c r="QEJ234" s="242"/>
      <c r="QEK234" s="255"/>
      <c r="QEN234" s="242"/>
      <c r="QEO234" s="255"/>
      <c r="QER234" s="242"/>
      <c r="QES234" s="255"/>
      <c r="QEV234" s="242"/>
      <c r="QEW234" s="255"/>
      <c r="QEZ234" s="242"/>
      <c r="QFA234" s="255"/>
      <c r="QFD234" s="242"/>
      <c r="QFE234" s="255"/>
      <c r="QFH234" s="242"/>
      <c r="QFI234" s="255"/>
      <c r="QFL234" s="242"/>
      <c r="QFM234" s="255"/>
      <c r="QFP234" s="242"/>
      <c r="QFQ234" s="255"/>
      <c r="QFT234" s="242"/>
      <c r="QFU234" s="255"/>
      <c r="QFX234" s="242"/>
      <c r="QFY234" s="255"/>
      <c r="QGB234" s="242"/>
      <c r="QGC234" s="255"/>
      <c r="QGF234" s="242"/>
      <c r="QGG234" s="255"/>
      <c r="QGJ234" s="242"/>
      <c r="QGK234" s="255"/>
      <c r="QGN234" s="242"/>
      <c r="QGO234" s="255"/>
      <c r="QGR234" s="242"/>
      <c r="QGS234" s="255"/>
      <c r="QGV234" s="242"/>
      <c r="QGW234" s="255"/>
      <c r="QGZ234" s="242"/>
      <c r="QHA234" s="255"/>
      <c r="QHD234" s="242"/>
      <c r="QHE234" s="255"/>
      <c r="QHH234" s="242"/>
      <c r="QHI234" s="255"/>
      <c r="QHL234" s="242"/>
      <c r="QHM234" s="255"/>
      <c r="QHP234" s="242"/>
      <c r="QHQ234" s="255"/>
      <c r="QHT234" s="242"/>
      <c r="QHU234" s="255"/>
      <c r="QHX234" s="242"/>
      <c r="QHY234" s="255"/>
      <c r="QIB234" s="242"/>
      <c r="QIC234" s="255"/>
      <c r="QIF234" s="242"/>
      <c r="QIG234" s="255"/>
      <c r="QIJ234" s="242"/>
      <c r="QIK234" s="255"/>
      <c r="QIN234" s="242"/>
      <c r="QIO234" s="255"/>
      <c r="QIR234" s="242"/>
      <c r="QIS234" s="255"/>
      <c r="QIV234" s="242"/>
      <c r="QIW234" s="255"/>
      <c r="QIZ234" s="242"/>
      <c r="QJA234" s="255"/>
      <c r="QJD234" s="242"/>
      <c r="QJE234" s="255"/>
      <c r="QJH234" s="242"/>
      <c r="QJI234" s="255"/>
      <c r="QJL234" s="242"/>
      <c r="QJM234" s="255"/>
      <c r="QJP234" s="242"/>
      <c r="QJQ234" s="255"/>
      <c r="QJT234" s="242"/>
      <c r="QJU234" s="255"/>
      <c r="QJX234" s="242"/>
      <c r="QJY234" s="255"/>
      <c r="QKB234" s="242"/>
      <c r="QKC234" s="255"/>
      <c r="QKF234" s="242"/>
      <c r="QKG234" s="255"/>
      <c r="QKJ234" s="242"/>
      <c r="QKK234" s="255"/>
      <c r="QKN234" s="242"/>
      <c r="QKO234" s="255"/>
      <c r="QKR234" s="242"/>
      <c r="QKS234" s="255"/>
      <c r="QKV234" s="242"/>
      <c r="QKW234" s="255"/>
      <c r="QKZ234" s="242"/>
      <c r="QLA234" s="255"/>
      <c r="QLD234" s="242"/>
      <c r="QLE234" s="255"/>
      <c r="QLH234" s="242"/>
      <c r="QLI234" s="255"/>
      <c r="QLL234" s="242"/>
      <c r="QLM234" s="255"/>
      <c r="QLP234" s="242"/>
      <c r="QLQ234" s="255"/>
      <c r="QLT234" s="242"/>
      <c r="QLU234" s="255"/>
      <c r="QLX234" s="242"/>
      <c r="QLY234" s="255"/>
      <c r="QMB234" s="242"/>
      <c r="QMC234" s="255"/>
      <c r="QMF234" s="242"/>
      <c r="QMG234" s="255"/>
      <c r="QMJ234" s="242"/>
      <c r="QMK234" s="255"/>
      <c r="QMN234" s="242"/>
      <c r="QMO234" s="255"/>
      <c r="QMR234" s="242"/>
      <c r="QMS234" s="255"/>
      <c r="QMV234" s="242"/>
      <c r="QMW234" s="255"/>
      <c r="QMZ234" s="242"/>
      <c r="QNA234" s="255"/>
      <c r="QND234" s="242"/>
      <c r="QNE234" s="255"/>
      <c r="QNH234" s="242"/>
      <c r="QNI234" s="255"/>
      <c r="QNL234" s="242"/>
      <c r="QNM234" s="255"/>
      <c r="QNP234" s="242"/>
      <c r="QNQ234" s="255"/>
      <c r="QNT234" s="242"/>
      <c r="QNU234" s="255"/>
      <c r="QNX234" s="242"/>
      <c r="QNY234" s="255"/>
      <c r="QOB234" s="242"/>
      <c r="QOC234" s="255"/>
      <c r="QOF234" s="242"/>
      <c r="QOG234" s="255"/>
      <c r="QOJ234" s="242"/>
      <c r="QOK234" s="255"/>
      <c r="QON234" s="242"/>
      <c r="QOO234" s="255"/>
      <c r="QOR234" s="242"/>
      <c r="QOS234" s="255"/>
      <c r="QOV234" s="242"/>
      <c r="QOW234" s="255"/>
      <c r="QOZ234" s="242"/>
      <c r="QPA234" s="255"/>
      <c r="QPD234" s="242"/>
      <c r="QPE234" s="255"/>
      <c r="QPH234" s="242"/>
      <c r="QPI234" s="255"/>
      <c r="QPL234" s="242"/>
      <c r="QPM234" s="255"/>
      <c r="QPP234" s="242"/>
      <c r="QPQ234" s="255"/>
      <c r="QPT234" s="242"/>
      <c r="QPU234" s="255"/>
      <c r="QPX234" s="242"/>
      <c r="QPY234" s="255"/>
      <c r="QQB234" s="242"/>
      <c r="QQC234" s="255"/>
      <c r="QQF234" s="242"/>
      <c r="QQG234" s="255"/>
      <c r="QQJ234" s="242"/>
      <c r="QQK234" s="255"/>
      <c r="QQN234" s="242"/>
      <c r="QQO234" s="255"/>
      <c r="QQR234" s="242"/>
      <c r="QQS234" s="255"/>
      <c r="QQV234" s="242"/>
      <c r="QQW234" s="255"/>
      <c r="QQZ234" s="242"/>
      <c r="QRA234" s="255"/>
      <c r="QRD234" s="242"/>
      <c r="QRE234" s="255"/>
      <c r="QRH234" s="242"/>
      <c r="QRI234" s="255"/>
      <c r="QRL234" s="242"/>
      <c r="QRM234" s="255"/>
      <c r="QRP234" s="242"/>
      <c r="QRQ234" s="255"/>
      <c r="QRT234" s="242"/>
      <c r="QRU234" s="255"/>
      <c r="QRX234" s="242"/>
      <c r="QRY234" s="255"/>
      <c r="QSB234" s="242"/>
      <c r="QSC234" s="255"/>
      <c r="QSF234" s="242"/>
      <c r="QSG234" s="255"/>
      <c r="QSJ234" s="242"/>
      <c r="QSK234" s="255"/>
      <c r="QSN234" s="242"/>
      <c r="QSO234" s="255"/>
      <c r="QSR234" s="242"/>
      <c r="QSS234" s="255"/>
      <c r="QSV234" s="242"/>
      <c r="QSW234" s="255"/>
      <c r="QSZ234" s="242"/>
      <c r="QTA234" s="255"/>
      <c r="QTD234" s="242"/>
      <c r="QTE234" s="255"/>
      <c r="QTH234" s="242"/>
      <c r="QTI234" s="255"/>
      <c r="QTL234" s="242"/>
      <c r="QTM234" s="255"/>
      <c r="QTP234" s="242"/>
      <c r="QTQ234" s="255"/>
      <c r="QTT234" s="242"/>
      <c r="QTU234" s="255"/>
      <c r="QTX234" s="242"/>
      <c r="QTY234" s="255"/>
      <c r="QUB234" s="242"/>
      <c r="QUC234" s="255"/>
      <c r="QUF234" s="242"/>
      <c r="QUG234" s="255"/>
      <c r="QUJ234" s="242"/>
      <c r="QUK234" s="255"/>
      <c r="QUN234" s="242"/>
      <c r="QUO234" s="255"/>
      <c r="QUR234" s="242"/>
      <c r="QUS234" s="255"/>
      <c r="QUV234" s="242"/>
      <c r="QUW234" s="255"/>
      <c r="QUZ234" s="242"/>
      <c r="QVA234" s="255"/>
      <c r="QVD234" s="242"/>
      <c r="QVE234" s="255"/>
      <c r="QVH234" s="242"/>
      <c r="QVI234" s="255"/>
      <c r="QVL234" s="242"/>
      <c r="QVM234" s="255"/>
      <c r="QVP234" s="242"/>
      <c r="QVQ234" s="255"/>
      <c r="QVT234" s="242"/>
      <c r="QVU234" s="255"/>
      <c r="QVX234" s="242"/>
      <c r="QVY234" s="255"/>
      <c r="QWB234" s="242"/>
      <c r="QWC234" s="255"/>
      <c r="QWF234" s="242"/>
      <c r="QWG234" s="255"/>
      <c r="QWJ234" s="242"/>
      <c r="QWK234" s="255"/>
      <c r="QWN234" s="242"/>
      <c r="QWO234" s="255"/>
      <c r="QWR234" s="242"/>
      <c r="QWS234" s="255"/>
      <c r="QWV234" s="242"/>
      <c r="QWW234" s="255"/>
      <c r="QWZ234" s="242"/>
      <c r="QXA234" s="255"/>
      <c r="QXD234" s="242"/>
      <c r="QXE234" s="255"/>
      <c r="QXH234" s="242"/>
      <c r="QXI234" s="255"/>
      <c r="QXL234" s="242"/>
      <c r="QXM234" s="255"/>
      <c r="QXP234" s="242"/>
      <c r="QXQ234" s="255"/>
      <c r="QXT234" s="242"/>
      <c r="QXU234" s="255"/>
      <c r="QXX234" s="242"/>
      <c r="QXY234" s="255"/>
      <c r="QYB234" s="242"/>
      <c r="QYC234" s="255"/>
      <c r="QYF234" s="242"/>
      <c r="QYG234" s="255"/>
      <c r="QYJ234" s="242"/>
      <c r="QYK234" s="255"/>
      <c r="QYN234" s="242"/>
      <c r="QYO234" s="255"/>
      <c r="QYR234" s="242"/>
      <c r="QYS234" s="255"/>
      <c r="QYV234" s="242"/>
      <c r="QYW234" s="255"/>
      <c r="QYZ234" s="242"/>
      <c r="QZA234" s="255"/>
      <c r="QZD234" s="242"/>
      <c r="QZE234" s="255"/>
      <c r="QZH234" s="242"/>
      <c r="QZI234" s="255"/>
      <c r="QZL234" s="242"/>
      <c r="QZM234" s="255"/>
      <c r="QZP234" s="242"/>
      <c r="QZQ234" s="255"/>
      <c r="QZT234" s="242"/>
      <c r="QZU234" s="255"/>
      <c r="QZX234" s="242"/>
      <c r="QZY234" s="255"/>
      <c r="RAB234" s="242"/>
      <c r="RAC234" s="255"/>
      <c r="RAF234" s="242"/>
      <c r="RAG234" s="255"/>
      <c r="RAJ234" s="242"/>
      <c r="RAK234" s="255"/>
      <c r="RAN234" s="242"/>
      <c r="RAO234" s="255"/>
      <c r="RAR234" s="242"/>
      <c r="RAS234" s="255"/>
      <c r="RAV234" s="242"/>
      <c r="RAW234" s="255"/>
      <c r="RAZ234" s="242"/>
      <c r="RBA234" s="255"/>
      <c r="RBD234" s="242"/>
      <c r="RBE234" s="255"/>
      <c r="RBH234" s="242"/>
      <c r="RBI234" s="255"/>
      <c r="RBL234" s="242"/>
      <c r="RBM234" s="255"/>
      <c r="RBP234" s="242"/>
      <c r="RBQ234" s="255"/>
      <c r="RBT234" s="242"/>
      <c r="RBU234" s="255"/>
      <c r="RBX234" s="242"/>
      <c r="RBY234" s="255"/>
      <c r="RCB234" s="242"/>
      <c r="RCC234" s="255"/>
      <c r="RCF234" s="242"/>
      <c r="RCG234" s="255"/>
      <c r="RCJ234" s="242"/>
      <c r="RCK234" s="255"/>
      <c r="RCN234" s="242"/>
      <c r="RCO234" s="255"/>
      <c r="RCR234" s="242"/>
      <c r="RCS234" s="255"/>
      <c r="RCV234" s="242"/>
      <c r="RCW234" s="255"/>
      <c r="RCZ234" s="242"/>
      <c r="RDA234" s="255"/>
      <c r="RDD234" s="242"/>
      <c r="RDE234" s="255"/>
      <c r="RDH234" s="242"/>
      <c r="RDI234" s="255"/>
      <c r="RDL234" s="242"/>
      <c r="RDM234" s="255"/>
      <c r="RDP234" s="242"/>
      <c r="RDQ234" s="255"/>
      <c r="RDT234" s="242"/>
      <c r="RDU234" s="255"/>
      <c r="RDX234" s="242"/>
      <c r="RDY234" s="255"/>
      <c r="REB234" s="242"/>
      <c r="REC234" s="255"/>
      <c r="REF234" s="242"/>
      <c r="REG234" s="255"/>
      <c r="REJ234" s="242"/>
      <c r="REK234" s="255"/>
      <c r="REN234" s="242"/>
      <c r="REO234" s="255"/>
      <c r="RER234" s="242"/>
      <c r="RES234" s="255"/>
      <c r="REV234" s="242"/>
      <c r="REW234" s="255"/>
      <c r="REZ234" s="242"/>
      <c r="RFA234" s="255"/>
      <c r="RFD234" s="242"/>
      <c r="RFE234" s="255"/>
      <c r="RFH234" s="242"/>
      <c r="RFI234" s="255"/>
      <c r="RFL234" s="242"/>
      <c r="RFM234" s="255"/>
      <c r="RFP234" s="242"/>
      <c r="RFQ234" s="255"/>
      <c r="RFT234" s="242"/>
      <c r="RFU234" s="255"/>
      <c r="RFX234" s="242"/>
      <c r="RFY234" s="255"/>
      <c r="RGB234" s="242"/>
      <c r="RGC234" s="255"/>
      <c r="RGF234" s="242"/>
      <c r="RGG234" s="255"/>
      <c r="RGJ234" s="242"/>
      <c r="RGK234" s="255"/>
      <c r="RGN234" s="242"/>
      <c r="RGO234" s="255"/>
      <c r="RGR234" s="242"/>
      <c r="RGS234" s="255"/>
      <c r="RGV234" s="242"/>
      <c r="RGW234" s="255"/>
      <c r="RGZ234" s="242"/>
      <c r="RHA234" s="255"/>
      <c r="RHD234" s="242"/>
      <c r="RHE234" s="255"/>
      <c r="RHH234" s="242"/>
      <c r="RHI234" s="255"/>
      <c r="RHL234" s="242"/>
      <c r="RHM234" s="255"/>
      <c r="RHP234" s="242"/>
      <c r="RHQ234" s="255"/>
      <c r="RHT234" s="242"/>
      <c r="RHU234" s="255"/>
      <c r="RHX234" s="242"/>
      <c r="RHY234" s="255"/>
      <c r="RIB234" s="242"/>
      <c r="RIC234" s="255"/>
      <c r="RIF234" s="242"/>
      <c r="RIG234" s="255"/>
      <c r="RIJ234" s="242"/>
      <c r="RIK234" s="255"/>
      <c r="RIN234" s="242"/>
      <c r="RIO234" s="255"/>
      <c r="RIR234" s="242"/>
      <c r="RIS234" s="255"/>
      <c r="RIV234" s="242"/>
      <c r="RIW234" s="255"/>
      <c r="RIZ234" s="242"/>
      <c r="RJA234" s="255"/>
      <c r="RJD234" s="242"/>
      <c r="RJE234" s="255"/>
      <c r="RJH234" s="242"/>
      <c r="RJI234" s="255"/>
      <c r="RJL234" s="242"/>
      <c r="RJM234" s="255"/>
      <c r="RJP234" s="242"/>
      <c r="RJQ234" s="255"/>
      <c r="RJT234" s="242"/>
      <c r="RJU234" s="255"/>
      <c r="RJX234" s="242"/>
      <c r="RJY234" s="255"/>
      <c r="RKB234" s="242"/>
      <c r="RKC234" s="255"/>
      <c r="RKF234" s="242"/>
      <c r="RKG234" s="255"/>
      <c r="RKJ234" s="242"/>
      <c r="RKK234" s="255"/>
      <c r="RKN234" s="242"/>
      <c r="RKO234" s="255"/>
      <c r="RKR234" s="242"/>
      <c r="RKS234" s="255"/>
      <c r="RKV234" s="242"/>
      <c r="RKW234" s="255"/>
      <c r="RKZ234" s="242"/>
      <c r="RLA234" s="255"/>
      <c r="RLD234" s="242"/>
      <c r="RLE234" s="255"/>
      <c r="RLH234" s="242"/>
      <c r="RLI234" s="255"/>
      <c r="RLL234" s="242"/>
      <c r="RLM234" s="255"/>
      <c r="RLP234" s="242"/>
      <c r="RLQ234" s="255"/>
      <c r="RLT234" s="242"/>
      <c r="RLU234" s="255"/>
      <c r="RLX234" s="242"/>
      <c r="RLY234" s="255"/>
      <c r="RMB234" s="242"/>
      <c r="RMC234" s="255"/>
      <c r="RMF234" s="242"/>
      <c r="RMG234" s="255"/>
      <c r="RMJ234" s="242"/>
      <c r="RMK234" s="255"/>
      <c r="RMN234" s="242"/>
      <c r="RMO234" s="255"/>
      <c r="RMR234" s="242"/>
      <c r="RMS234" s="255"/>
      <c r="RMV234" s="242"/>
      <c r="RMW234" s="255"/>
      <c r="RMZ234" s="242"/>
      <c r="RNA234" s="255"/>
      <c r="RND234" s="242"/>
      <c r="RNE234" s="255"/>
      <c r="RNH234" s="242"/>
      <c r="RNI234" s="255"/>
      <c r="RNL234" s="242"/>
      <c r="RNM234" s="255"/>
      <c r="RNP234" s="242"/>
      <c r="RNQ234" s="255"/>
      <c r="RNT234" s="242"/>
      <c r="RNU234" s="255"/>
      <c r="RNX234" s="242"/>
      <c r="RNY234" s="255"/>
      <c r="ROB234" s="242"/>
      <c r="ROC234" s="255"/>
      <c r="ROF234" s="242"/>
      <c r="ROG234" s="255"/>
      <c r="ROJ234" s="242"/>
      <c r="ROK234" s="255"/>
      <c r="RON234" s="242"/>
      <c r="ROO234" s="255"/>
      <c r="ROR234" s="242"/>
      <c r="ROS234" s="255"/>
      <c r="ROV234" s="242"/>
      <c r="ROW234" s="255"/>
      <c r="ROZ234" s="242"/>
      <c r="RPA234" s="255"/>
      <c r="RPD234" s="242"/>
      <c r="RPE234" s="255"/>
      <c r="RPH234" s="242"/>
      <c r="RPI234" s="255"/>
      <c r="RPL234" s="242"/>
      <c r="RPM234" s="255"/>
      <c r="RPP234" s="242"/>
      <c r="RPQ234" s="255"/>
      <c r="RPT234" s="242"/>
      <c r="RPU234" s="255"/>
      <c r="RPX234" s="242"/>
      <c r="RPY234" s="255"/>
      <c r="RQB234" s="242"/>
      <c r="RQC234" s="255"/>
      <c r="RQF234" s="242"/>
      <c r="RQG234" s="255"/>
      <c r="RQJ234" s="242"/>
      <c r="RQK234" s="255"/>
      <c r="RQN234" s="242"/>
      <c r="RQO234" s="255"/>
      <c r="RQR234" s="242"/>
      <c r="RQS234" s="255"/>
      <c r="RQV234" s="242"/>
      <c r="RQW234" s="255"/>
      <c r="RQZ234" s="242"/>
      <c r="RRA234" s="255"/>
      <c r="RRD234" s="242"/>
      <c r="RRE234" s="255"/>
      <c r="RRH234" s="242"/>
      <c r="RRI234" s="255"/>
      <c r="RRL234" s="242"/>
      <c r="RRM234" s="255"/>
      <c r="RRP234" s="242"/>
      <c r="RRQ234" s="255"/>
      <c r="RRT234" s="242"/>
      <c r="RRU234" s="255"/>
      <c r="RRX234" s="242"/>
      <c r="RRY234" s="255"/>
      <c r="RSB234" s="242"/>
      <c r="RSC234" s="255"/>
      <c r="RSF234" s="242"/>
      <c r="RSG234" s="255"/>
      <c r="RSJ234" s="242"/>
      <c r="RSK234" s="255"/>
      <c r="RSN234" s="242"/>
      <c r="RSO234" s="255"/>
      <c r="RSR234" s="242"/>
      <c r="RSS234" s="255"/>
      <c r="RSV234" s="242"/>
      <c r="RSW234" s="255"/>
      <c r="RSZ234" s="242"/>
      <c r="RTA234" s="255"/>
      <c r="RTD234" s="242"/>
      <c r="RTE234" s="255"/>
      <c r="RTH234" s="242"/>
      <c r="RTI234" s="255"/>
      <c r="RTL234" s="242"/>
      <c r="RTM234" s="255"/>
      <c r="RTP234" s="242"/>
      <c r="RTQ234" s="255"/>
      <c r="RTT234" s="242"/>
      <c r="RTU234" s="255"/>
      <c r="RTX234" s="242"/>
      <c r="RTY234" s="255"/>
      <c r="RUB234" s="242"/>
      <c r="RUC234" s="255"/>
      <c r="RUF234" s="242"/>
      <c r="RUG234" s="255"/>
      <c r="RUJ234" s="242"/>
      <c r="RUK234" s="255"/>
      <c r="RUN234" s="242"/>
      <c r="RUO234" s="255"/>
      <c r="RUR234" s="242"/>
      <c r="RUS234" s="255"/>
      <c r="RUV234" s="242"/>
      <c r="RUW234" s="255"/>
      <c r="RUZ234" s="242"/>
      <c r="RVA234" s="255"/>
      <c r="RVD234" s="242"/>
      <c r="RVE234" s="255"/>
      <c r="RVH234" s="242"/>
      <c r="RVI234" s="255"/>
      <c r="RVL234" s="242"/>
      <c r="RVM234" s="255"/>
      <c r="RVP234" s="242"/>
      <c r="RVQ234" s="255"/>
      <c r="RVT234" s="242"/>
      <c r="RVU234" s="255"/>
      <c r="RVX234" s="242"/>
      <c r="RVY234" s="255"/>
      <c r="RWB234" s="242"/>
      <c r="RWC234" s="255"/>
      <c r="RWF234" s="242"/>
      <c r="RWG234" s="255"/>
      <c r="RWJ234" s="242"/>
      <c r="RWK234" s="255"/>
      <c r="RWN234" s="242"/>
      <c r="RWO234" s="255"/>
      <c r="RWR234" s="242"/>
      <c r="RWS234" s="255"/>
      <c r="RWV234" s="242"/>
      <c r="RWW234" s="255"/>
      <c r="RWZ234" s="242"/>
      <c r="RXA234" s="255"/>
      <c r="RXD234" s="242"/>
      <c r="RXE234" s="255"/>
      <c r="RXH234" s="242"/>
      <c r="RXI234" s="255"/>
      <c r="RXL234" s="242"/>
      <c r="RXM234" s="255"/>
      <c r="RXP234" s="242"/>
      <c r="RXQ234" s="255"/>
      <c r="RXT234" s="242"/>
      <c r="RXU234" s="255"/>
      <c r="RXX234" s="242"/>
      <c r="RXY234" s="255"/>
      <c r="RYB234" s="242"/>
      <c r="RYC234" s="255"/>
      <c r="RYF234" s="242"/>
      <c r="RYG234" s="255"/>
      <c r="RYJ234" s="242"/>
      <c r="RYK234" s="255"/>
      <c r="RYN234" s="242"/>
      <c r="RYO234" s="255"/>
      <c r="RYR234" s="242"/>
      <c r="RYS234" s="255"/>
      <c r="RYV234" s="242"/>
      <c r="RYW234" s="255"/>
      <c r="RYZ234" s="242"/>
      <c r="RZA234" s="255"/>
      <c r="RZD234" s="242"/>
      <c r="RZE234" s="255"/>
      <c r="RZH234" s="242"/>
      <c r="RZI234" s="255"/>
      <c r="RZL234" s="242"/>
      <c r="RZM234" s="255"/>
      <c r="RZP234" s="242"/>
      <c r="RZQ234" s="255"/>
      <c r="RZT234" s="242"/>
      <c r="RZU234" s="255"/>
      <c r="RZX234" s="242"/>
      <c r="RZY234" s="255"/>
      <c r="SAB234" s="242"/>
      <c r="SAC234" s="255"/>
      <c r="SAF234" s="242"/>
      <c r="SAG234" s="255"/>
      <c r="SAJ234" s="242"/>
      <c r="SAK234" s="255"/>
      <c r="SAN234" s="242"/>
      <c r="SAO234" s="255"/>
      <c r="SAR234" s="242"/>
      <c r="SAS234" s="255"/>
      <c r="SAV234" s="242"/>
      <c r="SAW234" s="255"/>
      <c r="SAZ234" s="242"/>
      <c r="SBA234" s="255"/>
      <c r="SBD234" s="242"/>
      <c r="SBE234" s="255"/>
      <c r="SBH234" s="242"/>
      <c r="SBI234" s="255"/>
      <c r="SBL234" s="242"/>
      <c r="SBM234" s="255"/>
      <c r="SBP234" s="242"/>
      <c r="SBQ234" s="255"/>
      <c r="SBT234" s="242"/>
      <c r="SBU234" s="255"/>
      <c r="SBX234" s="242"/>
      <c r="SBY234" s="255"/>
      <c r="SCB234" s="242"/>
      <c r="SCC234" s="255"/>
      <c r="SCF234" s="242"/>
      <c r="SCG234" s="255"/>
      <c r="SCJ234" s="242"/>
      <c r="SCK234" s="255"/>
      <c r="SCN234" s="242"/>
      <c r="SCO234" s="255"/>
      <c r="SCR234" s="242"/>
      <c r="SCS234" s="255"/>
      <c r="SCV234" s="242"/>
      <c r="SCW234" s="255"/>
      <c r="SCZ234" s="242"/>
      <c r="SDA234" s="255"/>
      <c r="SDD234" s="242"/>
      <c r="SDE234" s="255"/>
      <c r="SDH234" s="242"/>
      <c r="SDI234" s="255"/>
      <c r="SDL234" s="242"/>
      <c r="SDM234" s="255"/>
      <c r="SDP234" s="242"/>
      <c r="SDQ234" s="255"/>
      <c r="SDT234" s="242"/>
      <c r="SDU234" s="255"/>
      <c r="SDX234" s="242"/>
      <c r="SDY234" s="255"/>
      <c r="SEB234" s="242"/>
      <c r="SEC234" s="255"/>
      <c r="SEF234" s="242"/>
      <c r="SEG234" s="255"/>
      <c r="SEJ234" s="242"/>
      <c r="SEK234" s="255"/>
      <c r="SEN234" s="242"/>
      <c r="SEO234" s="255"/>
      <c r="SER234" s="242"/>
      <c r="SES234" s="255"/>
      <c r="SEV234" s="242"/>
      <c r="SEW234" s="255"/>
      <c r="SEZ234" s="242"/>
      <c r="SFA234" s="255"/>
      <c r="SFD234" s="242"/>
      <c r="SFE234" s="255"/>
      <c r="SFH234" s="242"/>
      <c r="SFI234" s="255"/>
      <c r="SFL234" s="242"/>
      <c r="SFM234" s="255"/>
      <c r="SFP234" s="242"/>
      <c r="SFQ234" s="255"/>
      <c r="SFT234" s="242"/>
      <c r="SFU234" s="255"/>
      <c r="SFX234" s="242"/>
      <c r="SFY234" s="255"/>
      <c r="SGB234" s="242"/>
      <c r="SGC234" s="255"/>
      <c r="SGF234" s="242"/>
      <c r="SGG234" s="255"/>
      <c r="SGJ234" s="242"/>
      <c r="SGK234" s="255"/>
      <c r="SGN234" s="242"/>
      <c r="SGO234" s="255"/>
      <c r="SGR234" s="242"/>
      <c r="SGS234" s="255"/>
      <c r="SGV234" s="242"/>
      <c r="SGW234" s="255"/>
      <c r="SGZ234" s="242"/>
      <c r="SHA234" s="255"/>
      <c r="SHD234" s="242"/>
      <c r="SHE234" s="255"/>
      <c r="SHH234" s="242"/>
      <c r="SHI234" s="255"/>
      <c r="SHL234" s="242"/>
      <c r="SHM234" s="255"/>
      <c r="SHP234" s="242"/>
      <c r="SHQ234" s="255"/>
      <c r="SHT234" s="242"/>
      <c r="SHU234" s="255"/>
      <c r="SHX234" s="242"/>
      <c r="SHY234" s="255"/>
      <c r="SIB234" s="242"/>
      <c r="SIC234" s="255"/>
      <c r="SIF234" s="242"/>
      <c r="SIG234" s="255"/>
      <c r="SIJ234" s="242"/>
      <c r="SIK234" s="255"/>
      <c r="SIN234" s="242"/>
      <c r="SIO234" s="255"/>
      <c r="SIR234" s="242"/>
      <c r="SIS234" s="255"/>
      <c r="SIV234" s="242"/>
      <c r="SIW234" s="255"/>
      <c r="SIZ234" s="242"/>
      <c r="SJA234" s="255"/>
      <c r="SJD234" s="242"/>
      <c r="SJE234" s="255"/>
      <c r="SJH234" s="242"/>
      <c r="SJI234" s="255"/>
      <c r="SJL234" s="242"/>
      <c r="SJM234" s="255"/>
      <c r="SJP234" s="242"/>
      <c r="SJQ234" s="255"/>
      <c r="SJT234" s="242"/>
      <c r="SJU234" s="255"/>
      <c r="SJX234" s="242"/>
      <c r="SJY234" s="255"/>
      <c r="SKB234" s="242"/>
      <c r="SKC234" s="255"/>
      <c r="SKF234" s="242"/>
      <c r="SKG234" s="255"/>
      <c r="SKJ234" s="242"/>
      <c r="SKK234" s="255"/>
      <c r="SKN234" s="242"/>
      <c r="SKO234" s="255"/>
      <c r="SKR234" s="242"/>
      <c r="SKS234" s="255"/>
      <c r="SKV234" s="242"/>
      <c r="SKW234" s="255"/>
      <c r="SKZ234" s="242"/>
      <c r="SLA234" s="255"/>
      <c r="SLD234" s="242"/>
      <c r="SLE234" s="255"/>
      <c r="SLH234" s="242"/>
      <c r="SLI234" s="255"/>
      <c r="SLL234" s="242"/>
      <c r="SLM234" s="255"/>
      <c r="SLP234" s="242"/>
      <c r="SLQ234" s="255"/>
      <c r="SLT234" s="242"/>
      <c r="SLU234" s="255"/>
      <c r="SLX234" s="242"/>
      <c r="SLY234" s="255"/>
      <c r="SMB234" s="242"/>
      <c r="SMC234" s="255"/>
      <c r="SMF234" s="242"/>
      <c r="SMG234" s="255"/>
      <c r="SMJ234" s="242"/>
      <c r="SMK234" s="255"/>
      <c r="SMN234" s="242"/>
      <c r="SMO234" s="255"/>
      <c r="SMR234" s="242"/>
      <c r="SMS234" s="255"/>
      <c r="SMV234" s="242"/>
      <c r="SMW234" s="255"/>
      <c r="SMZ234" s="242"/>
      <c r="SNA234" s="255"/>
      <c r="SND234" s="242"/>
      <c r="SNE234" s="255"/>
      <c r="SNH234" s="242"/>
      <c r="SNI234" s="255"/>
      <c r="SNL234" s="242"/>
      <c r="SNM234" s="255"/>
      <c r="SNP234" s="242"/>
      <c r="SNQ234" s="255"/>
      <c r="SNT234" s="242"/>
      <c r="SNU234" s="255"/>
      <c r="SNX234" s="242"/>
      <c r="SNY234" s="255"/>
      <c r="SOB234" s="242"/>
      <c r="SOC234" s="255"/>
      <c r="SOF234" s="242"/>
      <c r="SOG234" s="255"/>
      <c r="SOJ234" s="242"/>
      <c r="SOK234" s="255"/>
      <c r="SON234" s="242"/>
      <c r="SOO234" s="255"/>
      <c r="SOR234" s="242"/>
      <c r="SOS234" s="255"/>
      <c r="SOV234" s="242"/>
      <c r="SOW234" s="255"/>
      <c r="SOZ234" s="242"/>
      <c r="SPA234" s="255"/>
      <c r="SPD234" s="242"/>
      <c r="SPE234" s="255"/>
      <c r="SPH234" s="242"/>
      <c r="SPI234" s="255"/>
      <c r="SPL234" s="242"/>
      <c r="SPM234" s="255"/>
      <c r="SPP234" s="242"/>
      <c r="SPQ234" s="255"/>
      <c r="SPT234" s="242"/>
      <c r="SPU234" s="255"/>
      <c r="SPX234" s="242"/>
      <c r="SPY234" s="255"/>
      <c r="SQB234" s="242"/>
      <c r="SQC234" s="255"/>
      <c r="SQF234" s="242"/>
      <c r="SQG234" s="255"/>
      <c r="SQJ234" s="242"/>
      <c r="SQK234" s="255"/>
      <c r="SQN234" s="242"/>
      <c r="SQO234" s="255"/>
      <c r="SQR234" s="242"/>
      <c r="SQS234" s="255"/>
      <c r="SQV234" s="242"/>
      <c r="SQW234" s="255"/>
      <c r="SQZ234" s="242"/>
      <c r="SRA234" s="255"/>
      <c r="SRD234" s="242"/>
      <c r="SRE234" s="255"/>
      <c r="SRH234" s="242"/>
      <c r="SRI234" s="255"/>
      <c r="SRL234" s="242"/>
      <c r="SRM234" s="255"/>
      <c r="SRP234" s="242"/>
      <c r="SRQ234" s="255"/>
      <c r="SRT234" s="242"/>
      <c r="SRU234" s="255"/>
      <c r="SRX234" s="242"/>
      <c r="SRY234" s="255"/>
      <c r="SSB234" s="242"/>
      <c r="SSC234" s="255"/>
      <c r="SSF234" s="242"/>
      <c r="SSG234" s="255"/>
      <c r="SSJ234" s="242"/>
      <c r="SSK234" s="255"/>
      <c r="SSN234" s="242"/>
      <c r="SSO234" s="255"/>
      <c r="SSR234" s="242"/>
      <c r="SSS234" s="255"/>
      <c r="SSV234" s="242"/>
      <c r="SSW234" s="255"/>
      <c r="SSZ234" s="242"/>
      <c r="STA234" s="255"/>
      <c r="STD234" s="242"/>
      <c r="STE234" s="255"/>
      <c r="STH234" s="242"/>
      <c r="STI234" s="255"/>
      <c r="STL234" s="242"/>
      <c r="STM234" s="255"/>
      <c r="STP234" s="242"/>
      <c r="STQ234" s="255"/>
      <c r="STT234" s="242"/>
      <c r="STU234" s="255"/>
      <c r="STX234" s="242"/>
      <c r="STY234" s="255"/>
      <c r="SUB234" s="242"/>
      <c r="SUC234" s="255"/>
      <c r="SUF234" s="242"/>
      <c r="SUG234" s="255"/>
      <c r="SUJ234" s="242"/>
      <c r="SUK234" s="255"/>
      <c r="SUN234" s="242"/>
      <c r="SUO234" s="255"/>
      <c r="SUR234" s="242"/>
      <c r="SUS234" s="255"/>
      <c r="SUV234" s="242"/>
      <c r="SUW234" s="255"/>
      <c r="SUZ234" s="242"/>
      <c r="SVA234" s="255"/>
      <c r="SVD234" s="242"/>
      <c r="SVE234" s="255"/>
      <c r="SVH234" s="242"/>
      <c r="SVI234" s="255"/>
      <c r="SVL234" s="242"/>
      <c r="SVM234" s="255"/>
      <c r="SVP234" s="242"/>
      <c r="SVQ234" s="255"/>
      <c r="SVT234" s="242"/>
      <c r="SVU234" s="255"/>
      <c r="SVX234" s="242"/>
      <c r="SVY234" s="255"/>
      <c r="SWB234" s="242"/>
      <c r="SWC234" s="255"/>
      <c r="SWF234" s="242"/>
      <c r="SWG234" s="255"/>
      <c r="SWJ234" s="242"/>
      <c r="SWK234" s="255"/>
      <c r="SWN234" s="242"/>
      <c r="SWO234" s="255"/>
      <c r="SWR234" s="242"/>
      <c r="SWS234" s="255"/>
      <c r="SWV234" s="242"/>
      <c r="SWW234" s="255"/>
      <c r="SWZ234" s="242"/>
      <c r="SXA234" s="255"/>
      <c r="SXD234" s="242"/>
      <c r="SXE234" s="255"/>
      <c r="SXH234" s="242"/>
      <c r="SXI234" s="255"/>
      <c r="SXL234" s="242"/>
      <c r="SXM234" s="255"/>
      <c r="SXP234" s="242"/>
      <c r="SXQ234" s="255"/>
      <c r="SXT234" s="242"/>
      <c r="SXU234" s="255"/>
      <c r="SXX234" s="242"/>
      <c r="SXY234" s="255"/>
      <c r="SYB234" s="242"/>
      <c r="SYC234" s="255"/>
      <c r="SYF234" s="242"/>
      <c r="SYG234" s="255"/>
      <c r="SYJ234" s="242"/>
      <c r="SYK234" s="255"/>
      <c r="SYN234" s="242"/>
      <c r="SYO234" s="255"/>
      <c r="SYR234" s="242"/>
      <c r="SYS234" s="255"/>
      <c r="SYV234" s="242"/>
      <c r="SYW234" s="255"/>
      <c r="SYZ234" s="242"/>
      <c r="SZA234" s="255"/>
      <c r="SZD234" s="242"/>
      <c r="SZE234" s="255"/>
      <c r="SZH234" s="242"/>
      <c r="SZI234" s="255"/>
      <c r="SZL234" s="242"/>
      <c r="SZM234" s="255"/>
      <c r="SZP234" s="242"/>
      <c r="SZQ234" s="255"/>
      <c r="SZT234" s="242"/>
      <c r="SZU234" s="255"/>
      <c r="SZX234" s="242"/>
      <c r="SZY234" s="255"/>
      <c r="TAB234" s="242"/>
      <c r="TAC234" s="255"/>
      <c r="TAF234" s="242"/>
      <c r="TAG234" s="255"/>
      <c r="TAJ234" s="242"/>
      <c r="TAK234" s="255"/>
      <c r="TAN234" s="242"/>
      <c r="TAO234" s="255"/>
      <c r="TAR234" s="242"/>
      <c r="TAS234" s="255"/>
      <c r="TAV234" s="242"/>
      <c r="TAW234" s="255"/>
      <c r="TAZ234" s="242"/>
      <c r="TBA234" s="255"/>
      <c r="TBD234" s="242"/>
      <c r="TBE234" s="255"/>
      <c r="TBH234" s="242"/>
      <c r="TBI234" s="255"/>
      <c r="TBL234" s="242"/>
      <c r="TBM234" s="255"/>
      <c r="TBP234" s="242"/>
      <c r="TBQ234" s="255"/>
      <c r="TBT234" s="242"/>
      <c r="TBU234" s="255"/>
      <c r="TBX234" s="242"/>
      <c r="TBY234" s="255"/>
      <c r="TCB234" s="242"/>
      <c r="TCC234" s="255"/>
      <c r="TCF234" s="242"/>
      <c r="TCG234" s="255"/>
      <c r="TCJ234" s="242"/>
      <c r="TCK234" s="255"/>
      <c r="TCN234" s="242"/>
      <c r="TCO234" s="255"/>
      <c r="TCR234" s="242"/>
      <c r="TCS234" s="255"/>
      <c r="TCV234" s="242"/>
      <c r="TCW234" s="255"/>
      <c r="TCZ234" s="242"/>
      <c r="TDA234" s="255"/>
      <c r="TDD234" s="242"/>
      <c r="TDE234" s="255"/>
      <c r="TDH234" s="242"/>
      <c r="TDI234" s="255"/>
      <c r="TDL234" s="242"/>
      <c r="TDM234" s="255"/>
      <c r="TDP234" s="242"/>
      <c r="TDQ234" s="255"/>
      <c r="TDT234" s="242"/>
      <c r="TDU234" s="255"/>
      <c r="TDX234" s="242"/>
      <c r="TDY234" s="255"/>
      <c r="TEB234" s="242"/>
      <c r="TEC234" s="255"/>
      <c r="TEF234" s="242"/>
      <c r="TEG234" s="255"/>
      <c r="TEJ234" s="242"/>
      <c r="TEK234" s="255"/>
      <c r="TEN234" s="242"/>
      <c r="TEO234" s="255"/>
      <c r="TER234" s="242"/>
      <c r="TES234" s="255"/>
      <c r="TEV234" s="242"/>
      <c r="TEW234" s="255"/>
      <c r="TEZ234" s="242"/>
      <c r="TFA234" s="255"/>
      <c r="TFD234" s="242"/>
      <c r="TFE234" s="255"/>
      <c r="TFH234" s="242"/>
      <c r="TFI234" s="255"/>
      <c r="TFL234" s="242"/>
      <c r="TFM234" s="255"/>
      <c r="TFP234" s="242"/>
      <c r="TFQ234" s="255"/>
      <c r="TFT234" s="242"/>
      <c r="TFU234" s="255"/>
      <c r="TFX234" s="242"/>
      <c r="TFY234" s="255"/>
      <c r="TGB234" s="242"/>
      <c r="TGC234" s="255"/>
      <c r="TGF234" s="242"/>
      <c r="TGG234" s="255"/>
      <c r="TGJ234" s="242"/>
      <c r="TGK234" s="255"/>
      <c r="TGN234" s="242"/>
      <c r="TGO234" s="255"/>
      <c r="TGR234" s="242"/>
      <c r="TGS234" s="255"/>
      <c r="TGV234" s="242"/>
      <c r="TGW234" s="255"/>
      <c r="TGZ234" s="242"/>
      <c r="THA234" s="255"/>
      <c r="THD234" s="242"/>
      <c r="THE234" s="255"/>
      <c r="THH234" s="242"/>
      <c r="THI234" s="255"/>
      <c r="THL234" s="242"/>
      <c r="THM234" s="255"/>
      <c r="THP234" s="242"/>
      <c r="THQ234" s="255"/>
      <c r="THT234" s="242"/>
      <c r="THU234" s="255"/>
      <c r="THX234" s="242"/>
      <c r="THY234" s="255"/>
      <c r="TIB234" s="242"/>
      <c r="TIC234" s="255"/>
      <c r="TIF234" s="242"/>
      <c r="TIG234" s="255"/>
      <c r="TIJ234" s="242"/>
      <c r="TIK234" s="255"/>
      <c r="TIN234" s="242"/>
      <c r="TIO234" s="255"/>
      <c r="TIR234" s="242"/>
      <c r="TIS234" s="255"/>
      <c r="TIV234" s="242"/>
      <c r="TIW234" s="255"/>
      <c r="TIZ234" s="242"/>
      <c r="TJA234" s="255"/>
      <c r="TJD234" s="242"/>
      <c r="TJE234" s="255"/>
      <c r="TJH234" s="242"/>
      <c r="TJI234" s="255"/>
      <c r="TJL234" s="242"/>
      <c r="TJM234" s="255"/>
      <c r="TJP234" s="242"/>
      <c r="TJQ234" s="255"/>
      <c r="TJT234" s="242"/>
      <c r="TJU234" s="255"/>
      <c r="TJX234" s="242"/>
      <c r="TJY234" s="255"/>
      <c r="TKB234" s="242"/>
      <c r="TKC234" s="255"/>
      <c r="TKF234" s="242"/>
      <c r="TKG234" s="255"/>
      <c r="TKJ234" s="242"/>
      <c r="TKK234" s="255"/>
      <c r="TKN234" s="242"/>
      <c r="TKO234" s="255"/>
      <c r="TKR234" s="242"/>
      <c r="TKS234" s="255"/>
      <c r="TKV234" s="242"/>
      <c r="TKW234" s="255"/>
      <c r="TKZ234" s="242"/>
      <c r="TLA234" s="255"/>
      <c r="TLD234" s="242"/>
      <c r="TLE234" s="255"/>
      <c r="TLH234" s="242"/>
      <c r="TLI234" s="255"/>
      <c r="TLL234" s="242"/>
      <c r="TLM234" s="255"/>
      <c r="TLP234" s="242"/>
      <c r="TLQ234" s="255"/>
      <c r="TLT234" s="242"/>
      <c r="TLU234" s="255"/>
      <c r="TLX234" s="242"/>
      <c r="TLY234" s="255"/>
      <c r="TMB234" s="242"/>
      <c r="TMC234" s="255"/>
      <c r="TMF234" s="242"/>
      <c r="TMG234" s="255"/>
      <c r="TMJ234" s="242"/>
      <c r="TMK234" s="255"/>
      <c r="TMN234" s="242"/>
      <c r="TMO234" s="255"/>
      <c r="TMR234" s="242"/>
      <c r="TMS234" s="255"/>
      <c r="TMV234" s="242"/>
      <c r="TMW234" s="255"/>
      <c r="TMZ234" s="242"/>
      <c r="TNA234" s="255"/>
      <c r="TND234" s="242"/>
      <c r="TNE234" s="255"/>
      <c r="TNH234" s="242"/>
      <c r="TNI234" s="255"/>
      <c r="TNL234" s="242"/>
      <c r="TNM234" s="255"/>
      <c r="TNP234" s="242"/>
      <c r="TNQ234" s="255"/>
      <c r="TNT234" s="242"/>
      <c r="TNU234" s="255"/>
      <c r="TNX234" s="242"/>
      <c r="TNY234" s="255"/>
      <c r="TOB234" s="242"/>
      <c r="TOC234" s="255"/>
      <c r="TOF234" s="242"/>
      <c r="TOG234" s="255"/>
      <c r="TOJ234" s="242"/>
      <c r="TOK234" s="255"/>
      <c r="TON234" s="242"/>
      <c r="TOO234" s="255"/>
      <c r="TOR234" s="242"/>
      <c r="TOS234" s="255"/>
      <c r="TOV234" s="242"/>
      <c r="TOW234" s="255"/>
      <c r="TOZ234" s="242"/>
      <c r="TPA234" s="255"/>
      <c r="TPD234" s="242"/>
      <c r="TPE234" s="255"/>
      <c r="TPH234" s="242"/>
      <c r="TPI234" s="255"/>
      <c r="TPL234" s="242"/>
      <c r="TPM234" s="255"/>
      <c r="TPP234" s="242"/>
      <c r="TPQ234" s="255"/>
      <c r="TPT234" s="242"/>
      <c r="TPU234" s="255"/>
      <c r="TPX234" s="242"/>
      <c r="TPY234" s="255"/>
      <c r="TQB234" s="242"/>
      <c r="TQC234" s="255"/>
      <c r="TQF234" s="242"/>
      <c r="TQG234" s="255"/>
      <c r="TQJ234" s="242"/>
      <c r="TQK234" s="255"/>
      <c r="TQN234" s="242"/>
      <c r="TQO234" s="255"/>
      <c r="TQR234" s="242"/>
      <c r="TQS234" s="255"/>
      <c r="TQV234" s="242"/>
      <c r="TQW234" s="255"/>
      <c r="TQZ234" s="242"/>
      <c r="TRA234" s="255"/>
      <c r="TRD234" s="242"/>
      <c r="TRE234" s="255"/>
      <c r="TRH234" s="242"/>
      <c r="TRI234" s="255"/>
      <c r="TRL234" s="242"/>
      <c r="TRM234" s="255"/>
      <c r="TRP234" s="242"/>
      <c r="TRQ234" s="255"/>
      <c r="TRT234" s="242"/>
      <c r="TRU234" s="255"/>
      <c r="TRX234" s="242"/>
      <c r="TRY234" s="255"/>
      <c r="TSB234" s="242"/>
      <c r="TSC234" s="255"/>
      <c r="TSF234" s="242"/>
      <c r="TSG234" s="255"/>
      <c r="TSJ234" s="242"/>
      <c r="TSK234" s="255"/>
      <c r="TSN234" s="242"/>
      <c r="TSO234" s="255"/>
      <c r="TSR234" s="242"/>
      <c r="TSS234" s="255"/>
      <c r="TSV234" s="242"/>
      <c r="TSW234" s="255"/>
      <c r="TSZ234" s="242"/>
      <c r="TTA234" s="255"/>
      <c r="TTD234" s="242"/>
      <c r="TTE234" s="255"/>
      <c r="TTH234" s="242"/>
      <c r="TTI234" s="255"/>
      <c r="TTL234" s="242"/>
      <c r="TTM234" s="255"/>
      <c r="TTP234" s="242"/>
      <c r="TTQ234" s="255"/>
      <c r="TTT234" s="242"/>
      <c r="TTU234" s="255"/>
      <c r="TTX234" s="242"/>
      <c r="TTY234" s="255"/>
      <c r="TUB234" s="242"/>
      <c r="TUC234" s="255"/>
      <c r="TUF234" s="242"/>
      <c r="TUG234" s="255"/>
      <c r="TUJ234" s="242"/>
      <c r="TUK234" s="255"/>
      <c r="TUN234" s="242"/>
      <c r="TUO234" s="255"/>
      <c r="TUR234" s="242"/>
      <c r="TUS234" s="255"/>
      <c r="TUV234" s="242"/>
      <c r="TUW234" s="255"/>
      <c r="TUZ234" s="242"/>
      <c r="TVA234" s="255"/>
      <c r="TVD234" s="242"/>
      <c r="TVE234" s="255"/>
      <c r="TVH234" s="242"/>
      <c r="TVI234" s="255"/>
      <c r="TVL234" s="242"/>
      <c r="TVM234" s="255"/>
      <c r="TVP234" s="242"/>
      <c r="TVQ234" s="255"/>
      <c r="TVT234" s="242"/>
      <c r="TVU234" s="255"/>
      <c r="TVX234" s="242"/>
      <c r="TVY234" s="255"/>
      <c r="TWB234" s="242"/>
      <c r="TWC234" s="255"/>
      <c r="TWF234" s="242"/>
      <c r="TWG234" s="255"/>
      <c r="TWJ234" s="242"/>
      <c r="TWK234" s="255"/>
      <c r="TWN234" s="242"/>
      <c r="TWO234" s="255"/>
      <c r="TWR234" s="242"/>
      <c r="TWS234" s="255"/>
      <c r="TWV234" s="242"/>
      <c r="TWW234" s="255"/>
      <c r="TWZ234" s="242"/>
      <c r="TXA234" s="255"/>
      <c r="TXD234" s="242"/>
      <c r="TXE234" s="255"/>
      <c r="TXH234" s="242"/>
      <c r="TXI234" s="255"/>
      <c r="TXL234" s="242"/>
      <c r="TXM234" s="255"/>
      <c r="TXP234" s="242"/>
      <c r="TXQ234" s="255"/>
      <c r="TXT234" s="242"/>
      <c r="TXU234" s="255"/>
      <c r="TXX234" s="242"/>
      <c r="TXY234" s="255"/>
      <c r="TYB234" s="242"/>
      <c r="TYC234" s="255"/>
      <c r="TYF234" s="242"/>
      <c r="TYG234" s="255"/>
      <c r="TYJ234" s="242"/>
      <c r="TYK234" s="255"/>
      <c r="TYN234" s="242"/>
      <c r="TYO234" s="255"/>
      <c r="TYR234" s="242"/>
      <c r="TYS234" s="255"/>
      <c r="TYV234" s="242"/>
      <c r="TYW234" s="255"/>
      <c r="TYZ234" s="242"/>
      <c r="TZA234" s="255"/>
      <c r="TZD234" s="242"/>
      <c r="TZE234" s="255"/>
      <c r="TZH234" s="242"/>
      <c r="TZI234" s="255"/>
      <c r="TZL234" s="242"/>
      <c r="TZM234" s="255"/>
      <c r="TZP234" s="242"/>
      <c r="TZQ234" s="255"/>
      <c r="TZT234" s="242"/>
      <c r="TZU234" s="255"/>
      <c r="TZX234" s="242"/>
      <c r="TZY234" s="255"/>
      <c r="UAB234" s="242"/>
      <c r="UAC234" s="255"/>
      <c r="UAF234" s="242"/>
      <c r="UAG234" s="255"/>
      <c r="UAJ234" s="242"/>
      <c r="UAK234" s="255"/>
      <c r="UAN234" s="242"/>
      <c r="UAO234" s="255"/>
      <c r="UAR234" s="242"/>
      <c r="UAS234" s="255"/>
      <c r="UAV234" s="242"/>
      <c r="UAW234" s="255"/>
      <c r="UAZ234" s="242"/>
      <c r="UBA234" s="255"/>
      <c r="UBD234" s="242"/>
      <c r="UBE234" s="255"/>
      <c r="UBH234" s="242"/>
      <c r="UBI234" s="255"/>
      <c r="UBL234" s="242"/>
      <c r="UBM234" s="255"/>
      <c r="UBP234" s="242"/>
      <c r="UBQ234" s="255"/>
      <c r="UBT234" s="242"/>
      <c r="UBU234" s="255"/>
      <c r="UBX234" s="242"/>
      <c r="UBY234" s="255"/>
      <c r="UCB234" s="242"/>
      <c r="UCC234" s="255"/>
      <c r="UCF234" s="242"/>
      <c r="UCG234" s="255"/>
      <c r="UCJ234" s="242"/>
      <c r="UCK234" s="255"/>
      <c r="UCN234" s="242"/>
      <c r="UCO234" s="255"/>
      <c r="UCR234" s="242"/>
      <c r="UCS234" s="255"/>
      <c r="UCV234" s="242"/>
      <c r="UCW234" s="255"/>
      <c r="UCZ234" s="242"/>
      <c r="UDA234" s="255"/>
      <c r="UDD234" s="242"/>
      <c r="UDE234" s="255"/>
      <c r="UDH234" s="242"/>
      <c r="UDI234" s="255"/>
      <c r="UDL234" s="242"/>
      <c r="UDM234" s="255"/>
      <c r="UDP234" s="242"/>
      <c r="UDQ234" s="255"/>
      <c r="UDT234" s="242"/>
      <c r="UDU234" s="255"/>
      <c r="UDX234" s="242"/>
      <c r="UDY234" s="255"/>
      <c r="UEB234" s="242"/>
      <c r="UEC234" s="255"/>
      <c r="UEF234" s="242"/>
      <c r="UEG234" s="255"/>
      <c r="UEJ234" s="242"/>
      <c r="UEK234" s="255"/>
      <c r="UEN234" s="242"/>
      <c r="UEO234" s="255"/>
      <c r="UER234" s="242"/>
      <c r="UES234" s="255"/>
      <c r="UEV234" s="242"/>
      <c r="UEW234" s="255"/>
      <c r="UEZ234" s="242"/>
      <c r="UFA234" s="255"/>
      <c r="UFD234" s="242"/>
      <c r="UFE234" s="255"/>
      <c r="UFH234" s="242"/>
      <c r="UFI234" s="255"/>
      <c r="UFL234" s="242"/>
      <c r="UFM234" s="255"/>
      <c r="UFP234" s="242"/>
      <c r="UFQ234" s="255"/>
      <c r="UFT234" s="242"/>
      <c r="UFU234" s="255"/>
      <c r="UFX234" s="242"/>
      <c r="UFY234" s="255"/>
      <c r="UGB234" s="242"/>
      <c r="UGC234" s="255"/>
      <c r="UGF234" s="242"/>
      <c r="UGG234" s="255"/>
      <c r="UGJ234" s="242"/>
      <c r="UGK234" s="255"/>
      <c r="UGN234" s="242"/>
      <c r="UGO234" s="255"/>
      <c r="UGR234" s="242"/>
      <c r="UGS234" s="255"/>
      <c r="UGV234" s="242"/>
      <c r="UGW234" s="255"/>
      <c r="UGZ234" s="242"/>
      <c r="UHA234" s="255"/>
      <c r="UHD234" s="242"/>
      <c r="UHE234" s="255"/>
      <c r="UHH234" s="242"/>
      <c r="UHI234" s="255"/>
      <c r="UHL234" s="242"/>
      <c r="UHM234" s="255"/>
      <c r="UHP234" s="242"/>
      <c r="UHQ234" s="255"/>
      <c r="UHT234" s="242"/>
      <c r="UHU234" s="255"/>
      <c r="UHX234" s="242"/>
      <c r="UHY234" s="255"/>
      <c r="UIB234" s="242"/>
      <c r="UIC234" s="255"/>
      <c r="UIF234" s="242"/>
      <c r="UIG234" s="255"/>
      <c r="UIJ234" s="242"/>
      <c r="UIK234" s="255"/>
      <c r="UIN234" s="242"/>
      <c r="UIO234" s="255"/>
      <c r="UIR234" s="242"/>
      <c r="UIS234" s="255"/>
      <c r="UIV234" s="242"/>
      <c r="UIW234" s="255"/>
      <c r="UIZ234" s="242"/>
      <c r="UJA234" s="255"/>
      <c r="UJD234" s="242"/>
      <c r="UJE234" s="255"/>
      <c r="UJH234" s="242"/>
      <c r="UJI234" s="255"/>
      <c r="UJL234" s="242"/>
      <c r="UJM234" s="255"/>
      <c r="UJP234" s="242"/>
      <c r="UJQ234" s="255"/>
      <c r="UJT234" s="242"/>
      <c r="UJU234" s="255"/>
      <c r="UJX234" s="242"/>
      <c r="UJY234" s="255"/>
      <c r="UKB234" s="242"/>
      <c r="UKC234" s="255"/>
      <c r="UKF234" s="242"/>
      <c r="UKG234" s="255"/>
      <c r="UKJ234" s="242"/>
      <c r="UKK234" s="255"/>
      <c r="UKN234" s="242"/>
      <c r="UKO234" s="255"/>
      <c r="UKR234" s="242"/>
      <c r="UKS234" s="255"/>
      <c r="UKV234" s="242"/>
      <c r="UKW234" s="255"/>
      <c r="UKZ234" s="242"/>
      <c r="ULA234" s="255"/>
      <c r="ULD234" s="242"/>
      <c r="ULE234" s="255"/>
      <c r="ULH234" s="242"/>
      <c r="ULI234" s="255"/>
      <c r="ULL234" s="242"/>
      <c r="ULM234" s="255"/>
      <c r="ULP234" s="242"/>
      <c r="ULQ234" s="255"/>
      <c r="ULT234" s="242"/>
      <c r="ULU234" s="255"/>
      <c r="ULX234" s="242"/>
      <c r="ULY234" s="255"/>
      <c r="UMB234" s="242"/>
      <c r="UMC234" s="255"/>
      <c r="UMF234" s="242"/>
      <c r="UMG234" s="255"/>
      <c r="UMJ234" s="242"/>
      <c r="UMK234" s="255"/>
      <c r="UMN234" s="242"/>
      <c r="UMO234" s="255"/>
      <c r="UMR234" s="242"/>
      <c r="UMS234" s="255"/>
      <c r="UMV234" s="242"/>
      <c r="UMW234" s="255"/>
      <c r="UMZ234" s="242"/>
      <c r="UNA234" s="255"/>
      <c r="UND234" s="242"/>
      <c r="UNE234" s="255"/>
      <c r="UNH234" s="242"/>
      <c r="UNI234" s="255"/>
      <c r="UNL234" s="242"/>
      <c r="UNM234" s="255"/>
      <c r="UNP234" s="242"/>
      <c r="UNQ234" s="255"/>
      <c r="UNT234" s="242"/>
      <c r="UNU234" s="255"/>
      <c r="UNX234" s="242"/>
      <c r="UNY234" s="255"/>
      <c r="UOB234" s="242"/>
      <c r="UOC234" s="255"/>
      <c r="UOF234" s="242"/>
      <c r="UOG234" s="255"/>
      <c r="UOJ234" s="242"/>
      <c r="UOK234" s="255"/>
      <c r="UON234" s="242"/>
      <c r="UOO234" s="255"/>
      <c r="UOR234" s="242"/>
      <c r="UOS234" s="255"/>
      <c r="UOV234" s="242"/>
      <c r="UOW234" s="255"/>
      <c r="UOZ234" s="242"/>
      <c r="UPA234" s="255"/>
      <c r="UPD234" s="242"/>
      <c r="UPE234" s="255"/>
      <c r="UPH234" s="242"/>
      <c r="UPI234" s="255"/>
      <c r="UPL234" s="242"/>
      <c r="UPM234" s="255"/>
      <c r="UPP234" s="242"/>
      <c r="UPQ234" s="255"/>
      <c r="UPT234" s="242"/>
      <c r="UPU234" s="255"/>
      <c r="UPX234" s="242"/>
      <c r="UPY234" s="255"/>
      <c r="UQB234" s="242"/>
      <c r="UQC234" s="255"/>
      <c r="UQF234" s="242"/>
      <c r="UQG234" s="255"/>
      <c r="UQJ234" s="242"/>
      <c r="UQK234" s="255"/>
      <c r="UQN234" s="242"/>
      <c r="UQO234" s="255"/>
      <c r="UQR234" s="242"/>
      <c r="UQS234" s="255"/>
      <c r="UQV234" s="242"/>
      <c r="UQW234" s="255"/>
      <c r="UQZ234" s="242"/>
      <c r="URA234" s="255"/>
      <c r="URD234" s="242"/>
      <c r="URE234" s="255"/>
      <c r="URH234" s="242"/>
      <c r="URI234" s="255"/>
      <c r="URL234" s="242"/>
      <c r="URM234" s="255"/>
      <c r="URP234" s="242"/>
      <c r="URQ234" s="255"/>
      <c r="URT234" s="242"/>
      <c r="URU234" s="255"/>
      <c r="URX234" s="242"/>
      <c r="URY234" s="255"/>
      <c r="USB234" s="242"/>
      <c r="USC234" s="255"/>
      <c r="USF234" s="242"/>
      <c r="USG234" s="255"/>
      <c r="USJ234" s="242"/>
      <c r="USK234" s="255"/>
      <c r="USN234" s="242"/>
      <c r="USO234" s="255"/>
      <c r="USR234" s="242"/>
      <c r="USS234" s="255"/>
      <c r="USV234" s="242"/>
      <c r="USW234" s="255"/>
      <c r="USZ234" s="242"/>
      <c r="UTA234" s="255"/>
      <c r="UTD234" s="242"/>
      <c r="UTE234" s="255"/>
      <c r="UTH234" s="242"/>
      <c r="UTI234" s="255"/>
      <c r="UTL234" s="242"/>
      <c r="UTM234" s="255"/>
      <c r="UTP234" s="242"/>
      <c r="UTQ234" s="255"/>
      <c r="UTT234" s="242"/>
      <c r="UTU234" s="255"/>
      <c r="UTX234" s="242"/>
      <c r="UTY234" s="255"/>
      <c r="UUB234" s="242"/>
      <c r="UUC234" s="255"/>
      <c r="UUF234" s="242"/>
      <c r="UUG234" s="255"/>
      <c r="UUJ234" s="242"/>
      <c r="UUK234" s="255"/>
      <c r="UUN234" s="242"/>
      <c r="UUO234" s="255"/>
      <c r="UUR234" s="242"/>
      <c r="UUS234" s="255"/>
      <c r="UUV234" s="242"/>
      <c r="UUW234" s="255"/>
      <c r="UUZ234" s="242"/>
      <c r="UVA234" s="255"/>
      <c r="UVD234" s="242"/>
      <c r="UVE234" s="255"/>
      <c r="UVH234" s="242"/>
      <c r="UVI234" s="255"/>
      <c r="UVL234" s="242"/>
      <c r="UVM234" s="255"/>
      <c r="UVP234" s="242"/>
      <c r="UVQ234" s="255"/>
      <c r="UVT234" s="242"/>
      <c r="UVU234" s="255"/>
      <c r="UVX234" s="242"/>
      <c r="UVY234" s="255"/>
      <c r="UWB234" s="242"/>
      <c r="UWC234" s="255"/>
      <c r="UWF234" s="242"/>
      <c r="UWG234" s="255"/>
      <c r="UWJ234" s="242"/>
      <c r="UWK234" s="255"/>
      <c r="UWN234" s="242"/>
      <c r="UWO234" s="255"/>
      <c r="UWR234" s="242"/>
      <c r="UWS234" s="255"/>
      <c r="UWV234" s="242"/>
      <c r="UWW234" s="255"/>
      <c r="UWZ234" s="242"/>
      <c r="UXA234" s="255"/>
      <c r="UXD234" s="242"/>
      <c r="UXE234" s="255"/>
      <c r="UXH234" s="242"/>
      <c r="UXI234" s="255"/>
      <c r="UXL234" s="242"/>
      <c r="UXM234" s="255"/>
      <c r="UXP234" s="242"/>
      <c r="UXQ234" s="255"/>
      <c r="UXT234" s="242"/>
      <c r="UXU234" s="255"/>
      <c r="UXX234" s="242"/>
      <c r="UXY234" s="255"/>
      <c r="UYB234" s="242"/>
      <c r="UYC234" s="255"/>
      <c r="UYF234" s="242"/>
      <c r="UYG234" s="255"/>
      <c r="UYJ234" s="242"/>
      <c r="UYK234" s="255"/>
      <c r="UYN234" s="242"/>
      <c r="UYO234" s="255"/>
      <c r="UYR234" s="242"/>
      <c r="UYS234" s="255"/>
      <c r="UYV234" s="242"/>
      <c r="UYW234" s="255"/>
      <c r="UYZ234" s="242"/>
      <c r="UZA234" s="255"/>
      <c r="UZD234" s="242"/>
      <c r="UZE234" s="255"/>
      <c r="UZH234" s="242"/>
      <c r="UZI234" s="255"/>
      <c r="UZL234" s="242"/>
      <c r="UZM234" s="255"/>
      <c r="UZP234" s="242"/>
      <c r="UZQ234" s="255"/>
      <c r="UZT234" s="242"/>
      <c r="UZU234" s="255"/>
      <c r="UZX234" s="242"/>
      <c r="UZY234" s="255"/>
      <c r="VAB234" s="242"/>
      <c r="VAC234" s="255"/>
      <c r="VAF234" s="242"/>
      <c r="VAG234" s="255"/>
      <c r="VAJ234" s="242"/>
      <c r="VAK234" s="255"/>
      <c r="VAN234" s="242"/>
      <c r="VAO234" s="255"/>
      <c r="VAR234" s="242"/>
      <c r="VAS234" s="255"/>
      <c r="VAV234" s="242"/>
      <c r="VAW234" s="255"/>
      <c r="VAZ234" s="242"/>
      <c r="VBA234" s="255"/>
      <c r="VBD234" s="242"/>
      <c r="VBE234" s="255"/>
      <c r="VBH234" s="242"/>
      <c r="VBI234" s="255"/>
      <c r="VBL234" s="242"/>
      <c r="VBM234" s="255"/>
      <c r="VBP234" s="242"/>
      <c r="VBQ234" s="255"/>
      <c r="VBT234" s="242"/>
      <c r="VBU234" s="255"/>
      <c r="VBX234" s="242"/>
      <c r="VBY234" s="255"/>
      <c r="VCB234" s="242"/>
      <c r="VCC234" s="255"/>
      <c r="VCF234" s="242"/>
      <c r="VCG234" s="255"/>
      <c r="VCJ234" s="242"/>
      <c r="VCK234" s="255"/>
      <c r="VCN234" s="242"/>
      <c r="VCO234" s="255"/>
      <c r="VCR234" s="242"/>
      <c r="VCS234" s="255"/>
      <c r="VCV234" s="242"/>
      <c r="VCW234" s="255"/>
      <c r="VCZ234" s="242"/>
      <c r="VDA234" s="255"/>
      <c r="VDD234" s="242"/>
      <c r="VDE234" s="255"/>
      <c r="VDH234" s="242"/>
      <c r="VDI234" s="255"/>
      <c r="VDL234" s="242"/>
      <c r="VDM234" s="255"/>
      <c r="VDP234" s="242"/>
      <c r="VDQ234" s="255"/>
      <c r="VDT234" s="242"/>
      <c r="VDU234" s="255"/>
      <c r="VDX234" s="242"/>
      <c r="VDY234" s="255"/>
      <c r="VEB234" s="242"/>
      <c r="VEC234" s="255"/>
      <c r="VEF234" s="242"/>
      <c r="VEG234" s="255"/>
      <c r="VEJ234" s="242"/>
      <c r="VEK234" s="255"/>
      <c r="VEN234" s="242"/>
      <c r="VEO234" s="255"/>
      <c r="VER234" s="242"/>
      <c r="VES234" s="255"/>
      <c r="VEV234" s="242"/>
      <c r="VEW234" s="255"/>
      <c r="VEZ234" s="242"/>
      <c r="VFA234" s="255"/>
      <c r="VFD234" s="242"/>
      <c r="VFE234" s="255"/>
      <c r="VFH234" s="242"/>
      <c r="VFI234" s="255"/>
      <c r="VFL234" s="242"/>
      <c r="VFM234" s="255"/>
      <c r="VFP234" s="242"/>
      <c r="VFQ234" s="255"/>
      <c r="VFT234" s="242"/>
      <c r="VFU234" s="255"/>
      <c r="VFX234" s="242"/>
      <c r="VFY234" s="255"/>
      <c r="VGB234" s="242"/>
      <c r="VGC234" s="255"/>
      <c r="VGF234" s="242"/>
      <c r="VGG234" s="255"/>
      <c r="VGJ234" s="242"/>
      <c r="VGK234" s="255"/>
      <c r="VGN234" s="242"/>
      <c r="VGO234" s="255"/>
      <c r="VGR234" s="242"/>
      <c r="VGS234" s="255"/>
      <c r="VGV234" s="242"/>
      <c r="VGW234" s="255"/>
      <c r="VGZ234" s="242"/>
      <c r="VHA234" s="255"/>
      <c r="VHD234" s="242"/>
      <c r="VHE234" s="255"/>
      <c r="VHH234" s="242"/>
      <c r="VHI234" s="255"/>
      <c r="VHL234" s="242"/>
      <c r="VHM234" s="255"/>
      <c r="VHP234" s="242"/>
      <c r="VHQ234" s="255"/>
      <c r="VHT234" s="242"/>
      <c r="VHU234" s="255"/>
      <c r="VHX234" s="242"/>
      <c r="VHY234" s="255"/>
      <c r="VIB234" s="242"/>
      <c r="VIC234" s="255"/>
      <c r="VIF234" s="242"/>
      <c r="VIG234" s="255"/>
      <c r="VIJ234" s="242"/>
      <c r="VIK234" s="255"/>
      <c r="VIN234" s="242"/>
      <c r="VIO234" s="255"/>
      <c r="VIR234" s="242"/>
      <c r="VIS234" s="255"/>
      <c r="VIV234" s="242"/>
      <c r="VIW234" s="255"/>
      <c r="VIZ234" s="242"/>
      <c r="VJA234" s="255"/>
      <c r="VJD234" s="242"/>
      <c r="VJE234" s="255"/>
      <c r="VJH234" s="242"/>
      <c r="VJI234" s="255"/>
      <c r="VJL234" s="242"/>
      <c r="VJM234" s="255"/>
      <c r="VJP234" s="242"/>
      <c r="VJQ234" s="255"/>
      <c r="VJT234" s="242"/>
      <c r="VJU234" s="255"/>
      <c r="VJX234" s="242"/>
      <c r="VJY234" s="255"/>
      <c r="VKB234" s="242"/>
      <c r="VKC234" s="255"/>
      <c r="VKF234" s="242"/>
      <c r="VKG234" s="255"/>
      <c r="VKJ234" s="242"/>
      <c r="VKK234" s="255"/>
      <c r="VKN234" s="242"/>
      <c r="VKO234" s="255"/>
      <c r="VKR234" s="242"/>
      <c r="VKS234" s="255"/>
      <c r="VKV234" s="242"/>
      <c r="VKW234" s="255"/>
      <c r="VKZ234" s="242"/>
      <c r="VLA234" s="255"/>
      <c r="VLD234" s="242"/>
      <c r="VLE234" s="255"/>
      <c r="VLH234" s="242"/>
      <c r="VLI234" s="255"/>
      <c r="VLL234" s="242"/>
      <c r="VLM234" s="255"/>
      <c r="VLP234" s="242"/>
      <c r="VLQ234" s="255"/>
      <c r="VLT234" s="242"/>
      <c r="VLU234" s="255"/>
      <c r="VLX234" s="242"/>
      <c r="VLY234" s="255"/>
      <c r="VMB234" s="242"/>
      <c r="VMC234" s="255"/>
      <c r="VMF234" s="242"/>
      <c r="VMG234" s="255"/>
      <c r="VMJ234" s="242"/>
      <c r="VMK234" s="255"/>
      <c r="VMN234" s="242"/>
      <c r="VMO234" s="255"/>
      <c r="VMR234" s="242"/>
      <c r="VMS234" s="255"/>
      <c r="VMV234" s="242"/>
      <c r="VMW234" s="255"/>
      <c r="VMZ234" s="242"/>
      <c r="VNA234" s="255"/>
      <c r="VND234" s="242"/>
      <c r="VNE234" s="255"/>
      <c r="VNH234" s="242"/>
      <c r="VNI234" s="255"/>
      <c r="VNL234" s="242"/>
      <c r="VNM234" s="255"/>
      <c r="VNP234" s="242"/>
      <c r="VNQ234" s="255"/>
      <c r="VNT234" s="242"/>
      <c r="VNU234" s="255"/>
      <c r="VNX234" s="242"/>
      <c r="VNY234" s="255"/>
      <c r="VOB234" s="242"/>
      <c r="VOC234" s="255"/>
      <c r="VOF234" s="242"/>
      <c r="VOG234" s="255"/>
      <c r="VOJ234" s="242"/>
      <c r="VOK234" s="255"/>
      <c r="VON234" s="242"/>
      <c r="VOO234" s="255"/>
      <c r="VOR234" s="242"/>
      <c r="VOS234" s="255"/>
      <c r="VOV234" s="242"/>
      <c r="VOW234" s="255"/>
      <c r="VOZ234" s="242"/>
      <c r="VPA234" s="255"/>
      <c r="VPD234" s="242"/>
      <c r="VPE234" s="255"/>
      <c r="VPH234" s="242"/>
      <c r="VPI234" s="255"/>
      <c r="VPL234" s="242"/>
      <c r="VPM234" s="255"/>
      <c r="VPP234" s="242"/>
      <c r="VPQ234" s="255"/>
      <c r="VPT234" s="242"/>
      <c r="VPU234" s="255"/>
      <c r="VPX234" s="242"/>
      <c r="VPY234" s="255"/>
      <c r="VQB234" s="242"/>
      <c r="VQC234" s="255"/>
      <c r="VQF234" s="242"/>
      <c r="VQG234" s="255"/>
      <c r="VQJ234" s="242"/>
      <c r="VQK234" s="255"/>
      <c r="VQN234" s="242"/>
      <c r="VQO234" s="255"/>
      <c r="VQR234" s="242"/>
      <c r="VQS234" s="255"/>
      <c r="VQV234" s="242"/>
      <c r="VQW234" s="255"/>
      <c r="VQZ234" s="242"/>
      <c r="VRA234" s="255"/>
      <c r="VRD234" s="242"/>
      <c r="VRE234" s="255"/>
      <c r="VRH234" s="242"/>
      <c r="VRI234" s="255"/>
      <c r="VRL234" s="242"/>
      <c r="VRM234" s="255"/>
      <c r="VRP234" s="242"/>
      <c r="VRQ234" s="255"/>
      <c r="VRT234" s="242"/>
      <c r="VRU234" s="255"/>
      <c r="VRX234" s="242"/>
      <c r="VRY234" s="255"/>
      <c r="VSB234" s="242"/>
      <c r="VSC234" s="255"/>
      <c r="VSF234" s="242"/>
      <c r="VSG234" s="255"/>
      <c r="VSJ234" s="242"/>
      <c r="VSK234" s="255"/>
      <c r="VSN234" s="242"/>
      <c r="VSO234" s="255"/>
      <c r="VSR234" s="242"/>
      <c r="VSS234" s="255"/>
      <c r="VSV234" s="242"/>
      <c r="VSW234" s="255"/>
      <c r="VSZ234" s="242"/>
      <c r="VTA234" s="255"/>
      <c r="VTD234" s="242"/>
      <c r="VTE234" s="255"/>
      <c r="VTH234" s="242"/>
      <c r="VTI234" s="255"/>
      <c r="VTL234" s="242"/>
      <c r="VTM234" s="255"/>
      <c r="VTP234" s="242"/>
      <c r="VTQ234" s="255"/>
      <c r="VTT234" s="242"/>
      <c r="VTU234" s="255"/>
      <c r="VTX234" s="242"/>
      <c r="VTY234" s="255"/>
      <c r="VUB234" s="242"/>
      <c r="VUC234" s="255"/>
      <c r="VUF234" s="242"/>
      <c r="VUG234" s="255"/>
      <c r="VUJ234" s="242"/>
      <c r="VUK234" s="255"/>
      <c r="VUN234" s="242"/>
      <c r="VUO234" s="255"/>
      <c r="VUR234" s="242"/>
      <c r="VUS234" s="255"/>
      <c r="VUV234" s="242"/>
      <c r="VUW234" s="255"/>
      <c r="VUZ234" s="242"/>
      <c r="VVA234" s="255"/>
      <c r="VVD234" s="242"/>
      <c r="VVE234" s="255"/>
      <c r="VVH234" s="242"/>
      <c r="VVI234" s="255"/>
      <c r="VVL234" s="242"/>
      <c r="VVM234" s="255"/>
      <c r="VVP234" s="242"/>
      <c r="VVQ234" s="255"/>
      <c r="VVT234" s="242"/>
      <c r="VVU234" s="255"/>
      <c r="VVX234" s="242"/>
      <c r="VVY234" s="255"/>
      <c r="VWB234" s="242"/>
      <c r="VWC234" s="255"/>
      <c r="VWF234" s="242"/>
      <c r="VWG234" s="255"/>
      <c r="VWJ234" s="242"/>
      <c r="VWK234" s="255"/>
      <c r="VWN234" s="242"/>
      <c r="VWO234" s="255"/>
      <c r="VWR234" s="242"/>
      <c r="VWS234" s="255"/>
      <c r="VWV234" s="242"/>
      <c r="VWW234" s="255"/>
      <c r="VWZ234" s="242"/>
      <c r="VXA234" s="255"/>
      <c r="VXD234" s="242"/>
      <c r="VXE234" s="255"/>
      <c r="VXH234" s="242"/>
      <c r="VXI234" s="255"/>
      <c r="VXL234" s="242"/>
      <c r="VXM234" s="255"/>
      <c r="VXP234" s="242"/>
      <c r="VXQ234" s="255"/>
      <c r="VXT234" s="242"/>
      <c r="VXU234" s="255"/>
      <c r="VXX234" s="242"/>
      <c r="VXY234" s="255"/>
      <c r="VYB234" s="242"/>
      <c r="VYC234" s="255"/>
      <c r="VYF234" s="242"/>
      <c r="VYG234" s="255"/>
      <c r="VYJ234" s="242"/>
      <c r="VYK234" s="255"/>
      <c r="VYN234" s="242"/>
      <c r="VYO234" s="255"/>
      <c r="VYR234" s="242"/>
      <c r="VYS234" s="255"/>
      <c r="VYV234" s="242"/>
      <c r="VYW234" s="255"/>
      <c r="VYZ234" s="242"/>
      <c r="VZA234" s="255"/>
      <c r="VZD234" s="242"/>
      <c r="VZE234" s="255"/>
      <c r="VZH234" s="242"/>
      <c r="VZI234" s="255"/>
      <c r="VZL234" s="242"/>
      <c r="VZM234" s="255"/>
      <c r="VZP234" s="242"/>
      <c r="VZQ234" s="255"/>
      <c r="VZT234" s="242"/>
      <c r="VZU234" s="255"/>
      <c r="VZX234" s="242"/>
      <c r="VZY234" s="255"/>
      <c r="WAB234" s="242"/>
      <c r="WAC234" s="255"/>
      <c r="WAF234" s="242"/>
      <c r="WAG234" s="255"/>
      <c r="WAJ234" s="242"/>
      <c r="WAK234" s="255"/>
      <c r="WAN234" s="242"/>
      <c r="WAO234" s="255"/>
      <c r="WAR234" s="242"/>
      <c r="WAS234" s="255"/>
      <c r="WAV234" s="242"/>
      <c r="WAW234" s="255"/>
      <c r="WAZ234" s="242"/>
      <c r="WBA234" s="255"/>
      <c r="WBD234" s="242"/>
      <c r="WBE234" s="255"/>
      <c r="WBH234" s="242"/>
      <c r="WBI234" s="255"/>
      <c r="WBL234" s="242"/>
      <c r="WBM234" s="255"/>
      <c r="WBP234" s="242"/>
      <c r="WBQ234" s="255"/>
      <c r="WBT234" s="242"/>
      <c r="WBU234" s="255"/>
      <c r="WBX234" s="242"/>
      <c r="WBY234" s="255"/>
      <c r="WCB234" s="242"/>
      <c r="WCC234" s="255"/>
      <c r="WCF234" s="242"/>
      <c r="WCG234" s="255"/>
      <c r="WCJ234" s="242"/>
      <c r="WCK234" s="255"/>
      <c r="WCN234" s="242"/>
      <c r="WCO234" s="255"/>
      <c r="WCR234" s="242"/>
      <c r="WCS234" s="255"/>
      <c r="WCV234" s="242"/>
      <c r="WCW234" s="255"/>
      <c r="WCZ234" s="242"/>
      <c r="WDA234" s="255"/>
      <c r="WDD234" s="242"/>
      <c r="WDE234" s="255"/>
      <c r="WDH234" s="242"/>
      <c r="WDI234" s="255"/>
      <c r="WDL234" s="242"/>
      <c r="WDM234" s="255"/>
      <c r="WDP234" s="242"/>
      <c r="WDQ234" s="255"/>
      <c r="WDT234" s="242"/>
      <c r="WDU234" s="255"/>
      <c r="WDX234" s="242"/>
      <c r="WDY234" s="255"/>
      <c r="WEB234" s="242"/>
      <c r="WEC234" s="255"/>
      <c r="WEF234" s="242"/>
      <c r="WEG234" s="255"/>
      <c r="WEJ234" s="242"/>
      <c r="WEK234" s="255"/>
      <c r="WEN234" s="242"/>
      <c r="WEO234" s="255"/>
      <c r="WER234" s="242"/>
      <c r="WES234" s="255"/>
      <c r="WEV234" s="242"/>
      <c r="WEW234" s="255"/>
      <c r="WEZ234" s="242"/>
      <c r="WFA234" s="255"/>
      <c r="WFD234" s="242"/>
      <c r="WFE234" s="255"/>
      <c r="WFH234" s="242"/>
      <c r="WFI234" s="255"/>
      <c r="WFL234" s="242"/>
      <c r="WFM234" s="255"/>
      <c r="WFP234" s="242"/>
      <c r="WFQ234" s="255"/>
      <c r="WFT234" s="242"/>
      <c r="WFU234" s="255"/>
      <c r="WFX234" s="242"/>
      <c r="WFY234" s="255"/>
      <c r="WGB234" s="242"/>
      <c r="WGC234" s="255"/>
      <c r="WGF234" s="242"/>
      <c r="WGG234" s="255"/>
      <c r="WGJ234" s="242"/>
      <c r="WGK234" s="255"/>
      <c r="WGN234" s="242"/>
      <c r="WGO234" s="255"/>
      <c r="WGR234" s="242"/>
      <c r="WGS234" s="255"/>
      <c r="WGV234" s="242"/>
      <c r="WGW234" s="255"/>
      <c r="WGZ234" s="242"/>
      <c r="WHA234" s="255"/>
      <c r="WHD234" s="242"/>
      <c r="WHE234" s="255"/>
      <c r="WHH234" s="242"/>
      <c r="WHI234" s="255"/>
      <c r="WHL234" s="242"/>
      <c r="WHM234" s="255"/>
      <c r="WHP234" s="242"/>
      <c r="WHQ234" s="255"/>
      <c r="WHT234" s="242"/>
      <c r="WHU234" s="255"/>
      <c r="WHX234" s="242"/>
      <c r="WHY234" s="255"/>
      <c r="WIB234" s="242"/>
      <c r="WIC234" s="255"/>
      <c r="WIF234" s="242"/>
      <c r="WIG234" s="255"/>
      <c r="WIJ234" s="242"/>
      <c r="WIK234" s="255"/>
      <c r="WIN234" s="242"/>
      <c r="WIO234" s="255"/>
      <c r="WIR234" s="242"/>
      <c r="WIS234" s="255"/>
      <c r="WIV234" s="242"/>
      <c r="WIW234" s="255"/>
      <c r="WIZ234" s="242"/>
      <c r="WJA234" s="255"/>
      <c r="WJD234" s="242"/>
      <c r="WJE234" s="255"/>
      <c r="WJH234" s="242"/>
      <c r="WJI234" s="255"/>
      <c r="WJL234" s="242"/>
      <c r="WJM234" s="255"/>
      <c r="WJP234" s="242"/>
      <c r="WJQ234" s="255"/>
      <c r="WJT234" s="242"/>
      <c r="WJU234" s="255"/>
      <c r="WJX234" s="242"/>
      <c r="WJY234" s="255"/>
      <c r="WKB234" s="242"/>
      <c r="WKC234" s="255"/>
      <c r="WKF234" s="242"/>
      <c r="WKG234" s="255"/>
      <c r="WKJ234" s="242"/>
      <c r="WKK234" s="255"/>
      <c r="WKN234" s="242"/>
      <c r="WKO234" s="255"/>
      <c r="WKR234" s="242"/>
      <c r="WKS234" s="255"/>
      <c r="WKV234" s="242"/>
      <c r="WKW234" s="255"/>
      <c r="WKZ234" s="242"/>
      <c r="WLA234" s="255"/>
      <c r="WLD234" s="242"/>
      <c r="WLE234" s="255"/>
      <c r="WLH234" s="242"/>
      <c r="WLI234" s="255"/>
      <c r="WLL234" s="242"/>
      <c r="WLM234" s="255"/>
      <c r="WLP234" s="242"/>
      <c r="WLQ234" s="255"/>
      <c r="WLT234" s="242"/>
      <c r="WLU234" s="255"/>
      <c r="WLX234" s="242"/>
      <c r="WLY234" s="255"/>
      <c r="WMB234" s="242"/>
      <c r="WMC234" s="255"/>
      <c r="WMF234" s="242"/>
      <c r="WMG234" s="255"/>
      <c r="WMJ234" s="242"/>
      <c r="WMK234" s="255"/>
      <c r="WMN234" s="242"/>
      <c r="WMO234" s="255"/>
      <c r="WMR234" s="242"/>
      <c r="WMS234" s="255"/>
      <c r="WMV234" s="242"/>
      <c r="WMW234" s="255"/>
      <c r="WMZ234" s="242"/>
      <c r="WNA234" s="255"/>
      <c r="WND234" s="242"/>
      <c r="WNE234" s="255"/>
      <c r="WNH234" s="242"/>
      <c r="WNI234" s="255"/>
      <c r="WNL234" s="242"/>
      <c r="WNM234" s="255"/>
      <c r="WNP234" s="242"/>
      <c r="WNQ234" s="255"/>
      <c r="WNT234" s="242"/>
      <c r="WNU234" s="255"/>
      <c r="WNX234" s="242"/>
      <c r="WNY234" s="255"/>
      <c r="WOB234" s="242"/>
      <c r="WOC234" s="255"/>
      <c r="WOF234" s="242"/>
      <c r="WOG234" s="255"/>
      <c r="WOJ234" s="242"/>
      <c r="WOK234" s="255"/>
      <c r="WON234" s="242"/>
      <c r="WOO234" s="255"/>
      <c r="WOR234" s="242"/>
      <c r="WOS234" s="255"/>
      <c r="WOV234" s="242"/>
      <c r="WOW234" s="255"/>
      <c r="WOZ234" s="242"/>
      <c r="WPA234" s="255"/>
      <c r="WPD234" s="242"/>
      <c r="WPE234" s="255"/>
      <c r="WPH234" s="242"/>
      <c r="WPI234" s="255"/>
      <c r="WPL234" s="242"/>
      <c r="WPM234" s="255"/>
      <c r="WPP234" s="242"/>
      <c r="WPQ234" s="255"/>
      <c r="WPT234" s="242"/>
      <c r="WPU234" s="255"/>
      <c r="WPX234" s="242"/>
      <c r="WPY234" s="255"/>
      <c r="WQB234" s="242"/>
      <c r="WQC234" s="255"/>
      <c r="WQF234" s="242"/>
      <c r="WQG234" s="255"/>
      <c r="WQJ234" s="242"/>
      <c r="WQK234" s="255"/>
      <c r="WQN234" s="242"/>
      <c r="WQO234" s="255"/>
      <c r="WQR234" s="242"/>
      <c r="WQS234" s="255"/>
      <c r="WQV234" s="242"/>
      <c r="WQW234" s="255"/>
      <c r="WQZ234" s="242"/>
      <c r="WRA234" s="255"/>
      <c r="WRD234" s="242"/>
      <c r="WRE234" s="255"/>
      <c r="WRH234" s="242"/>
      <c r="WRI234" s="255"/>
      <c r="WRL234" s="242"/>
      <c r="WRM234" s="255"/>
      <c r="WRP234" s="242"/>
      <c r="WRQ234" s="255"/>
      <c r="WRT234" s="242"/>
      <c r="WRU234" s="255"/>
      <c r="WRX234" s="242"/>
      <c r="WRY234" s="255"/>
      <c r="WSB234" s="242"/>
      <c r="WSC234" s="255"/>
      <c r="WSF234" s="242"/>
      <c r="WSG234" s="255"/>
      <c r="WSJ234" s="242"/>
      <c r="WSK234" s="255"/>
      <c r="WSN234" s="242"/>
      <c r="WSO234" s="255"/>
      <c r="WSR234" s="242"/>
      <c r="WSS234" s="255"/>
      <c r="WSV234" s="242"/>
      <c r="WSW234" s="255"/>
      <c r="WSZ234" s="242"/>
      <c r="WTA234" s="255"/>
      <c r="WTD234" s="242"/>
      <c r="WTE234" s="255"/>
      <c r="WTH234" s="242"/>
      <c r="WTI234" s="255"/>
      <c r="WTL234" s="242"/>
      <c r="WTM234" s="255"/>
      <c r="WTP234" s="242"/>
      <c r="WTQ234" s="255"/>
      <c r="WTT234" s="242"/>
      <c r="WTU234" s="255"/>
      <c r="WTX234" s="242"/>
      <c r="WTY234" s="255"/>
      <c r="WUB234" s="242"/>
      <c r="WUC234" s="255"/>
      <c r="WUF234" s="242"/>
      <c r="WUG234" s="255"/>
      <c r="WUJ234" s="242"/>
      <c r="WUK234" s="255"/>
      <c r="WUN234" s="242"/>
      <c r="WUO234" s="255"/>
      <c r="WUR234" s="242"/>
      <c r="WUS234" s="255"/>
      <c r="WUV234" s="242"/>
      <c r="WUW234" s="255"/>
      <c r="WUZ234" s="242"/>
      <c r="WVA234" s="255"/>
      <c r="WVD234" s="242"/>
      <c r="WVE234" s="255"/>
      <c r="WVH234" s="242"/>
      <c r="WVI234" s="255"/>
      <c r="WVL234" s="242"/>
      <c r="WVM234" s="255"/>
      <c r="WVP234" s="242"/>
      <c r="WVQ234" s="255"/>
      <c r="WVT234" s="242"/>
      <c r="WVU234" s="255"/>
      <c r="WVX234" s="242"/>
      <c r="WVY234" s="255"/>
      <c r="WWB234" s="242"/>
      <c r="WWC234" s="255"/>
      <c r="WWF234" s="242"/>
      <c r="WWG234" s="255"/>
      <c r="WWJ234" s="242"/>
      <c r="WWK234" s="255"/>
      <c r="WWN234" s="242"/>
      <c r="WWO234" s="255"/>
      <c r="WWR234" s="242"/>
      <c r="WWS234" s="255"/>
      <c r="WWV234" s="242"/>
      <c r="WWW234" s="255"/>
      <c r="WWZ234" s="242"/>
      <c r="WXA234" s="255"/>
      <c r="WXD234" s="242"/>
      <c r="WXE234" s="255"/>
      <c r="WXH234" s="242"/>
      <c r="WXI234" s="255"/>
      <c r="WXL234" s="242"/>
      <c r="WXM234" s="255"/>
      <c r="WXP234" s="242"/>
      <c r="WXQ234" s="255"/>
      <c r="WXT234" s="242"/>
      <c r="WXU234" s="255"/>
      <c r="WXX234" s="242"/>
      <c r="WXY234" s="255"/>
      <c r="WYB234" s="242"/>
      <c r="WYC234" s="255"/>
      <c r="WYF234" s="242"/>
      <c r="WYG234" s="255"/>
      <c r="WYJ234" s="242"/>
      <c r="WYK234" s="255"/>
      <c r="WYN234" s="242"/>
      <c r="WYO234" s="255"/>
      <c r="WYR234" s="242"/>
      <c r="WYS234" s="255"/>
      <c r="WYV234" s="242"/>
      <c r="WYW234" s="255"/>
      <c r="WYZ234" s="242"/>
      <c r="WZA234" s="255"/>
      <c r="WZD234" s="242"/>
      <c r="WZE234" s="255"/>
      <c r="WZH234" s="242"/>
      <c r="WZI234" s="255"/>
      <c r="WZL234" s="242"/>
      <c r="WZM234" s="255"/>
      <c r="WZP234" s="242"/>
      <c r="WZQ234" s="255"/>
      <c r="WZT234" s="242"/>
      <c r="WZU234" s="255"/>
      <c r="WZX234" s="242"/>
      <c r="WZY234" s="255"/>
      <c r="XAB234" s="242"/>
      <c r="XAC234" s="255"/>
      <c r="XAF234" s="242"/>
      <c r="XAG234" s="255"/>
      <c r="XAJ234" s="242"/>
      <c r="XAK234" s="255"/>
      <c r="XAN234" s="242"/>
      <c r="XAO234" s="255"/>
      <c r="XAR234" s="242"/>
      <c r="XAS234" s="255"/>
      <c r="XAV234" s="242"/>
      <c r="XAW234" s="255"/>
      <c r="XAZ234" s="242"/>
      <c r="XBA234" s="255"/>
      <c r="XBD234" s="242"/>
      <c r="XBE234" s="255"/>
      <c r="XBH234" s="242"/>
      <c r="XBI234" s="255"/>
      <c r="XBL234" s="242"/>
      <c r="XBM234" s="255"/>
      <c r="XBP234" s="242"/>
      <c r="XBQ234" s="255"/>
      <c r="XBT234" s="242"/>
      <c r="XBU234" s="255"/>
      <c r="XBX234" s="242"/>
      <c r="XBY234" s="255"/>
      <c r="XCB234" s="242"/>
      <c r="XCC234" s="255"/>
      <c r="XCF234" s="242"/>
      <c r="XCG234" s="255"/>
      <c r="XCJ234" s="242"/>
      <c r="XCK234" s="255"/>
      <c r="XCN234" s="242"/>
      <c r="XCO234" s="255"/>
      <c r="XCR234" s="242"/>
      <c r="XCS234" s="255"/>
      <c r="XCV234" s="242"/>
      <c r="XCW234" s="255"/>
      <c r="XCZ234" s="242"/>
      <c r="XDA234" s="255"/>
      <c r="XDD234" s="242"/>
      <c r="XDE234" s="255"/>
      <c r="XDH234" s="242"/>
      <c r="XDI234" s="255"/>
      <c r="XDL234" s="242"/>
      <c r="XDM234" s="255"/>
      <c r="XDP234" s="242"/>
      <c r="XDQ234" s="255"/>
      <c r="XDT234" s="242"/>
      <c r="XDU234" s="255"/>
      <c r="XDX234" s="242"/>
      <c r="XDY234" s="255"/>
      <c r="XEB234" s="242"/>
      <c r="XEC234" s="255"/>
      <c r="XEF234" s="242"/>
      <c r="XEG234" s="255"/>
      <c r="XEJ234" s="242"/>
      <c r="XEK234" s="255"/>
      <c r="XEN234" s="242"/>
      <c r="XEO234" s="255"/>
      <c r="XER234" s="242"/>
      <c r="XES234" s="255"/>
      <c r="XEV234" s="242"/>
      <c r="XEW234" s="255"/>
      <c r="XEZ234" s="242"/>
      <c r="XFA234" s="255"/>
      <c r="XFD234" s="242"/>
    </row>
    <row r="235" spans="1:16384" ht="23.1" customHeight="1" x14ac:dyDescent="0.3">
      <c r="A235" s="131">
        <f>A236</f>
        <v>493555942</v>
      </c>
      <c r="B235" s="183" t="str">
        <f>C235</f>
        <v>　        ③ 국고/감가상각구계액</v>
      </c>
      <c r="C235" s="166" t="s">
        <v>546</v>
      </c>
      <c r="D235" s="165">
        <f>D236</f>
        <v>493555942</v>
      </c>
      <c r="E235" s="255" t="s">
        <v>577</v>
      </c>
      <c r="H235" s="242"/>
      <c r="I235" s="255"/>
      <c r="L235" s="242"/>
      <c r="M235" s="141"/>
      <c r="P235" s="242"/>
      <c r="Q235" s="141"/>
      <c r="T235" s="242"/>
      <c r="U235" s="141"/>
      <c r="X235" s="242"/>
      <c r="Y235" s="141"/>
      <c r="AB235" s="242"/>
      <c r="AC235" s="141"/>
      <c r="AF235" s="242"/>
      <c r="AG235" s="141"/>
      <c r="AJ235" s="242"/>
      <c r="AK235" s="141"/>
      <c r="AN235" s="242"/>
      <c r="AO235" s="141"/>
      <c r="AR235" s="242"/>
      <c r="AS235" s="141"/>
      <c r="AV235" s="242"/>
      <c r="AW235" s="141"/>
      <c r="AZ235" s="242"/>
      <c r="BA235" s="141"/>
      <c r="BD235" s="242"/>
      <c r="BE235" s="141"/>
      <c r="BH235" s="242"/>
      <c r="BI235" s="141"/>
      <c r="BL235" s="242"/>
      <c r="BM235" s="141"/>
      <c r="BP235" s="242"/>
      <c r="BQ235" s="141"/>
      <c r="BT235" s="242"/>
      <c r="BU235" s="141"/>
      <c r="BX235" s="242"/>
      <c r="BY235" s="141"/>
      <c r="CB235" s="242"/>
      <c r="CC235" s="141"/>
      <c r="CF235" s="242"/>
      <c r="CG235" s="141"/>
      <c r="CJ235" s="242"/>
      <c r="CK235" s="141"/>
      <c r="CN235" s="242"/>
      <c r="CO235" s="141"/>
      <c r="CR235" s="242"/>
      <c r="CS235" s="141"/>
      <c r="CV235" s="242"/>
      <c r="CW235" s="141"/>
      <c r="CZ235" s="242"/>
      <c r="DA235" s="141"/>
      <c r="DD235" s="242"/>
      <c r="DE235" s="141"/>
      <c r="DH235" s="242"/>
      <c r="DI235" s="141"/>
      <c r="DL235" s="242"/>
      <c r="DM235" s="141"/>
      <c r="DP235" s="242"/>
      <c r="DQ235" s="141"/>
      <c r="DT235" s="242"/>
      <c r="DU235" s="141"/>
      <c r="DX235" s="242"/>
      <c r="DY235" s="141"/>
      <c r="EB235" s="242"/>
      <c r="EC235" s="141"/>
      <c r="EF235" s="242"/>
      <c r="EG235" s="141"/>
      <c r="EJ235" s="242"/>
      <c r="EK235" s="141"/>
      <c r="EN235" s="242"/>
      <c r="EO235" s="141"/>
      <c r="ER235" s="242"/>
      <c r="ES235" s="141"/>
      <c r="EV235" s="242"/>
      <c r="EW235" s="141"/>
      <c r="EZ235" s="242"/>
      <c r="FA235" s="141"/>
      <c r="FD235" s="242"/>
      <c r="FE235" s="141"/>
      <c r="FH235" s="242"/>
      <c r="FI235" s="141"/>
      <c r="FL235" s="242"/>
      <c r="FM235" s="141"/>
      <c r="FP235" s="242"/>
      <c r="FQ235" s="141"/>
      <c r="FT235" s="242"/>
      <c r="FU235" s="141"/>
      <c r="FX235" s="242"/>
      <c r="FY235" s="141"/>
      <c r="GB235" s="242"/>
      <c r="GC235" s="141"/>
      <c r="GF235" s="242"/>
      <c r="GG235" s="141"/>
      <c r="GJ235" s="242"/>
      <c r="GK235" s="141"/>
      <c r="GN235" s="242"/>
      <c r="GO235" s="141"/>
      <c r="GR235" s="242"/>
      <c r="GS235" s="141"/>
      <c r="GV235" s="242"/>
      <c r="GW235" s="141"/>
      <c r="GZ235" s="242"/>
      <c r="HA235" s="141"/>
      <c r="HD235" s="242"/>
      <c r="HE235" s="141"/>
      <c r="HH235" s="242"/>
      <c r="HI235" s="141"/>
      <c r="HL235" s="242"/>
      <c r="HM235" s="141"/>
      <c r="HP235" s="242"/>
      <c r="HQ235" s="141"/>
      <c r="HT235" s="242"/>
      <c r="HU235" s="141"/>
      <c r="HX235" s="242"/>
      <c r="HY235" s="141"/>
      <c r="IB235" s="242"/>
      <c r="IC235" s="141"/>
      <c r="IF235" s="242"/>
      <c r="IG235" s="141"/>
      <c r="IJ235" s="242"/>
      <c r="IK235" s="141"/>
      <c r="IN235" s="242"/>
      <c r="IO235" s="141"/>
      <c r="IR235" s="242"/>
      <c r="IS235" s="141"/>
      <c r="IV235" s="242"/>
      <c r="IW235" s="141"/>
      <c r="IZ235" s="242"/>
      <c r="JA235" s="141"/>
      <c r="JD235" s="242"/>
      <c r="JE235" s="141"/>
      <c r="JH235" s="242"/>
      <c r="JI235" s="141"/>
      <c r="JL235" s="242"/>
      <c r="JM235" s="141"/>
      <c r="JP235" s="242"/>
      <c r="JQ235" s="141"/>
      <c r="JT235" s="242"/>
      <c r="JU235" s="141"/>
      <c r="JX235" s="242"/>
      <c r="JY235" s="141"/>
      <c r="KB235" s="242"/>
      <c r="KC235" s="141"/>
      <c r="KF235" s="242"/>
      <c r="KG235" s="141"/>
      <c r="KJ235" s="242"/>
      <c r="KK235" s="141"/>
      <c r="KN235" s="242"/>
      <c r="KO235" s="141"/>
      <c r="KR235" s="242"/>
      <c r="KS235" s="141"/>
      <c r="KV235" s="242"/>
      <c r="KW235" s="141"/>
      <c r="KZ235" s="242"/>
      <c r="LA235" s="141"/>
      <c r="LD235" s="242"/>
      <c r="LE235" s="141"/>
      <c r="LH235" s="242"/>
      <c r="LI235" s="141"/>
      <c r="LL235" s="242"/>
      <c r="LM235" s="141"/>
      <c r="LP235" s="242"/>
      <c r="LQ235" s="141"/>
      <c r="LT235" s="242"/>
      <c r="LU235" s="141"/>
      <c r="LX235" s="242"/>
      <c r="LY235" s="141"/>
      <c r="MB235" s="242"/>
      <c r="MC235" s="141"/>
      <c r="MF235" s="242"/>
      <c r="MG235" s="141"/>
      <c r="MJ235" s="242"/>
      <c r="MK235" s="141"/>
      <c r="MN235" s="242"/>
      <c r="MO235" s="141"/>
      <c r="MR235" s="242"/>
      <c r="MS235" s="141"/>
      <c r="MV235" s="242"/>
      <c r="MW235" s="141"/>
      <c r="MZ235" s="242"/>
      <c r="NA235" s="141"/>
      <c r="ND235" s="242"/>
      <c r="NE235" s="141"/>
      <c r="NH235" s="242"/>
      <c r="NI235" s="141"/>
      <c r="NL235" s="242"/>
      <c r="NM235" s="141"/>
      <c r="NP235" s="242"/>
      <c r="NQ235" s="141"/>
      <c r="NT235" s="242"/>
      <c r="NU235" s="141"/>
      <c r="NX235" s="242"/>
      <c r="NY235" s="141"/>
      <c r="OB235" s="242"/>
      <c r="OC235" s="141"/>
      <c r="OF235" s="242"/>
      <c r="OG235" s="141"/>
      <c r="OJ235" s="242"/>
      <c r="OK235" s="141"/>
      <c r="ON235" s="242"/>
      <c r="OO235" s="141"/>
      <c r="OR235" s="242"/>
      <c r="OS235" s="141"/>
      <c r="OV235" s="242"/>
      <c r="OW235" s="141"/>
      <c r="OZ235" s="242"/>
      <c r="PA235" s="141"/>
      <c r="PD235" s="242"/>
      <c r="PE235" s="141"/>
      <c r="PH235" s="242"/>
      <c r="PI235" s="141"/>
      <c r="PL235" s="242"/>
      <c r="PM235" s="141"/>
      <c r="PP235" s="242"/>
      <c r="PQ235" s="141"/>
      <c r="PT235" s="242"/>
      <c r="PU235" s="141"/>
      <c r="PX235" s="242"/>
      <c r="PY235" s="141"/>
      <c r="QB235" s="242"/>
      <c r="QC235" s="141"/>
      <c r="QF235" s="242"/>
      <c r="QG235" s="141"/>
      <c r="QJ235" s="242"/>
      <c r="QK235" s="141"/>
      <c r="QN235" s="242"/>
      <c r="QO235" s="141"/>
      <c r="QR235" s="242"/>
      <c r="QS235" s="141"/>
      <c r="QV235" s="242"/>
      <c r="QW235" s="141"/>
      <c r="QZ235" s="242"/>
      <c r="RA235" s="141"/>
      <c r="RD235" s="242"/>
      <c r="RE235" s="141"/>
      <c r="RH235" s="242"/>
      <c r="RI235" s="141"/>
      <c r="RL235" s="242"/>
      <c r="RM235" s="141"/>
      <c r="RP235" s="242"/>
      <c r="RQ235" s="141"/>
      <c r="RT235" s="242"/>
      <c r="RU235" s="141"/>
      <c r="RX235" s="242"/>
      <c r="RY235" s="141"/>
      <c r="SB235" s="242"/>
      <c r="SC235" s="141"/>
      <c r="SF235" s="242"/>
      <c r="SG235" s="141"/>
      <c r="SJ235" s="242"/>
      <c r="SK235" s="141"/>
      <c r="SN235" s="242"/>
      <c r="SO235" s="141"/>
      <c r="SR235" s="242"/>
      <c r="SS235" s="141"/>
      <c r="SV235" s="242"/>
      <c r="SW235" s="141"/>
      <c r="SZ235" s="242"/>
      <c r="TA235" s="141"/>
      <c r="TD235" s="242"/>
      <c r="TE235" s="141"/>
      <c r="TH235" s="242"/>
      <c r="TI235" s="141"/>
      <c r="TL235" s="242"/>
      <c r="TM235" s="141"/>
      <c r="TP235" s="242"/>
      <c r="TQ235" s="141"/>
      <c r="TT235" s="242"/>
      <c r="TU235" s="141"/>
      <c r="TX235" s="242"/>
      <c r="TY235" s="141"/>
      <c r="UB235" s="242"/>
      <c r="UC235" s="141"/>
      <c r="UF235" s="242"/>
      <c r="UG235" s="141"/>
      <c r="UJ235" s="242"/>
      <c r="UK235" s="141"/>
      <c r="UN235" s="242"/>
      <c r="UO235" s="141"/>
      <c r="UR235" s="242"/>
      <c r="US235" s="141"/>
      <c r="UV235" s="242"/>
      <c r="UW235" s="141"/>
      <c r="UZ235" s="242"/>
      <c r="VA235" s="141"/>
      <c r="VD235" s="242"/>
      <c r="VE235" s="141"/>
      <c r="VH235" s="242"/>
      <c r="VI235" s="141"/>
      <c r="VL235" s="242"/>
      <c r="VM235" s="141"/>
      <c r="VP235" s="242"/>
      <c r="VQ235" s="141"/>
      <c r="VT235" s="242"/>
      <c r="VU235" s="141"/>
      <c r="VX235" s="242"/>
      <c r="VY235" s="141"/>
      <c r="WB235" s="242"/>
      <c r="WC235" s="141"/>
      <c r="WF235" s="242"/>
      <c r="WG235" s="141"/>
      <c r="WJ235" s="242"/>
      <c r="WK235" s="141"/>
      <c r="WN235" s="242"/>
      <c r="WO235" s="141"/>
      <c r="WR235" s="242"/>
      <c r="WS235" s="141"/>
      <c r="WV235" s="242"/>
      <c r="WW235" s="141"/>
      <c r="WZ235" s="242"/>
      <c r="XA235" s="141"/>
      <c r="XD235" s="242"/>
      <c r="XE235" s="141"/>
      <c r="XH235" s="242"/>
      <c r="XI235" s="141"/>
      <c r="XL235" s="242"/>
      <c r="XM235" s="141"/>
      <c r="XP235" s="242"/>
      <c r="XQ235" s="141"/>
      <c r="XT235" s="242"/>
      <c r="XU235" s="141"/>
      <c r="XX235" s="242"/>
      <c r="XY235" s="141"/>
      <c r="YB235" s="242"/>
      <c r="YC235" s="141"/>
      <c r="YF235" s="242"/>
      <c r="YG235" s="141"/>
      <c r="YJ235" s="242"/>
      <c r="YK235" s="141"/>
      <c r="YN235" s="242"/>
      <c r="YO235" s="141"/>
      <c r="YR235" s="242"/>
      <c r="YS235" s="141"/>
      <c r="YV235" s="242"/>
      <c r="YW235" s="141"/>
      <c r="YZ235" s="242"/>
      <c r="ZA235" s="141"/>
      <c r="ZD235" s="242"/>
      <c r="ZE235" s="141"/>
      <c r="ZH235" s="242"/>
      <c r="ZI235" s="141"/>
      <c r="ZL235" s="242"/>
      <c r="ZM235" s="141"/>
      <c r="ZP235" s="242"/>
      <c r="ZQ235" s="141"/>
      <c r="ZT235" s="242"/>
      <c r="ZU235" s="141"/>
      <c r="ZX235" s="242"/>
      <c r="ZY235" s="141"/>
      <c r="AAB235" s="242"/>
      <c r="AAC235" s="141"/>
      <c r="AAF235" s="242"/>
      <c r="AAG235" s="141"/>
      <c r="AAJ235" s="242"/>
      <c r="AAK235" s="141"/>
      <c r="AAN235" s="242"/>
      <c r="AAO235" s="141"/>
      <c r="AAR235" s="242"/>
      <c r="AAS235" s="141"/>
      <c r="AAV235" s="242"/>
      <c r="AAW235" s="141"/>
      <c r="AAZ235" s="242"/>
      <c r="ABA235" s="141"/>
      <c r="ABD235" s="242"/>
      <c r="ABE235" s="141"/>
      <c r="ABH235" s="242"/>
      <c r="ABI235" s="141"/>
      <c r="ABL235" s="242"/>
      <c r="ABM235" s="141"/>
      <c r="ABP235" s="242"/>
      <c r="ABQ235" s="141"/>
      <c r="ABT235" s="242"/>
      <c r="ABU235" s="141"/>
      <c r="ABX235" s="242"/>
      <c r="ABY235" s="141"/>
      <c r="ACB235" s="242"/>
      <c r="ACC235" s="141"/>
      <c r="ACF235" s="242"/>
      <c r="ACG235" s="141"/>
      <c r="ACJ235" s="242"/>
      <c r="ACK235" s="141"/>
      <c r="ACN235" s="242"/>
      <c r="ACO235" s="141"/>
      <c r="ACR235" s="242"/>
      <c r="ACS235" s="141"/>
      <c r="ACV235" s="242"/>
      <c r="ACW235" s="141"/>
      <c r="ACZ235" s="242"/>
      <c r="ADA235" s="141"/>
      <c r="ADD235" s="242"/>
      <c r="ADE235" s="141"/>
      <c r="ADH235" s="242"/>
      <c r="ADI235" s="141"/>
      <c r="ADL235" s="242"/>
      <c r="ADM235" s="141"/>
      <c r="ADP235" s="242"/>
      <c r="ADQ235" s="141"/>
      <c r="ADT235" s="242"/>
      <c r="ADU235" s="141"/>
      <c r="ADX235" s="242"/>
      <c r="ADY235" s="141"/>
      <c r="AEB235" s="242"/>
      <c r="AEC235" s="141"/>
      <c r="AEF235" s="242"/>
      <c r="AEG235" s="141"/>
      <c r="AEJ235" s="242"/>
      <c r="AEK235" s="141"/>
      <c r="AEN235" s="242"/>
      <c r="AEO235" s="141"/>
      <c r="AER235" s="242"/>
      <c r="AES235" s="141"/>
      <c r="AEV235" s="242"/>
      <c r="AEW235" s="141"/>
      <c r="AEZ235" s="242"/>
      <c r="AFA235" s="141"/>
      <c r="AFD235" s="242"/>
      <c r="AFE235" s="141"/>
      <c r="AFH235" s="242"/>
      <c r="AFI235" s="141"/>
      <c r="AFL235" s="242"/>
      <c r="AFM235" s="141"/>
      <c r="AFP235" s="242"/>
      <c r="AFQ235" s="141"/>
      <c r="AFT235" s="242"/>
      <c r="AFU235" s="141"/>
      <c r="AFX235" s="242"/>
      <c r="AFY235" s="141"/>
      <c r="AGB235" s="242"/>
      <c r="AGC235" s="141"/>
      <c r="AGF235" s="242"/>
      <c r="AGG235" s="141"/>
      <c r="AGJ235" s="242"/>
      <c r="AGK235" s="141"/>
      <c r="AGN235" s="242"/>
      <c r="AGO235" s="141"/>
      <c r="AGR235" s="242"/>
      <c r="AGS235" s="141"/>
      <c r="AGV235" s="242"/>
      <c r="AGW235" s="141"/>
      <c r="AGZ235" s="242"/>
      <c r="AHA235" s="141"/>
      <c r="AHD235" s="242"/>
      <c r="AHE235" s="141"/>
      <c r="AHH235" s="242"/>
      <c r="AHI235" s="141"/>
      <c r="AHL235" s="242"/>
      <c r="AHM235" s="141"/>
      <c r="AHP235" s="242"/>
      <c r="AHQ235" s="141"/>
      <c r="AHT235" s="242"/>
      <c r="AHU235" s="141"/>
      <c r="AHX235" s="242"/>
      <c r="AHY235" s="141"/>
      <c r="AIB235" s="242"/>
      <c r="AIC235" s="141"/>
      <c r="AIF235" s="242"/>
      <c r="AIG235" s="141"/>
      <c r="AIJ235" s="242"/>
      <c r="AIK235" s="141"/>
      <c r="AIN235" s="242"/>
      <c r="AIO235" s="141"/>
      <c r="AIR235" s="242"/>
      <c r="AIS235" s="141"/>
      <c r="AIV235" s="242"/>
      <c r="AIW235" s="141"/>
      <c r="AIZ235" s="242"/>
      <c r="AJA235" s="141"/>
      <c r="AJD235" s="242"/>
      <c r="AJE235" s="141"/>
      <c r="AJH235" s="242"/>
      <c r="AJI235" s="141"/>
      <c r="AJL235" s="242"/>
      <c r="AJM235" s="141"/>
      <c r="AJP235" s="242"/>
      <c r="AJQ235" s="141"/>
      <c r="AJT235" s="242"/>
      <c r="AJU235" s="141"/>
      <c r="AJX235" s="242"/>
      <c r="AJY235" s="141"/>
      <c r="AKB235" s="242"/>
      <c r="AKC235" s="141"/>
      <c r="AKF235" s="242"/>
      <c r="AKG235" s="141"/>
      <c r="AKJ235" s="242"/>
      <c r="AKK235" s="141"/>
      <c r="AKN235" s="242"/>
      <c r="AKO235" s="141"/>
      <c r="AKR235" s="242"/>
      <c r="AKS235" s="141"/>
      <c r="AKV235" s="242"/>
      <c r="AKW235" s="141"/>
      <c r="AKZ235" s="242"/>
      <c r="ALA235" s="141"/>
      <c r="ALD235" s="242"/>
      <c r="ALE235" s="141"/>
      <c r="ALH235" s="242"/>
      <c r="ALI235" s="141"/>
      <c r="ALL235" s="242"/>
      <c r="ALM235" s="141"/>
      <c r="ALP235" s="242"/>
      <c r="ALQ235" s="141"/>
      <c r="ALT235" s="242"/>
      <c r="ALU235" s="141"/>
      <c r="ALX235" s="242"/>
      <c r="ALY235" s="141"/>
      <c r="AMB235" s="242"/>
      <c r="AMC235" s="141"/>
      <c r="AMF235" s="242"/>
      <c r="AMG235" s="141"/>
      <c r="AMJ235" s="242"/>
      <c r="AMK235" s="141"/>
      <c r="AMN235" s="242"/>
      <c r="AMO235" s="141"/>
      <c r="AMR235" s="242"/>
      <c r="AMS235" s="141"/>
      <c r="AMV235" s="242"/>
      <c r="AMW235" s="141"/>
      <c r="AMZ235" s="242"/>
      <c r="ANA235" s="141"/>
      <c r="AND235" s="242"/>
      <c r="ANE235" s="141"/>
      <c r="ANH235" s="242"/>
      <c r="ANI235" s="141"/>
      <c r="ANL235" s="242"/>
      <c r="ANM235" s="141"/>
      <c r="ANP235" s="242"/>
      <c r="ANQ235" s="141"/>
      <c r="ANT235" s="242"/>
      <c r="ANU235" s="141"/>
      <c r="ANX235" s="242"/>
      <c r="ANY235" s="141"/>
      <c r="AOB235" s="242"/>
      <c r="AOC235" s="141"/>
      <c r="AOF235" s="242"/>
      <c r="AOG235" s="141"/>
      <c r="AOJ235" s="242"/>
      <c r="AOK235" s="141"/>
      <c r="AON235" s="242"/>
      <c r="AOO235" s="141"/>
      <c r="AOR235" s="242"/>
      <c r="AOS235" s="141"/>
      <c r="AOV235" s="242"/>
      <c r="AOW235" s="141"/>
      <c r="AOZ235" s="242"/>
      <c r="APA235" s="141"/>
      <c r="APD235" s="242"/>
      <c r="APE235" s="141"/>
      <c r="APH235" s="242"/>
      <c r="API235" s="141"/>
      <c r="APL235" s="242"/>
      <c r="APM235" s="141"/>
      <c r="APP235" s="242"/>
      <c r="APQ235" s="141"/>
      <c r="APT235" s="242"/>
      <c r="APU235" s="141"/>
      <c r="APX235" s="242"/>
      <c r="APY235" s="141"/>
      <c r="AQB235" s="242"/>
      <c r="AQC235" s="141"/>
      <c r="AQF235" s="242"/>
      <c r="AQG235" s="141"/>
      <c r="AQJ235" s="242"/>
      <c r="AQK235" s="141"/>
      <c r="AQN235" s="242"/>
      <c r="AQO235" s="141"/>
      <c r="AQR235" s="242"/>
      <c r="AQS235" s="141"/>
      <c r="AQV235" s="242"/>
      <c r="AQW235" s="141"/>
      <c r="AQZ235" s="242"/>
      <c r="ARA235" s="141"/>
      <c r="ARD235" s="242"/>
      <c r="ARE235" s="141"/>
      <c r="ARH235" s="242"/>
      <c r="ARI235" s="141"/>
      <c r="ARL235" s="242"/>
      <c r="ARM235" s="141"/>
      <c r="ARP235" s="242"/>
      <c r="ARQ235" s="141"/>
      <c r="ART235" s="242"/>
      <c r="ARU235" s="141"/>
      <c r="ARX235" s="242"/>
      <c r="ARY235" s="141"/>
      <c r="ASB235" s="242"/>
      <c r="ASC235" s="141"/>
      <c r="ASF235" s="242"/>
      <c r="ASG235" s="141"/>
      <c r="ASJ235" s="242"/>
      <c r="ASK235" s="141"/>
      <c r="ASN235" s="242"/>
      <c r="ASO235" s="141"/>
      <c r="ASR235" s="242"/>
      <c r="ASS235" s="141"/>
      <c r="ASV235" s="242"/>
      <c r="ASW235" s="141"/>
      <c r="ASZ235" s="242"/>
      <c r="ATA235" s="141"/>
      <c r="ATD235" s="242"/>
      <c r="ATE235" s="141"/>
      <c r="ATH235" s="242"/>
      <c r="ATI235" s="141"/>
      <c r="ATL235" s="242"/>
      <c r="ATM235" s="141"/>
      <c r="ATP235" s="242"/>
      <c r="ATQ235" s="141"/>
      <c r="ATT235" s="242"/>
      <c r="ATU235" s="141"/>
      <c r="ATX235" s="242"/>
      <c r="ATY235" s="141"/>
      <c r="AUB235" s="242"/>
      <c r="AUC235" s="141"/>
      <c r="AUF235" s="242"/>
      <c r="AUG235" s="141"/>
      <c r="AUJ235" s="242"/>
      <c r="AUK235" s="141"/>
      <c r="AUN235" s="242"/>
      <c r="AUO235" s="141"/>
      <c r="AUR235" s="242"/>
      <c r="AUS235" s="141"/>
      <c r="AUV235" s="242"/>
      <c r="AUW235" s="141"/>
      <c r="AUZ235" s="242"/>
      <c r="AVA235" s="141"/>
      <c r="AVD235" s="242"/>
      <c r="AVE235" s="141"/>
      <c r="AVH235" s="242"/>
      <c r="AVI235" s="141"/>
      <c r="AVL235" s="242"/>
      <c r="AVM235" s="141"/>
      <c r="AVP235" s="242"/>
      <c r="AVQ235" s="141"/>
      <c r="AVT235" s="242"/>
      <c r="AVU235" s="141"/>
      <c r="AVX235" s="242"/>
      <c r="AVY235" s="141"/>
      <c r="AWB235" s="242"/>
      <c r="AWC235" s="141"/>
      <c r="AWF235" s="242"/>
      <c r="AWG235" s="141"/>
      <c r="AWJ235" s="242"/>
      <c r="AWK235" s="141"/>
      <c r="AWN235" s="242"/>
      <c r="AWO235" s="141"/>
      <c r="AWR235" s="242"/>
      <c r="AWS235" s="141"/>
      <c r="AWV235" s="242"/>
      <c r="AWW235" s="141"/>
      <c r="AWZ235" s="242"/>
      <c r="AXA235" s="141"/>
      <c r="AXD235" s="242"/>
      <c r="AXE235" s="141"/>
      <c r="AXH235" s="242"/>
      <c r="AXI235" s="141"/>
      <c r="AXL235" s="242"/>
      <c r="AXM235" s="141"/>
      <c r="AXP235" s="242"/>
      <c r="AXQ235" s="141"/>
      <c r="AXT235" s="242"/>
      <c r="AXU235" s="141"/>
      <c r="AXX235" s="242"/>
      <c r="AXY235" s="141"/>
      <c r="AYB235" s="242"/>
      <c r="AYC235" s="141"/>
      <c r="AYF235" s="242"/>
      <c r="AYG235" s="141"/>
      <c r="AYJ235" s="242"/>
      <c r="AYK235" s="141"/>
      <c r="AYN235" s="242"/>
      <c r="AYO235" s="141"/>
      <c r="AYR235" s="242"/>
      <c r="AYS235" s="141"/>
      <c r="AYV235" s="242"/>
      <c r="AYW235" s="141"/>
      <c r="AYZ235" s="242"/>
      <c r="AZA235" s="141"/>
      <c r="AZD235" s="242"/>
      <c r="AZE235" s="141"/>
      <c r="AZH235" s="242"/>
      <c r="AZI235" s="141"/>
      <c r="AZL235" s="242"/>
      <c r="AZM235" s="141"/>
      <c r="AZP235" s="242"/>
      <c r="AZQ235" s="141"/>
      <c r="AZT235" s="242"/>
      <c r="AZU235" s="141"/>
      <c r="AZX235" s="242"/>
      <c r="AZY235" s="141"/>
      <c r="BAB235" s="242"/>
      <c r="BAC235" s="141"/>
      <c r="BAF235" s="242"/>
      <c r="BAG235" s="141"/>
      <c r="BAJ235" s="242"/>
      <c r="BAK235" s="141"/>
      <c r="BAN235" s="242"/>
      <c r="BAO235" s="141"/>
      <c r="BAR235" s="242"/>
      <c r="BAS235" s="141"/>
      <c r="BAV235" s="242"/>
      <c r="BAW235" s="141"/>
      <c r="BAZ235" s="242"/>
      <c r="BBA235" s="141"/>
      <c r="BBD235" s="242"/>
      <c r="BBE235" s="141"/>
      <c r="BBH235" s="242"/>
      <c r="BBI235" s="141"/>
      <c r="BBL235" s="242"/>
      <c r="BBM235" s="141"/>
      <c r="BBP235" s="242"/>
      <c r="BBQ235" s="141"/>
      <c r="BBT235" s="242"/>
      <c r="BBU235" s="141"/>
      <c r="BBX235" s="242"/>
      <c r="BBY235" s="141"/>
      <c r="BCB235" s="242"/>
      <c r="BCC235" s="141"/>
      <c r="BCF235" s="242"/>
      <c r="BCG235" s="141"/>
      <c r="BCJ235" s="242"/>
      <c r="BCK235" s="141"/>
      <c r="BCN235" s="242"/>
      <c r="BCO235" s="141"/>
      <c r="BCR235" s="242"/>
      <c r="BCS235" s="141"/>
      <c r="BCV235" s="242"/>
      <c r="BCW235" s="141"/>
      <c r="BCZ235" s="242"/>
      <c r="BDA235" s="141"/>
      <c r="BDD235" s="242"/>
      <c r="BDE235" s="141"/>
      <c r="BDH235" s="242"/>
      <c r="BDI235" s="141"/>
      <c r="BDL235" s="242"/>
      <c r="BDM235" s="141"/>
      <c r="BDP235" s="242"/>
      <c r="BDQ235" s="141"/>
      <c r="BDT235" s="242"/>
      <c r="BDU235" s="141"/>
      <c r="BDX235" s="242"/>
      <c r="BDY235" s="141"/>
      <c r="BEB235" s="242"/>
      <c r="BEC235" s="141"/>
      <c r="BEF235" s="242"/>
      <c r="BEG235" s="141"/>
      <c r="BEJ235" s="242"/>
      <c r="BEK235" s="141"/>
      <c r="BEN235" s="242"/>
      <c r="BEO235" s="141"/>
      <c r="BER235" s="242"/>
      <c r="BES235" s="141"/>
      <c r="BEV235" s="242"/>
      <c r="BEW235" s="141"/>
      <c r="BEZ235" s="242"/>
      <c r="BFA235" s="141"/>
      <c r="BFD235" s="242"/>
      <c r="BFE235" s="141"/>
      <c r="BFH235" s="242"/>
      <c r="BFI235" s="141"/>
      <c r="BFL235" s="242"/>
      <c r="BFM235" s="141"/>
      <c r="BFP235" s="242"/>
      <c r="BFQ235" s="141"/>
      <c r="BFT235" s="242"/>
      <c r="BFU235" s="141"/>
      <c r="BFX235" s="242"/>
      <c r="BFY235" s="141"/>
      <c r="BGB235" s="242"/>
      <c r="BGC235" s="141"/>
      <c r="BGF235" s="242"/>
      <c r="BGG235" s="141"/>
      <c r="BGJ235" s="242"/>
      <c r="BGK235" s="141"/>
      <c r="BGN235" s="242"/>
      <c r="BGO235" s="141"/>
      <c r="BGR235" s="242"/>
      <c r="BGS235" s="141"/>
      <c r="BGV235" s="242"/>
      <c r="BGW235" s="141"/>
      <c r="BGZ235" s="242"/>
      <c r="BHA235" s="141"/>
      <c r="BHD235" s="242"/>
      <c r="BHE235" s="141"/>
      <c r="BHH235" s="242"/>
      <c r="BHI235" s="141"/>
      <c r="BHL235" s="242"/>
      <c r="BHM235" s="141"/>
      <c r="BHP235" s="242"/>
      <c r="BHQ235" s="141"/>
      <c r="BHT235" s="242"/>
      <c r="BHU235" s="141"/>
      <c r="BHX235" s="242"/>
      <c r="BHY235" s="141"/>
      <c r="BIB235" s="242"/>
      <c r="BIC235" s="141"/>
      <c r="BIF235" s="242"/>
      <c r="BIG235" s="141"/>
      <c r="BIJ235" s="242"/>
      <c r="BIK235" s="141"/>
      <c r="BIN235" s="242"/>
      <c r="BIO235" s="141"/>
      <c r="BIR235" s="242"/>
      <c r="BIS235" s="141"/>
      <c r="BIV235" s="242"/>
      <c r="BIW235" s="141"/>
      <c r="BIZ235" s="242"/>
      <c r="BJA235" s="141"/>
      <c r="BJD235" s="242"/>
      <c r="BJE235" s="141"/>
      <c r="BJH235" s="242"/>
      <c r="BJI235" s="141"/>
      <c r="BJL235" s="242"/>
      <c r="BJM235" s="141"/>
      <c r="BJP235" s="242"/>
      <c r="BJQ235" s="141"/>
      <c r="BJT235" s="242"/>
      <c r="BJU235" s="141"/>
      <c r="BJX235" s="242"/>
      <c r="BJY235" s="141"/>
      <c r="BKB235" s="242"/>
      <c r="BKC235" s="141"/>
      <c r="BKF235" s="242"/>
      <c r="BKG235" s="141"/>
      <c r="BKJ235" s="242"/>
      <c r="BKK235" s="141"/>
      <c r="BKN235" s="242"/>
      <c r="BKO235" s="141"/>
      <c r="BKR235" s="242"/>
      <c r="BKS235" s="141"/>
      <c r="BKV235" s="242"/>
      <c r="BKW235" s="141"/>
      <c r="BKZ235" s="242"/>
      <c r="BLA235" s="141"/>
      <c r="BLD235" s="242"/>
      <c r="BLE235" s="141"/>
      <c r="BLH235" s="242"/>
      <c r="BLI235" s="141"/>
      <c r="BLL235" s="242"/>
      <c r="BLM235" s="141"/>
      <c r="BLP235" s="242"/>
      <c r="BLQ235" s="141"/>
      <c r="BLT235" s="242"/>
      <c r="BLU235" s="141"/>
      <c r="BLX235" s="242"/>
      <c r="BLY235" s="141"/>
      <c r="BMB235" s="242"/>
      <c r="BMC235" s="141"/>
      <c r="BMF235" s="242"/>
      <c r="BMG235" s="141"/>
      <c r="BMJ235" s="242"/>
      <c r="BMK235" s="141"/>
      <c r="BMN235" s="242"/>
      <c r="BMO235" s="141"/>
      <c r="BMR235" s="242"/>
      <c r="BMS235" s="141"/>
      <c r="BMV235" s="242"/>
      <c r="BMW235" s="141"/>
      <c r="BMZ235" s="242"/>
      <c r="BNA235" s="141"/>
      <c r="BND235" s="242"/>
      <c r="BNE235" s="141"/>
      <c r="BNH235" s="242"/>
      <c r="BNI235" s="141"/>
      <c r="BNL235" s="242"/>
      <c r="BNM235" s="141"/>
      <c r="BNP235" s="242"/>
      <c r="BNQ235" s="141"/>
      <c r="BNT235" s="242"/>
      <c r="BNU235" s="141"/>
      <c r="BNX235" s="242"/>
      <c r="BNY235" s="141"/>
      <c r="BOB235" s="242"/>
      <c r="BOC235" s="141"/>
      <c r="BOF235" s="242"/>
      <c r="BOG235" s="141"/>
      <c r="BOJ235" s="242"/>
      <c r="BOK235" s="141"/>
      <c r="BON235" s="242"/>
      <c r="BOO235" s="141"/>
      <c r="BOR235" s="242"/>
      <c r="BOS235" s="141"/>
      <c r="BOV235" s="242"/>
      <c r="BOW235" s="141"/>
      <c r="BOZ235" s="242"/>
      <c r="BPA235" s="141"/>
      <c r="BPD235" s="242"/>
      <c r="BPE235" s="141"/>
      <c r="BPH235" s="242"/>
      <c r="BPI235" s="141"/>
      <c r="BPL235" s="242"/>
      <c r="BPM235" s="141"/>
      <c r="BPP235" s="242"/>
      <c r="BPQ235" s="141"/>
      <c r="BPT235" s="242"/>
      <c r="BPU235" s="141"/>
      <c r="BPX235" s="242"/>
      <c r="BPY235" s="141"/>
      <c r="BQB235" s="242"/>
      <c r="BQC235" s="141"/>
      <c r="BQF235" s="242"/>
      <c r="BQG235" s="141"/>
      <c r="BQJ235" s="242"/>
      <c r="BQK235" s="141"/>
      <c r="BQN235" s="242"/>
      <c r="BQO235" s="141"/>
      <c r="BQR235" s="242"/>
      <c r="BQS235" s="141"/>
      <c r="BQV235" s="242"/>
      <c r="BQW235" s="141"/>
      <c r="BQZ235" s="242"/>
      <c r="BRA235" s="141"/>
      <c r="BRD235" s="242"/>
      <c r="BRE235" s="141"/>
      <c r="BRH235" s="242"/>
      <c r="BRI235" s="141"/>
      <c r="BRL235" s="242"/>
      <c r="BRM235" s="141"/>
      <c r="BRP235" s="242"/>
      <c r="BRQ235" s="141"/>
      <c r="BRT235" s="242"/>
      <c r="BRU235" s="141"/>
      <c r="BRX235" s="242"/>
      <c r="BRY235" s="141"/>
      <c r="BSB235" s="242"/>
      <c r="BSC235" s="141"/>
      <c r="BSF235" s="242"/>
      <c r="BSG235" s="141"/>
      <c r="BSJ235" s="242"/>
      <c r="BSK235" s="141"/>
      <c r="BSN235" s="242"/>
      <c r="BSO235" s="141"/>
      <c r="BSR235" s="242"/>
      <c r="BSS235" s="141"/>
      <c r="BSV235" s="242"/>
      <c r="BSW235" s="141"/>
      <c r="BSZ235" s="242"/>
      <c r="BTA235" s="141"/>
      <c r="BTD235" s="242"/>
      <c r="BTE235" s="141"/>
      <c r="BTH235" s="242"/>
      <c r="BTI235" s="141"/>
      <c r="BTL235" s="242"/>
      <c r="BTM235" s="141"/>
      <c r="BTP235" s="242"/>
      <c r="BTQ235" s="141"/>
      <c r="BTT235" s="242"/>
      <c r="BTU235" s="141"/>
      <c r="BTX235" s="242"/>
      <c r="BTY235" s="141"/>
      <c r="BUB235" s="242"/>
      <c r="BUC235" s="141"/>
      <c r="BUF235" s="242"/>
      <c r="BUG235" s="141"/>
      <c r="BUJ235" s="242"/>
      <c r="BUK235" s="141"/>
      <c r="BUN235" s="242"/>
      <c r="BUO235" s="141"/>
      <c r="BUR235" s="242"/>
      <c r="BUS235" s="141"/>
      <c r="BUV235" s="242"/>
      <c r="BUW235" s="141"/>
      <c r="BUZ235" s="242"/>
      <c r="BVA235" s="141"/>
      <c r="BVD235" s="242"/>
      <c r="BVE235" s="141"/>
      <c r="BVH235" s="242"/>
      <c r="BVI235" s="141"/>
      <c r="BVL235" s="242"/>
      <c r="BVM235" s="141"/>
      <c r="BVP235" s="242"/>
      <c r="BVQ235" s="141"/>
      <c r="BVT235" s="242"/>
      <c r="BVU235" s="141"/>
      <c r="BVX235" s="242"/>
      <c r="BVY235" s="141"/>
      <c r="BWB235" s="242"/>
      <c r="BWC235" s="141"/>
      <c r="BWF235" s="242"/>
      <c r="BWG235" s="141"/>
      <c r="BWJ235" s="242"/>
      <c r="BWK235" s="141"/>
      <c r="BWN235" s="242"/>
      <c r="BWO235" s="141"/>
      <c r="BWR235" s="242"/>
      <c r="BWS235" s="141"/>
      <c r="BWV235" s="242"/>
      <c r="BWW235" s="141"/>
      <c r="BWZ235" s="242"/>
      <c r="BXA235" s="141"/>
      <c r="BXD235" s="242"/>
      <c r="BXE235" s="141"/>
      <c r="BXH235" s="242"/>
      <c r="BXI235" s="141"/>
      <c r="BXL235" s="242"/>
      <c r="BXM235" s="141"/>
      <c r="BXP235" s="242"/>
      <c r="BXQ235" s="141"/>
      <c r="BXT235" s="242"/>
      <c r="BXU235" s="141"/>
      <c r="BXX235" s="242"/>
      <c r="BXY235" s="141"/>
      <c r="BYB235" s="242"/>
      <c r="BYC235" s="141"/>
      <c r="BYF235" s="242"/>
      <c r="BYG235" s="141"/>
      <c r="BYJ235" s="242"/>
      <c r="BYK235" s="141"/>
      <c r="BYN235" s="242"/>
      <c r="BYO235" s="141"/>
      <c r="BYR235" s="242"/>
      <c r="BYS235" s="141"/>
      <c r="BYV235" s="242"/>
      <c r="BYW235" s="141"/>
      <c r="BYZ235" s="242"/>
      <c r="BZA235" s="141"/>
      <c r="BZD235" s="242"/>
      <c r="BZE235" s="141"/>
      <c r="BZH235" s="242"/>
      <c r="BZI235" s="141"/>
      <c r="BZL235" s="242"/>
      <c r="BZM235" s="141"/>
      <c r="BZP235" s="242"/>
      <c r="BZQ235" s="141"/>
      <c r="BZT235" s="242"/>
      <c r="BZU235" s="141"/>
      <c r="BZX235" s="242"/>
      <c r="BZY235" s="141"/>
      <c r="CAB235" s="242"/>
      <c r="CAC235" s="141"/>
      <c r="CAF235" s="242"/>
      <c r="CAG235" s="141"/>
      <c r="CAJ235" s="242"/>
      <c r="CAK235" s="141"/>
      <c r="CAN235" s="242"/>
      <c r="CAO235" s="141"/>
      <c r="CAR235" s="242"/>
      <c r="CAS235" s="141"/>
      <c r="CAV235" s="242"/>
      <c r="CAW235" s="141"/>
      <c r="CAZ235" s="242"/>
      <c r="CBA235" s="141"/>
      <c r="CBD235" s="242"/>
      <c r="CBE235" s="141"/>
      <c r="CBH235" s="242"/>
      <c r="CBI235" s="141"/>
      <c r="CBL235" s="242"/>
      <c r="CBM235" s="141"/>
      <c r="CBP235" s="242"/>
      <c r="CBQ235" s="141"/>
      <c r="CBT235" s="242"/>
      <c r="CBU235" s="141"/>
      <c r="CBX235" s="242"/>
      <c r="CBY235" s="141"/>
      <c r="CCB235" s="242"/>
      <c r="CCC235" s="141"/>
      <c r="CCF235" s="242"/>
      <c r="CCG235" s="141"/>
      <c r="CCJ235" s="242"/>
      <c r="CCK235" s="141"/>
      <c r="CCN235" s="242"/>
      <c r="CCO235" s="141"/>
      <c r="CCR235" s="242"/>
      <c r="CCS235" s="141"/>
      <c r="CCV235" s="242"/>
      <c r="CCW235" s="141"/>
      <c r="CCZ235" s="242"/>
      <c r="CDA235" s="141"/>
      <c r="CDD235" s="242"/>
      <c r="CDE235" s="141"/>
      <c r="CDH235" s="242"/>
      <c r="CDI235" s="141"/>
      <c r="CDL235" s="242"/>
      <c r="CDM235" s="141"/>
      <c r="CDP235" s="242"/>
      <c r="CDQ235" s="141"/>
      <c r="CDT235" s="242"/>
      <c r="CDU235" s="141"/>
      <c r="CDX235" s="242"/>
      <c r="CDY235" s="141"/>
      <c r="CEB235" s="242"/>
      <c r="CEC235" s="141"/>
      <c r="CEF235" s="242"/>
      <c r="CEG235" s="141"/>
      <c r="CEJ235" s="242"/>
      <c r="CEK235" s="141"/>
      <c r="CEN235" s="242"/>
      <c r="CEO235" s="141"/>
      <c r="CER235" s="242"/>
      <c r="CES235" s="141"/>
      <c r="CEV235" s="242"/>
      <c r="CEW235" s="141"/>
      <c r="CEZ235" s="242"/>
      <c r="CFA235" s="141"/>
      <c r="CFD235" s="242"/>
      <c r="CFE235" s="141"/>
      <c r="CFH235" s="242"/>
      <c r="CFI235" s="141"/>
      <c r="CFL235" s="242"/>
      <c r="CFM235" s="141"/>
      <c r="CFP235" s="242"/>
      <c r="CFQ235" s="141"/>
      <c r="CFT235" s="242"/>
      <c r="CFU235" s="141"/>
      <c r="CFX235" s="242"/>
      <c r="CFY235" s="141"/>
      <c r="CGB235" s="242"/>
      <c r="CGC235" s="141"/>
      <c r="CGF235" s="242"/>
      <c r="CGG235" s="141"/>
      <c r="CGJ235" s="242"/>
      <c r="CGK235" s="141"/>
      <c r="CGN235" s="242"/>
      <c r="CGO235" s="141"/>
      <c r="CGR235" s="242"/>
      <c r="CGS235" s="141"/>
      <c r="CGV235" s="242"/>
      <c r="CGW235" s="141"/>
      <c r="CGZ235" s="242"/>
      <c r="CHA235" s="141"/>
      <c r="CHD235" s="242"/>
      <c r="CHE235" s="141"/>
      <c r="CHH235" s="242"/>
      <c r="CHI235" s="141"/>
      <c r="CHL235" s="242"/>
      <c r="CHM235" s="141"/>
      <c r="CHP235" s="242"/>
      <c r="CHQ235" s="141"/>
      <c r="CHT235" s="242"/>
      <c r="CHU235" s="141"/>
      <c r="CHX235" s="242"/>
      <c r="CHY235" s="141"/>
      <c r="CIB235" s="242"/>
      <c r="CIC235" s="141"/>
      <c r="CIF235" s="242"/>
      <c r="CIG235" s="141"/>
      <c r="CIJ235" s="242"/>
      <c r="CIK235" s="141"/>
      <c r="CIN235" s="242"/>
      <c r="CIO235" s="141"/>
      <c r="CIR235" s="242"/>
      <c r="CIS235" s="141"/>
      <c r="CIV235" s="242"/>
      <c r="CIW235" s="141"/>
      <c r="CIZ235" s="242"/>
      <c r="CJA235" s="141"/>
      <c r="CJD235" s="242"/>
      <c r="CJE235" s="141"/>
      <c r="CJH235" s="242"/>
      <c r="CJI235" s="141"/>
      <c r="CJL235" s="242"/>
      <c r="CJM235" s="141"/>
      <c r="CJP235" s="242"/>
      <c r="CJQ235" s="141"/>
      <c r="CJT235" s="242"/>
      <c r="CJU235" s="141"/>
      <c r="CJX235" s="242"/>
      <c r="CJY235" s="141"/>
      <c r="CKB235" s="242"/>
      <c r="CKC235" s="141"/>
      <c r="CKF235" s="242"/>
      <c r="CKG235" s="141"/>
      <c r="CKJ235" s="242"/>
      <c r="CKK235" s="141"/>
      <c r="CKN235" s="242"/>
      <c r="CKO235" s="141"/>
      <c r="CKR235" s="242"/>
      <c r="CKS235" s="141"/>
      <c r="CKV235" s="242"/>
      <c r="CKW235" s="141"/>
      <c r="CKZ235" s="242"/>
      <c r="CLA235" s="141"/>
      <c r="CLD235" s="242"/>
      <c r="CLE235" s="141"/>
      <c r="CLH235" s="242"/>
      <c r="CLI235" s="141"/>
      <c r="CLL235" s="242"/>
      <c r="CLM235" s="141"/>
      <c r="CLP235" s="242"/>
      <c r="CLQ235" s="141"/>
      <c r="CLT235" s="242"/>
      <c r="CLU235" s="141"/>
      <c r="CLX235" s="242"/>
      <c r="CLY235" s="141"/>
      <c r="CMB235" s="242"/>
      <c r="CMC235" s="141"/>
      <c r="CMF235" s="242"/>
      <c r="CMG235" s="141"/>
      <c r="CMJ235" s="242"/>
      <c r="CMK235" s="141"/>
      <c r="CMN235" s="242"/>
      <c r="CMO235" s="141"/>
      <c r="CMR235" s="242"/>
      <c r="CMS235" s="141"/>
      <c r="CMV235" s="242"/>
      <c r="CMW235" s="141"/>
      <c r="CMZ235" s="242"/>
      <c r="CNA235" s="141"/>
      <c r="CND235" s="242"/>
      <c r="CNE235" s="141"/>
      <c r="CNH235" s="242"/>
      <c r="CNI235" s="141"/>
      <c r="CNL235" s="242"/>
      <c r="CNM235" s="141"/>
      <c r="CNP235" s="242"/>
      <c r="CNQ235" s="141"/>
      <c r="CNT235" s="242"/>
      <c r="CNU235" s="141"/>
      <c r="CNX235" s="242"/>
      <c r="CNY235" s="141"/>
      <c r="COB235" s="242"/>
      <c r="COC235" s="141"/>
      <c r="COF235" s="242"/>
      <c r="COG235" s="141"/>
      <c r="COJ235" s="242"/>
      <c r="COK235" s="141"/>
      <c r="CON235" s="242"/>
      <c r="COO235" s="141"/>
      <c r="COR235" s="242"/>
      <c r="COS235" s="141"/>
      <c r="COV235" s="242"/>
      <c r="COW235" s="141"/>
      <c r="COZ235" s="242"/>
      <c r="CPA235" s="141"/>
      <c r="CPD235" s="242"/>
      <c r="CPE235" s="141"/>
      <c r="CPH235" s="242"/>
      <c r="CPI235" s="141"/>
      <c r="CPL235" s="242"/>
      <c r="CPM235" s="141"/>
      <c r="CPP235" s="242"/>
      <c r="CPQ235" s="141"/>
      <c r="CPT235" s="242"/>
      <c r="CPU235" s="141"/>
      <c r="CPX235" s="242"/>
      <c r="CPY235" s="141"/>
      <c r="CQB235" s="242"/>
      <c r="CQC235" s="141"/>
      <c r="CQF235" s="242"/>
      <c r="CQG235" s="141"/>
      <c r="CQJ235" s="242"/>
      <c r="CQK235" s="141"/>
      <c r="CQN235" s="242"/>
      <c r="CQO235" s="141"/>
      <c r="CQR235" s="242"/>
      <c r="CQS235" s="141"/>
      <c r="CQV235" s="242"/>
      <c r="CQW235" s="141"/>
      <c r="CQZ235" s="242"/>
      <c r="CRA235" s="141"/>
      <c r="CRD235" s="242"/>
      <c r="CRE235" s="141"/>
      <c r="CRH235" s="242"/>
      <c r="CRI235" s="141"/>
      <c r="CRL235" s="242"/>
      <c r="CRM235" s="141"/>
      <c r="CRP235" s="242"/>
      <c r="CRQ235" s="141"/>
      <c r="CRT235" s="242"/>
      <c r="CRU235" s="141"/>
      <c r="CRX235" s="242"/>
      <c r="CRY235" s="141"/>
      <c r="CSB235" s="242"/>
      <c r="CSC235" s="141"/>
      <c r="CSF235" s="242"/>
      <c r="CSG235" s="141"/>
      <c r="CSJ235" s="242"/>
      <c r="CSK235" s="141"/>
      <c r="CSN235" s="242"/>
      <c r="CSO235" s="141"/>
      <c r="CSR235" s="242"/>
      <c r="CSS235" s="141"/>
      <c r="CSV235" s="242"/>
      <c r="CSW235" s="141"/>
      <c r="CSZ235" s="242"/>
      <c r="CTA235" s="141"/>
      <c r="CTD235" s="242"/>
      <c r="CTE235" s="141"/>
      <c r="CTH235" s="242"/>
      <c r="CTI235" s="141"/>
      <c r="CTL235" s="242"/>
      <c r="CTM235" s="141"/>
      <c r="CTP235" s="242"/>
      <c r="CTQ235" s="141"/>
      <c r="CTT235" s="242"/>
      <c r="CTU235" s="141"/>
      <c r="CTX235" s="242"/>
      <c r="CTY235" s="141"/>
      <c r="CUB235" s="242"/>
      <c r="CUC235" s="141"/>
      <c r="CUF235" s="242"/>
      <c r="CUG235" s="141"/>
      <c r="CUJ235" s="242"/>
      <c r="CUK235" s="141"/>
      <c r="CUN235" s="242"/>
      <c r="CUO235" s="141"/>
      <c r="CUR235" s="242"/>
      <c r="CUS235" s="141"/>
      <c r="CUV235" s="242"/>
      <c r="CUW235" s="141"/>
      <c r="CUZ235" s="242"/>
      <c r="CVA235" s="141"/>
      <c r="CVD235" s="242"/>
      <c r="CVE235" s="141"/>
      <c r="CVH235" s="242"/>
      <c r="CVI235" s="141"/>
      <c r="CVL235" s="242"/>
      <c r="CVM235" s="141"/>
      <c r="CVP235" s="242"/>
      <c r="CVQ235" s="141"/>
      <c r="CVT235" s="242"/>
      <c r="CVU235" s="141"/>
      <c r="CVX235" s="242"/>
      <c r="CVY235" s="141"/>
      <c r="CWB235" s="242"/>
      <c r="CWC235" s="141"/>
      <c r="CWF235" s="242"/>
      <c r="CWG235" s="141"/>
      <c r="CWJ235" s="242"/>
      <c r="CWK235" s="141"/>
      <c r="CWN235" s="242"/>
      <c r="CWO235" s="141"/>
      <c r="CWR235" s="242"/>
      <c r="CWS235" s="141"/>
      <c r="CWV235" s="242"/>
      <c r="CWW235" s="141"/>
      <c r="CWZ235" s="242"/>
      <c r="CXA235" s="141"/>
      <c r="CXD235" s="242"/>
      <c r="CXE235" s="141"/>
      <c r="CXH235" s="242"/>
      <c r="CXI235" s="141"/>
      <c r="CXL235" s="242"/>
      <c r="CXM235" s="141"/>
      <c r="CXP235" s="242"/>
      <c r="CXQ235" s="141"/>
      <c r="CXT235" s="242"/>
      <c r="CXU235" s="141"/>
      <c r="CXX235" s="242"/>
      <c r="CXY235" s="141"/>
      <c r="CYB235" s="242"/>
      <c r="CYC235" s="141"/>
      <c r="CYF235" s="242"/>
      <c r="CYG235" s="141"/>
      <c r="CYJ235" s="242"/>
      <c r="CYK235" s="141"/>
      <c r="CYN235" s="242"/>
      <c r="CYO235" s="141"/>
      <c r="CYR235" s="242"/>
      <c r="CYS235" s="141"/>
      <c r="CYV235" s="242"/>
      <c r="CYW235" s="141"/>
      <c r="CYZ235" s="242"/>
      <c r="CZA235" s="141"/>
      <c r="CZD235" s="242"/>
      <c r="CZE235" s="141"/>
      <c r="CZH235" s="242"/>
      <c r="CZI235" s="141"/>
      <c r="CZL235" s="242"/>
      <c r="CZM235" s="141"/>
      <c r="CZP235" s="242"/>
      <c r="CZQ235" s="141"/>
      <c r="CZT235" s="242"/>
      <c r="CZU235" s="141"/>
      <c r="CZX235" s="242"/>
      <c r="CZY235" s="141"/>
      <c r="DAB235" s="242"/>
      <c r="DAC235" s="141"/>
      <c r="DAF235" s="242"/>
      <c r="DAG235" s="141"/>
      <c r="DAJ235" s="242"/>
      <c r="DAK235" s="141"/>
      <c r="DAN235" s="242"/>
      <c r="DAO235" s="141"/>
      <c r="DAR235" s="242"/>
      <c r="DAS235" s="141"/>
      <c r="DAV235" s="242"/>
      <c r="DAW235" s="141"/>
      <c r="DAZ235" s="242"/>
      <c r="DBA235" s="141"/>
      <c r="DBD235" s="242"/>
      <c r="DBE235" s="141"/>
      <c r="DBH235" s="242"/>
      <c r="DBI235" s="141"/>
      <c r="DBL235" s="242"/>
      <c r="DBM235" s="141"/>
      <c r="DBP235" s="242"/>
      <c r="DBQ235" s="141"/>
      <c r="DBT235" s="242"/>
      <c r="DBU235" s="141"/>
      <c r="DBX235" s="242"/>
      <c r="DBY235" s="141"/>
      <c r="DCB235" s="242"/>
      <c r="DCC235" s="141"/>
      <c r="DCF235" s="242"/>
      <c r="DCG235" s="141"/>
      <c r="DCJ235" s="242"/>
      <c r="DCK235" s="141"/>
      <c r="DCN235" s="242"/>
      <c r="DCO235" s="141"/>
      <c r="DCR235" s="242"/>
      <c r="DCS235" s="141"/>
      <c r="DCV235" s="242"/>
      <c r="DCW235" s="141"/>
      <c r="DCZ235" s="242"/>
      <c r="DDA235" s="141"/>
      <c r="DDD235" s="242"/>
      <c r="DDE235" s="141"/>
      <c r="DDH235" s="242"/>
      <c r="DDI235" s="141"/>
      <c r="DDL235" s="242"/>
      <c r="DDM235" s="141"/>
      <c r="DDP235" s="242"/>
      <c r="DDQ235" s="141"/>
      <c r="DDT235" s="242"/>
      <c r="DDU235" s="141"/>
      <c r="DDX235" s="242"/>
      <c r="DDY235" s="141"/>
      <c r="DEB235" s="242"/>
      <c r="DEC235" s="141"/>
      <c r="DEF235" s="242"/>
      <c r="DEG235" s="141"/>
      <c r="DEJ235" s="242"/>
      <c r="DEK235" s="141"/>
      <c r="DEN235" s="242"/>
      <c r="DEO235" s="141"/>
      <c r="DER235" s="242"/>
      <c r="DES235" s="141"/>
      <c r="DEV235" s="242"/>
      <c r="DEW235" s="141"/>
      <c r="DEZ235" s="242"/>
      <c r="DFA235" s="141"/>
      <c r="DFD235" s="242"/>
      <c r="DFE235" s="141"/>
      <c r="DFH235" s="242"/>
      <c r="DFI235" s="141"/>
      <c r="DFL235" s="242"/>
      <c r="DFM235" s="141"/>
      <c r="DFP235" s="242"/>
      <c r="DFQ235" s="141"/>
      <c r="DFT235" s="242"/>
      <c r="DFU235" s="141"/>
      <c r="DFX235" s="242"/>
      <c r="DFY235" s="141"/>
      <c r="DGB235" s="242"/>
      <c r="DGC235" s="141"/>
      <c r="DGF235" s="242"/>
      <c r="DGG235" s="141"/>
      <c r="DGJ235" s="242"/>
      <c r="DGK235" s="141"/>
      <c r="DGN235" s="242"/>
      <c r="DGO235" s="141"/>
      <c r="DGR235" s="242"/>
      <c r="DGS235" s="141"/>
      <c r="DGV235" s="242"/>
      <c r="DGW235" s="141"/>
      <c r="DGZ235" s="242"/>
      <c r="DHA235" s="141"/>
      <c r="DHD235" s="242"/>
      <c r="DHE235" s="141"/>
      <c r="DHH235" s="242"/>
      <c r="DHI235" s="141"/>
      <c r="DHL235" s="242"/>
      <c r="DHM235" s="141"/>
      <c r="DHP235" s="242"/>
      <c r="DHQ235" s="141"/>
      <c r="DHT235" s="242"/>
      <c r="DHU235" s="141"/>
      <c r="DHX235" s="242"/>
      <c r="DHY235" s="141"/>
      <c r="DIB235" s="242"/>
      <c r="DIC235" s="141"/>
      <c r="DIF235" s="242"/>
      <c r="DIG235" s="141"/>
      <c r="DIJ235" s="242"/>
      <c r="DIK235" s="141"/>
      <c r="DIN235" s="242"/>
      <c r="DIO235" s="141"/>
      <c r="DIR235" s="242"/>
      <c r="DIS235" s="141"/>
      <c r="DIV235" s="242"/>
      <c r="DIW235" s="141"/>
      <c r="DIZ235" s="242"/>
      <c r="DJA235" s="141"/>
      <c r="DJD235" s="242"/>
      <c r="DJE235" s="141"/>
      <c r="DJH235" s="242"/>
      <c r="DJI235" s="141"/>
      <c r="DJL235" s="242"/>
      <c r="DJM235" s="141"/>
      <c r="DJP235" s="242"/>
      <c r="DJQ235" s="141"/>
      <c r="DJT235" s="242"/>
      <c r="DJU235" s="141"/>
      <c r="DJX235" s="242"/>
      <c r="DJY235" s="141"/>
      <c r="DKB235" s="242"/>
      <c r="DKC235" s="141"/>
      <c r="DKF235" s="242"/>
      <c r="DKG235" s="141"/>
      <c r="DKJ235" s="242"/>
      <c r="DKK235" s="141"/>
      <c r="DKN235" s="242"/>
      <c r="DKO235" s="141"/>
      <c r="DKR235" s="242"/>
      <c r="DKS235" s="141"/>
      <c r="DKV235" s="242"/>
      <c r="DKW235" s="141"/>
      <c r="DKZ235" s="242"/>
      <c r="DLA235" s="141"/>
      <c r="DLD235" s="242"/>
      <c r="DLE235" s="141"/>
      <c r="DLH235" s="242"/>
      <c r="DLI235" s="141"/>
      <c r="DLL235" s="242"/>
      <c r="DLM235" s="141"/>
      <c r="DLP235" s="242"/>
      <c r="DLQ235" s="141"/>
      <c r="DLT235" s="242"/>
      <c r="DLU235" s="141"/>
      <c r="DLX235" s="242"/>
      <c r="DLY235" s="141"/>
      <c r="DMB235" s="242"/>
      <c r="DMC235" s="141"/>
      <c r="DMF235" s="242"/>
      <c r="DMG235" s="141"/>
      <c r="DMJ235" s="242"/>
      <c r="DMK235" s="141"/>
      <c r="DMN235" s="242"/>
      <c r="DMO235" s="141"/>
      <c r="DMR235" s="242"/>
      <c r="DMS235" s="141"/>
      <c r="DMV235" s="242"/>
      <c r="DMW235" s="141"/>
      <c r="DMZ235" s="242"/>
      <c r="DNA235" s="141"/>
      <c r="DND235" s="242"/>
      <c r="DNE235" s="141"/>
      <c r="DNH235" s="242"/>
      <c r="DNI235" s="141"/>
      <c r="DNL235" s="242"/>
      <c r="DNM235" s="141"/>
      <c r="DNP235" s="242"/>
      <c r="DNQ235" s="141"/>
      <c r="DNT235" s="242"/>
      <c r="DNU235" s="141"/>
      <c r="DNX235" s="242"/>
      <c r="DNY235" s="141"/>
      <c r="DOB235" s="242"/>
      <c r="DOC235" s="141"/>
      <c r="DOF235" s="242"/>
      <c r="DOG235" s="141"/>
      <c r="DOJ235" s="242"/>
      <c r="DOK235" s="141"/>
      <c r="DON235" s="242"/>
      <c r="DOO235" s="141"/>
      <c r="DOR235" s="242"/>
      <c r="DOS235" s="141"/>
      <c r="DOV235" s="242"/>
      <c r="DOW235" s="141"/>
      <c r="DOZ235" s="242"/>
      <c r="DPA235" s="141"/>
      <c r="DPD235" s="242"/>
      <c r="DPE235" s="141"/>
      <c r="DPH235" s="242"/>
      <c r="DPI235" s="141"/>
      <c r="DPL235" s="242"/>
      <c r="DPM235" s="141"/>
      <c r="DPP235" s="242"/>
      <c r="DPQ235" s="141"/>
      <c r="DPT235" s="242"/>
      <c r="DPU235" s="141"/>
      <c r="DPX235" s="242"/>
      <c r="DPY235" s="141"/>
      <c r="DQB235" s="242"/>
      <c r="DQC235" s="141"/>
      <c r="DQF235" s="242"/>
      <c r="DQG235" s="141"/>
      <c r="DQJ235" s="242"/>
      <c r="DQK235" s="141"/>
      <c r="DQN235" s="242"/>
      <c r="DQO235" s="141"/>
      <c r="DQR235" s="242"/>
      <c r="DQS235" s="141"/>
      <c r="DQV235" s="242"/>
      <c r="DQW235" s="141"/>
      <c r="DQZ235" s="242"/>
      <c r="DRA235" s="141"/>
      <c r="DRD235" s="242"/>
      <c r="DRE235" s="141"/>
      <c r="DRH235" s="242"/>
      <c r="DRI235" s="141"/>
      <c r="DRL235" s="242"/>
      <c r="DRM235" s="141"/>
      <c r="DRP235" s="242"/>
      <c r="DRQ235" s="141"/>
      <c r="DRT235" s="242"/>
      <c r="DRU235" s="141"/>
      <c r="DRX235" s="242"/>
      <c r="DRY235" s="141"/>
      <c r="DSB235" s="242"/>
      <c r="DSC235" s="141"/>
      <c r="DSF235" s="242"/>
      <c r="DSG235" s="141"/>
      <c r="DSJ235" s="242"/>
      <c r="DSK235" s="141"/>
      <c r="DSN235" s="242"/>
      <c r="DSO235" s="141"/>
      <c r="DSR235" s="242"/>
      <c r="DSS235" s="141"/>
      <c r="DSV235" s="242"/>
      <c r="DSW235" s="141"/>
      <c r="DSZ235" s="242"/>
      <c r="DTA235" s="141"/>
      <c r="DTD235" s="242"/>
      <c r="DTE235" s="141"/>
      <c r="DTH235" s="242"/>
      <c r="DTI235" s="141"/>
      <c r="DTL235" s="242"/>
      <c r="DTM235" s="141"/>
      <c r="DTP235" s="242"/>
      <c r="DTQ235" s="141"/>
      <c r="DTT235" s="242"/>
      <c r="DTU235" s="141"/>
      <c r="DTX235" s="242"/>
      <c r="DTY235" s="141"/>
      <c r="DUB235" s="242"/>
      <c r="DUC235" s="141"/>
      <c r="DUF235" s="242"/>
      <c r="DUG235" s="141"/>
      <c r="DUJ235" s="242"/>
      <c r="DUK235" s="141"/>
      <c r="DUN235" s="242"/>
      <c r="DUO235" s="141"/>
      <c r="DUR235" s="242"/>
      <c r="DUS235" s="141"/>
      <c r="DUV235" s="242"/>
      <c r="DUW235" s="141"/>
      <c r="DUZ235" s="242"/>
      <c r="DVA235" s="141"/>
      <c r="DVD235" s="242"/>
      <c r="DVE235" s="141"/>
      <c r="DVH235" s="242"/>
      <c r="DVI235" s="141"/>
      <c r="DVL235" s="242"/>
      <c r="DVM235" s="141"/>
      <c r="DVP235" s="242"/>
      <c r="DVQ235" s="141"/>
      <c r="DVT235" s="242"/>
      <c r="DVU235" s="141"/>
      <c r="DVX235" s="242"/>
      <c r="DVY235" s="141"/>
      <c r="DWB235" s="242"/>
      <c r="DWC235" s="141"/>
      <c r="DWF235" s="242"/>
      <c r="DWG235" s="141"/>
      <c r="DWJ235" s="242"/>
      <c r="DWK235" s="141"/>
      <c r="DWN235" s="242"/>
      <c r="DWO235" s="141"/>
      <c r="DWR235" s="242"/>
      <c r="DWS235" s="141"/>
      <c r="DWV235" s="242"/>
      <c r="DWW235" s="141"/>
      <c r="DWZ235" s="242"/>
      <c r="DXA235" s="141"/>
      <c r="DXD235" s="242"/>
      <c r="DXE235" s="141"/>
      <c r="DXH235" s="242"/>
      <c r="DXI235" s="141"/>
      <c r="DXL235" s="242"/>
      <c r="DXM235" s="141"/>
      <c r="DXP235" s="242"/>
      <c r="DXQ235" s="141"/>
      <c r="DXT235" s="242"/>
      <c r="DXU235" s="141"/>
      <c r="DXX235" s="242"/>
      <c r="DXY235" s="141"/>
      <c r="DYB235" s="242"/>
      <c r="DYC235" s="141"/>
      <c r="DYF235" s="242"/>
      <c r="DYG235" s="141"/>
      <c r="DYJ235" s="242"/>
      <c r="DYK235" s="141"/>
      <c r="DYN235" s="242"/>
      <c r="DYO235" s="141"/>
      <c r="DYR235" s="242"/>
      <c r="DYS235" s="141"/>
      <c r="DYV235" s="242"/>
      <c r="DYW235" s="141"/>
      <c r="DYZ235" s="242"/>
      <c r="DZA235" s="141"/>
      <c r="DZD235" s="242"/>
      <c r="DZE235" s="141"/>
      <c r="DZH235" s="242"/>
      <c r="DZI235" s="141"/>
      <c r="DZL235" s="242"/>
      <c r="DZM235" s="141"/>
      <c r="DZP235" s="242"/>
      <c r="DZQ235" s="141"/>
      <c r="DZT235" s="242"/>
      <c r="DZU235" s="141"/>
      <c r="DZX235" s="242"/>
      <c r="DZY235" s="141"/>
      <c r="EAB235" s="242"/>
      <c r="EAC235" s="141"/>
      <c r="EAF235" s="242"/>
      <c r="EAG235" s="141"/>
      <c r="EAJ235" s="242"/>
      <c r="EAK235" s="141"/>
      <c r="EAN235" s="242"/>
      <c r="EAO235" s="141"/>
      <c r="EAR235" s="242"/>
      <c r="EAS235" s="141"/>
      <c r="EAV235" s="242"/>
      <c r="EAW235" s="141"/>
      <c r="EAZ235" s="242"/>
      <c r="EBA235" s="141"/>
      <c r="EBD235" s="242"/>
      <c r="EBE235" s="141"/>
      <c r="EBH235" s="242"/>
      <c r="EBI235" s="141"/>
      <c r="EBL235" s="242"/>
      <c r="EBM235" s="141"/>
      <c r="EBP235" s="242"/>
      <c r="EBQ235" s="141"/>
      <c r="EBT235" s="242"/>
      <c r="EBU235" s="141"/>
      <c r="EBX235" s="242"/>
      <c r="EBY235" s="141"/>
      <c r="ECB235" s="242"/>
      <c r="ECC235" s="141"/>
      <c r="ECF235" s="242"/>
      <c r="ECG235" s="141"/>
      <c r="ECJ235" s="242"/>
      <c r="ECK235" s="141"/>
      <c r="ECN235" s="242"/>
      <c r="ECO235" s="141"/>
      <c r="ECR235" s="242"/>
      <c r="ECS235" s="141"/>
      <c r="ECV235" s="242"/>
      <c r="ECW235" s="141"/>
      <c r="ECZ235" s="242"/>
      <c r="EDA235" s="141"/>
      <c r="EDD235" s="242"/>
      <c r="EDE235" s="141"/>
      <c r="EDH235" s="242"/>
      <c r="EDI235" s="141"/>
      <c r="EDL235" s="242"/>
      <c r="EDM235" s="141"/>
      <c r="EDP235" s="242"/>
      <c r="EDQ235" s="141"/>
      <c r="EDT235" s="242"/>
      <c r="EDU235" s="141"/>
      <c r="EDX235" s="242"/>
      <c r="EDY235" s="141"/>
      <c r="EEB235" s="242"/>
      <c r="EEC235" s="141"/>
      <c r="EEF235" s="242"/>
      <c r="EEG235" s="141"/>
      <c r="EEJ235" s="242"/>
      <c r="EEK235" s="141"/>
      <c r="EEN235" s="242"/>
      <c r="EEO235" s="141"/>
      <c r="EER235" s="242"/>
      <c r="EES235" s="141"/>
      <c r="EEV235" s="242"/>
      <c r="EEW235" s="141"/>
      <c r="EEZ235" s="242"/>
      <c r="EFA235" s="141"/>
      <c r="EFD235" s="242"/>
      <c r="EFE235" s="141"/>
      <c r="EFH235" s="242"/>
      <c r="EFI235" s="141"/>
      <c r="EFL235" s="242"/>
      <c r="EFM235" s="141"/>
      <c r="EFP235" s="242"/>
      <c r="EFQ235" s="141"/>
      <c r="EFT235" s="242"/>
      <c r="EFU235" s="141"/>
      <c r="EFX235" s="242"/>
      <c r="EFY235" s="141"/>
      <c r="EGB235" s="242"/>
      <c r="EGC235" s="141"/>
      <c r="EGF235" s="242"/>
      <c r="EGG235" s="141"/>
      <c r="EGJ235" s="242"/>
      <c r="EGK235" s="141"/>
      <c r="EGN235" s="242"/>
      <c r="EGO235" s="141"/>
      <c r="EGR235" s="242"/>
      <c r="EGS235" s="141"/>
      <c r="EGV235" s="242"/>
      <c r="EGW235" s="141"/>
      <c r="EGZ235" s="242"/>
      <c r="EHA235" s="141"/>
      <c r="EHD235" s="242"/>
      <c r="EHE235" s="141"/>
      <c r="EHH235" s="242"/>
      <c r="EHI235" s="141"/>
      <c r="EHL235" s="242"/>
      <c r="EHM235" s="141"/>
      <c r="EHP235" s="242"/>
      <c r="EHQ235" s="141"/>
      <c r="EHT235" s="242"/>
      <c r="EHU235" s="141"/>
      <c r="EHX235" s="242"/>
      <c r="EHY235" s="141"/>
      <c r="EIB235" s="242"/>
      <c r="EIC235" s="141"/>
      <c r="EIF235" s="242"/>
      <c r="EIG235" s="141"/>
      <c r="EIJ235" s="242"/>
      <c r="EIK235" s="141"/>
      <c r="EIN235" s="242"/>
      <c r="EIO235" s="141"/>
      <c r="EIR235" s="242"/>
      <c r="EIS235" s="141"/>
      <c r="EIV235" s="242"/>
      <c r="EIW235" s="141"/>
      <c r="EIZ235" s="242"/>
      <c r="EJA235" s="141"/>
      <c r="EJD235" s="242"/>
      <c r="EJE235" s="141"/>
      <c r="EJH235" s="242"/>
      <c r="EJI235" s="141"/>
      <c r="EJL235" s="242"/>
      <c r="EJM235" s="141"/>
      <c r="EJP235" s="242"/>
      <c r="EJQ235" s="141"/>
      <c r="EJT235" s="242"/>
      <c r="EJU235" s="141"/>
      <c r="EJX235" s="242"/>
      <c r="EJY235" s="141"/>
      <c r="EKB235" s="242"/>
      <c r="EKC235" s="141"/>
      <c r="EKF235" s="242"/>
      <c r="EKG235" s="141"/>
      <c r="EKJ235" s="242"/>
      <c r="EKK235" s="141"/>
      <c r="EKN235" s="242"/>
      <c r="EKO235" s="141"/>
      <c r="EKR235" s="242"/>
      <c r="EKS235" s="141"/>
      <c r="EKV235" s="242"/>
      <c r="EKW235" s="141"/>
      <c r="EKZ235" s="242"/>
      <c r="ELA235" s="141"/>
      <c r="ELD235" s="242"/>
      <c r="ELE235" s="141"/>
      <c r="ELH235" s="242"/>
      <c r="ELI235" s="141"/>
      <c r="ELL235" s="242"/>
      <c r="ELM235" s="141"/>
      <c r="ELP235" s="242"/>
      <c r="ELQ235" s="141"/>
      <c r="ELT235" s="242"/>
      <c r="ELU235" s="141"/>
      <c r="ELX235" s="242"/>
      <c r="ELY235" s="141"/>
      <c r="EMB235" s="242"/>
      <c r="EMC235" s="141"/>
      <c r="EMF235" s="242"/>
      <c r="EMG235" s="141"/>
      <c r="EMJ235" s="242"/>
      <c r="EMK235" s="141"/>
      <c r="EMN235" s="242"/>
      <c r="EMO235" s="141"/>
      <c r="EMR235" s="242"/>
      <c r="EMS235" s="141"/>
      <c r="EMV235" s="242"/>
      <c r="EMW235" s="141"/>
      <c r="EMZ235" s="242"/>
      <c r="ENA235" s="141"/>
      <c r="END235" s="242"/>
      <c r="ENE235" s="141"/>
      <c r="ENH235" s="242"/>
      <c r="ENI235" s="141"/>
      <c r="ENL235" s="242"/>
      <c r="ENM235" s="141"/>
      <c r="ENP235" s="242"/>
      <c r="ENQ235" s="141"/>
      <c r="ENT235" s="242"/>
      <c r="ENU235" s="141"/>
      <c r="ENX235" s="242"/>
      <c r="ENY235" s="141"/>
      <c r="EOB235" s="242"/>
      <c r="EOC235" s="141"/>
      <c r="EOF235" s="242"/>
      <c r="EOG235" s="141"/>
      <c r="EOJ235" s="242"/>
      <c r="EOK235" s="141"/>
      <c r="EON235" s="242"/>
      <c r="EOO235" s="141"/>
      <c r="EOR235" s="242"/>
      <c r="EOS235" s="141"/>
      <c r="EOV235" s="242"/>
      <c r="EOW235" s="141"/>
      <c r="EOZ235" s="242"/>
      <c r="EPA235" s="141"/>
      <c r="EPD235" s="242"/>
      <c r="EPE235" s="141"/>
      <c r="EPH235" s="242"/>
      <c r="EPI235" s="141"/>
      <c r="EPL235" s="242"/>
      <c r="EPM235" s="141"/>
      <c r="EPP235" s="242"/>
      <c r="EPQ235" s="141"/>
      <c r="EPT235" s="242"/>
      <c r="EPU235" s="141"/>
      <c r="EPX235" s="242"/>
      <c r="EPY235" s="141"/>
      <c r="EQB235" s="242"/>
      <c r="EQC235" s="141"/>
      <c r="EQF235" s="242"/>
      <c r="EQG235" s="141"/>
      <c r="EQJ235" s="242"/>
      <c r="EQK235" s="141"/>
      <c r="EQN235" s="242"/>
      <c r="EQO235" s="141"/>
      <c r="EQR235" s="242"/>
      <c r="EQS235" s="141"/>
      <c r="EQV235" s="242"/>
      <c r="EQW235" s="141"/>
      <c r="EQZ235" s="242"/>
      <c r="ERA235" s="141"/>
      <c r="ERD235" s="242"/>
      <c r="ERE235" s="141"/>
      <c r="ERH235" s="242"/>
      <c r="ERI235" s="141"/>
      <c r="ERL235" s="242"/>
      <c r="ERM235" s="141"/>
      <c r="ERP235" s="242"/>
      <c r="ERQ235" s="141"/>
      <c r="ERT235" s="242"/>
      <c r="ERU235" s="141"/>
      <c r="ERX235" s="242"/>
      <c r="ERY235" s="141"/>
      <c r="ESB235" s="242"/>
      <c r="ESC235" s="141"/>
      <c r="ESF235" s="242"/>
      <c r="ESG235" s="141"/>
      <c r="ESJ235" s="242"/>
      <c r="ESK235" s="141"/>
      <c r="ESN235" s="242"/>
      <c r="ESO235" s="141"/>
      <c r="ESR235" s="242"/>
      <c r="ESS235" s="141"/>
      <c r="ESV235" s="242"/>
      <c r="ESW235" s="141"/>
      <c r="ESZ235" s="242"/>
      <c r="ETA235" s="141"/>
      <c r="ETD235" s="242"/>
      <c r="ETE235" s="141"/>
      <c r="ETH235" s="242"/>
      <c r="ETI235" s="141"/>
      <c r="ETL235" s="242"/>
      <c r="ETM235" s="141"/>
      <c r="ETP235" s="242"/>
      <c r="ETQ235" s="141"/>
      <c r="ETT235" s="242"/>
      <c r="ETU235" s="141"/>
      <c r="ETX235" s="242"/>
      <c r="ETY235" s="141"/>
      <c r="EUB235" s="242"/>
      <c r="EUC235" s="141"/>
      <c r="EUF235" s="242"/>
      <c r="EUG235" s="141"/>
      <c r="EUJ235" s="242"/>
      <c r="EUK235" s="141"/>
      <c r="EUN235" s="242"/>
      <c r="EUO235" s="141"/>
      <c r="EUR235" s="242"/>
      <c r="EUS235" s="141"/>
      <c r="EUV235" s="242"/>
      <c r="EUW235" s="141"/>
      <c r="EUZ235" s="242"/>
      <c r="EVA235" s="141"/>
      <c r="EVD235" s="242"/>
      <c r="EVE235" s="141"/>
      <c r="EVH235" s="242"/>
      <c r="EVI235" s="141"/>
      <c r="EVL235" s="242"/>
      <c r="EVM235" s="141"/>
      <c r="EVP235" s="242"/>
      <c r="EVQ235" s="141"/>
      <c r="EVT235" s="242"/>
      <c r="EVU235" s="141"/>
      <c r="EVX235" s="242"/>
      <c r="EVY235" s="141"/>
      <c r="EWB235" s="242"/>
      <c r="EWC235" s="141"/>
      <c r="EWF235" s="242"/>
      <c r="EWG235" s="141"/>
      <c r="EWJ235" s="242"/>
      <c r="EWK235" s="141"/>
      <c r="EWN235" s="242"/>
      <c r="EWO235" s="141"/>
      <c r="EWR235" s="242"/>
      <c r="EWS235" s="141"/>
      <c r="EWV235" s="242"/>
      <c r="EWW235" s="141"/>
      <c r="EWZ235" s="242"/>
      <c r="EXA235" s="141"/>
      <c r="EXD235" s="242"/>
      <c r="EXE235" s="141"/>
      <c r="EXH235" s="242"/>
      <c r="EXI235" s="141"/>
      <c r="EXL235" s="242"/>
      <c r="EXM235" s="141"/>
      <c r="EXP235" s="242"/>
      <c r="EXQ235" s="141"/>
      <c r="EXT235" s="242"/>
      <c r="EXU235" s="141"/>
      <c r="EXX235" s="242"/>
      <c r="EXY235" s="141"/>
      <c r="EYB235" s="242"/>
      <c r="EYC235" s="141"/>
      <c r="EYF235" s="242"/>
      <c r="EYG235" s="141"/>
      <c r="EYJ235" s="242"/>
      <c r="EYK235" s="141"/>
      <c r="EYN235" s="242"/>
      <c r="EYO235" s="141"/>
      <c r="EYR235" s="242"/>
      <c r="EYS235" s="141"/>
      <c r="EYV235" s="242"/>
      <c r="EYW235" s="141"/>
      <c r="EYZ235" s="242"/>
      <c r="EZA235" s="141"/>
      <c r="EZD235" s="242"/>
      <c r="EZE235" s="141"/>
      <c r="EZH235" s="242"/>
      <c r="EZI235" s="141"/>
      <c r="EZL235" s="242"/>
      <c r="EZM235" s="141"/>
      <c r="EZP235" s="242"/>
      <c r="EZQ235" s="141"/>
      <c r="EZT235" s="242"/>
      <c r="EZU235" s="141"/>
      <c r="EZX235" s="242"/>
      <c r="EZY235" s="141"/>
      <c r="FAB235" s="242"/>
      <c r="FAC235" s="141"/>
      <c r="FAF235" s="242"/>
      <c r="FAG235" s="141"/>
      <c r="FAJ235" s="242"/>
      <c r="FAK235" s="141"/>
      <c r="FAN235" s="242"/>
      <c r="FAO235" s="141"/>
      <c r="FAR235" s="242"/>
      <c r="FAS235" s="141"/>
      <c r="FAV235" s="242"/>
      <c r="FAW235" s="141"/>
      <c r="FAZ235" s="242"/>
      <c r="FBA235" s="141"/>
      <c r="FBD235" s="242"/>
      <c r="FBE235" s="141"/>
      <c r="FBH235" s="242"/>
      <c r="FBI235" s="141"/>
      <c r="FBL235" s="242"/>
      <c r="FBM235" s="141"/>
      <c r="FBP235" s="242"/>
      <c r="FBQ235" s="141"/>
      <c r="FBT235" s="242"/>
      <c r="FBU235" s="141"/>
      <c r="FBX235" s="242"/>
      <c r="FBY235" s="141"/>
      <c r="FCB235" s="242"/>
      <c r="FCC235" s="141"/>
      <c r="FCF235" s="242"/>
      <c r="FCG235" s="141"/>
      <c r="FCJ235" s="242"/>
      <c r="FCK235" s="141"/>
      <c r="FCN235" s="242"/>
      <c r="FCO235" s="141"/>
      <c r="FCR235" s="242"/>
      <c r="FCS235" s="141"/>
      <c r="FCV235" s="242"/>
      <c r="FCW235" s="141"/>
      <c r="FCZ235" s="242"/>
      <c r="FDA235" s="141"/>
      <c r="FDD235" s="242"/>
      <c r="FDE235" s="141"/>
      <c r="FDH235" s="242"/>
      <c r="FDI235" s="141"/>
      <c r="FDL235" s="242"/>
      <c r="FDM235" s="141"/>
      <c r="FDP235" s="242"/>
      <c r="FDQ235" s="141"/>
      <c r="FDT235" s="242"/>
      <c r="FDU235" s="141"/>
      <c r="FDX235" s="242"/>
      <c r="FDY235" s="141"/>
      <c r="FEB235" s="242"/>
      <c r="FEC235" s="141"/>
      <c r="FEF235" s="242"/>
      <c r="FEG235" s="141"/>
      <c r="FEJ235" s="242"/>
      <c r="FEK235" s="141"/>
      <c r="FEN235" s="242"/>
      <c r="FEO235" s="141"/>
      <c r="FER235" s="242"/>
      <c r="FES235" s="141"/>
      <c r="FEV235" s="242"/>
      <c r="FEW235" s="141"/>
      <c r="FEZ235" s="242"/>
      <c r="FFA235" s="141"/>
      <c r="FFD235" s="242"/>
      <c r="FFE235" s="141"/>
      <c r="FFH235" s="242"/>
      <c r="FFI235" s="141"/>
      <c r="FFL235" s="242"/>
      <c r="FFM235" s="141"/>
      <c r="FFP235" s="242"/>
      <c r="FFQ235" s="141"/>
      <c r="FFT235" s="242"/>
      <c r="FFU235" s="141"/>
      <c r="FFX235" s="242"/>
      <c r="FFY235" s="141"/>
      <c r="FGB235" s="242"/>
      <c r="FGC235" s="141"/>
      <c r="FGF235" s="242"/>
      <c r="FGG235" s="141"/>
      <c r="FGJ235" s="242"/>
      <c r="FGK235" s="141"/>
      <c r="FGN235" s="242"/>
      <c r="FGO235" s="141"/>
      <c r="FGR235" s="242"/>
      <c r="FGS235" s="141"/>
      <c r="FGV235" s="242"/>
      <c r="FGW235" s="141"/>
      <c r="FGZ235" s="242"/>
      <c r="FHA235" s="141"/>
      <c r="FHD235" s="242"/>
      <c r="FHE235" s="141"/>
      <c r="FHH235" s="242"/>
      <c r="FHI235" s="141"/>
      <c r="FHL235" s="242"/>
      <c r="FHM235" s="141"/>
      <c r="FHP235" s="242"/>
      <c r="FHQ235" s="141"/>
      <c r="FHT235" s="242"/>
      <c r="FHU235" s="141"/>
      <c r="FHX235" s="242"/>
      <c r="FHY235" s="141"/>
      <c r="FIB235" s="242"/>
      <c r="FIC235" s="141"/>
      <c r="FIF235" s="242"/>
      <c r="FIG235" s="141"/>
      <c r="FIJ235" s="242"/>
      <c r="FIK235" s="141"/>
      <c r="FIN235" s="242"/>
      <c r="FIO235" s="141"/>
      <c r="FIR235" s="242"/>
      <c r="FIS235" s="141"/>
      <c r="FIV235" s="242"/>
      <c r="FIW235" s="141"/>
      <c r="FIZ235" s="242"/>
      <c r="FJA235" s="141"/>
      <c r="FJD235" s="242"/>
      <c r="FJE235" s="141"/>
      <c r="FJH235" s="242"/>
      <c r="FJI235" s="141"/>
      <c r="FJL235" s="242"/>
      <c r="FJM235" s="141"/>
      <c r="FJP235" s="242"/>
      <c r="FJQ235" s="141"/>
      <c r="FJT235" s="242"/>
      <c r="FJU235" s="141"/>
      <c r="FJX235" s="242"/>
      <c r="FJY235" s="141"/>
      <c r="FKB235" s="242"/>
      <c r="FKC235" s="141"/>
      <c r="FKF235" s="242"/>
      <c r="FKG235" s="141"/>
      <c r="FKJ235" s="242"/>
      <c r="FKK235" s="141"/>
      <c r="FKN235" s="242"/>
      <c r="FKO235" s="141"/>
      <c r="FKR235" s="242"/>
      <c r="FKS235" s="141"/>
      <c r="FKV235" s="242"/>
      <c r="FKW235" s="141"/>
      <c r="FKZ235" s="242"/>
      <c r="FLA235" s="141"/>
      <c r="FLD235" s="242"/>
      <c r="FLE235" s="141"/>
      <c r="FLH235" s="242"/>
      <c r="FLI235" s="141"/>
      <c r="FLL235" s="242"/>
      <c r="FLM235" s="141"/>
      <c r="FLP235" s="242"/>
      <c r="FLQ235" s="141"/>
      <c r="FLT235" s="242"/>
      <c r="FLU235" s="141"/>
      <c r="FLX235" s="242"/>
      <c r="FLY235" s="141"/>
      <c r="FMB235" s="242"/>
      <c r="FMC235" s="141"/>
      <c r="FMF235" s="242"/>
      <c r="FMG235" s="141"/>
      <c r="FMJ235" s="242"/>
      <c r="FMK235" s="141"/>
      <c r="FMN235" s="242"/>
      <c r="FMO235" s="141"/>
      <c r="FMR235" s="242"/>
      <c r="FMS235" s="141"/>
      <c r="FMV235" s="242"/>
      <c r="FMW235" s="141"/>
      <c r="FMZ235" s="242"/>
      <c r="FNA235" s="141"/>
      <c r="FND235" s="242"/>
      <c r="FNE235" s="141"/>
      <c r="FNH235" s="242"/>
      <c r="FNI235" s="141"/>
      <c r="FNL235" s="242"/>
      <c r="FNM235" s="141"/>
      <c r="FNP235" s="242"/>
      <c r="FNQ235" s="141"/>
      <c r="FNT235" s="242"/>
      <c r="FNU235" s="141"/>
      <c r="FNX235" s="242"/>
      <c r="FNY235" s="141"/>
      <c r="FOB235" s="242"/>
      <c r="FOC235" s="141"/>
      <c r="FOF235" s="242"/>
      <c r="FOG235" s="141"/>
      <c r="FOJ235" s="242"/>
      <c r="FOK235" s="141"/>
      <c r="FON235" s="242"/>
      <c r="FOO235" s="141"/>
      <c r="FOR235" s="242"/>
      <c r="FOS235" s="141"/>
      <c r="FOV235" s="242"/>
      <c r="FOW235" s="141"/>
      <c r="FOZ235" s="242"/>
      <c r="FPA235" s="141"/>
      <c r="FPD235" s="242"/>
      <c r="FPE235" s="141"/>
      <c r="FPH235" s="242"/>
      <c r="FPI235" s="141"/>
      <c r="FPL235" s="242"/>
      <c r="FPM235" s="141"/>
      <c r="FPP235" s="242"/>
      <c r="FPQ235" s="141"/>
      <c r="FPT235" s="242"/>
      <c r="FPU235" s="141"/>
      <c r="FPX235" s="242"/>
      <c r="FPY235" s="141"/>
      <c r="FQB235" s="242"/>
      <c r="FQC235" s="141"/>
      <c r="FQF235" s="242"/>
      <c r="FQG235" s="141"/>
      <c r="FQJ235" s="242"/>
      <c r="FQK235" s="141"/>
      <c r="FQN235" s="242"/>
      <c r="FQO235" s="141"/>
      <c r="FQR235" s="242"/>
      <c r="FQS235" s="141"/>
      <c r="FQV235" s="242"/>
      <c r="FQW235" s="141"/>
      <c r="FQZ235" s="242"/>
      <c r="FRA235" s="141"/>
      <c r="FRD235" s="242"/>
      <c r="FRE235" s="141"/>
      <c r="FRH235" s="242"/>
      <c r="FRI235" s="141"/>
      <c r="FRL235" s="242"/>
      <c r="FRM235" s="141"/>
      <c r="FRP235" s="242"/>
      <c r="FRQ235" s="141"/>
      <c r="FRT235" s="242"/>
      <c r="FRU235" s="141"/>
      <c r="FRX235" s="242"/>
      <c r="FRY235" s="141"/>
      <c r="FSB235" s="242"/>
      <c r="FSC235" s="141"/>
      <c r="FSF235" s="242"/>
      <c r="FSG235" s="141"/>
      <c r="FSJ235" s="242"/>
      <c r="FSK235" s="141"/>
      <c r="FSN235" s="242"/>
      <c r="FSO235" s="141"/>
      <c r="FSR235" s="242"/>
      <c r="FSS235" s="141"/>
      <c r="FSV235" s="242"/>
      <c r="FSW235" s="141"/>
      <c r="FSZ235" s="242"/>
      <c r="FTA235" s="141"/>
      <c r="FTD235" s="242"/>
      <c r="FTE235" s="141"/>
      <c r="FTH235" s="242"/>
      <c r="FTI235" s="141"/>
      <c r="FTL235" s="242"/>
      <c r="FTM235" s="141"/>
      <c r="FTP235" s="242"/>
      <c r="FTQ235" s="141"/>
      <c r="FTT235" s="242"/>
      <c r="FTU235" s="141"/>
      <c r="FTX235" s="242"/>
      <c r="FTY235" s="141"/>
      <c r="FUB235" s="242"/>
      <c r="FUC235" s="141"/>
      <c r="FUF235" s="242"/>
      <c r="FUG235" s="141"/>
      <c r="FUJ235" s="242"/>
      <c r="FUK235" s="141"/>
      <c r="FUN235" s="242"/>
      <c r="FUO235" s="141"/>
      <c r="FUR235" s="242"/>
      <c r="FUS235" s="141"/>
      <c r="FUV235" s="242"/>
      <c r="FUW235" s="141"/>
      <c r="FUZ235" s="242"/>
      <c r="FVA235" s="141"/>
      <c r="FVD235" s="242"/>
      <c r="FVE235" s="141"/>
      <c r="FVH235" s="242"/>
      <c r="FVI235" s="141"/>
      <c r="FVL235" s="242"/>
      <c r="FVM235" s="141"/>
      <c r="FVP235" s="242"/>
      <c r="FVQ235" s="141"/>
      <c r="FVT235" s="242"/>
      <c r="FVU235" s="141"/>
      <c r="FVX235" s="242"/>
      <c r="FVY235" s="141"/>
      <c r="FWB235" s="242"/>
      <c r="FWC235" s="141"/>
      <c r="FWF235" s="242"/>
      <c r="FWG235" s="141"/>
      <c r="FWJ235" s="242"/>
      <c r="FWK235" s="141"/>
      <c r="FWN235" s="242"/>
      <c r="FWO235" s="141"/>
      <c r="FWR235" s="242"/>
      <c r="FWS235" s="141"/>
      <c r="FWV235" s="242"/>
      <c r="FWW235" s="141"/>
      <c r="FWZ235" s="242"/>
      <c r="FXA235" s="141"/>
      <c r="FXD235" s="242"/>
      <c r="FXE235" s="141"/>
      <c r="FXH235" s="242"/>
      <c r="FXI235" s="141"/>
      <c r="FXL235" s="242"/>
      <c r="FXM235" s="141"/>
      <c r="FXP235" s="242"/>
      <c r="FXQ235" s="141"/>
      <c r="FXT235" s="242"/>
      <c r="FXU235" s="141"/>
      <c r="FXX235" s="242"/>
      <c r="FXY235" s="141"/>
      <c r="FYB235" s="242"/>
      <c r="FYC235" s="141"/>
      <c r="FYF235" s="242"/>
      <c r="FYG235" s="141"/>
      <c r="FYJ235" s="242"/>
      <c r="FYK235" s="141"/>
      <c r="FYN235" s="242"/>
      <c r="FYO235" s="141"/>
      <c r="FYR235" s="242"/>
      <c r="FYS235" s="141"/>
      <c r="FYV235" s="242"/>
      <c r="FYW235" s="141"/>
      <c r="FYZ235" s="242"/>
      <c r="FZA235" s="141"/>
      <c r="FZD235" s="242"/>
      <c r="FZE235" s="141"/>
      <c r="FZH235" s="242"/>
      <c r="FZI235" s="141"/>
      <c r="FZL235" s="242"/>
      <c r="FZM235" s="141"/>
      <c r="FZP235" s="242"/>
      <c r="FZQ235" s="141"/>
      <c r="FZT235" s="242"/>
      <c r="FZU235" s="141"/>
      <c r="FZX235" s="242"/>
      <c r="FZY235" s="141"/>
      <c r="GAB235" s="242"/>
      <c r="GAC235" s="141"/>
      <c r="GAF235" s="242"/>
      <c r="GAG235" s="141"/>
      <c r="GAJ235" s="242"/>
      <c r="GAK235" s="141"/>
      <c r="GAN235" s="242"/>
      <c r="GAO235" s="141"/>
      <c r="GAR235" s="242"/>
      <c r="GAS235" s="141"/>
      <c r="GAV235" s="242"/>
      <c r="GAW235" s="141"/>
      <c r="GAZ235" s="242"/>
      <c r="GBA235" s="141"/>
      <c r="GBD235" s="242"/>
      <c r="GBE235" s="141"/>
      <c r="GBH235" s="242"/>
      <c r="GBI235" s="141"/>
      <c r="GBL235" s="242"/>
      <c r="GBM235" s="141"/>
      <c r="GBP235" s="242"/>
      <c r="GBQ235" s="141"/>
      <c r="GBT235" s="242"/>
      <c r="GBU235" s="141"/>
      <c r="GBX235" s="242"/>
      <c r="GBY235" s="141"/>
      <c r="GCB235" s="242"/>
      <c r="GCC235" s="141"/>
      <c r="GCF235" s="242"/>
      <c r="GCG235" s="141"/>
      <c r="GCJ235" s="242"/>
      <c r="GCK235" s="141"/>
      <c r="GCN235" s="242"/>
      <c r="GCO235" s="141"/>
      <c r="GCR235" s="242"/>
      <c r="GCS235" s="141"/>
      <c r="GCV235" s="242"/>
      <c r="GCW235" s="141"/>
      <c r="GCZ235" s="242"/>
      <c r="GDA235" s="141"/>
      <c r="GDD235" s="242"/>
      <c r="GDE235" s="141"/>
      <c r="GDH235" s="242"/>
      <c r="GDI235" s="141"/>
      <c r="GDL235" s="242"/>
      <c r="GDM235" s="141"/>
      <c r="GDP235" s="242"/>
      <c r="GDQ235" s="141"/>
      <c r="GDT235" s="242"/>
      <c r="GDU235" s="141"/>
      <c r="GDX235" s="242"/>
      <c r="GDY235" s="141"/>
      <c r="GEB235" s="242"/>
      <c r="GEC235" s="141"/>
      <c r="GEF235" s="242"/>
      <c r="GEG235" s="141"/>
      <c r="GEJ235" s="242"/>
      <c r="GEK235" s="141"/>
      <c r="GEN235" s="242"/>
      <c r="GEO235" s="141"/>
      <c r="GER235" s="242"/>
      <c r="GES235" s="141"/>
      <c r="GEV235" s="242"/>
      <c r="GEW235" s="141"/>
      <c r="GEZ235" s="242"/>
      <c r="GFA235" s="141"/>
      <c r="GFD235" s="242"/>
      <c r="GFE235" s="141"/>
      <c r="GFH235" s="242"/>
      <c r="GFI235" s="141"/>
      <c r="GFL235" s="242"/>
      <c r="GFM235" s="141"/>
      <c r="GFP235" s="242"/>
      <c r="GFQ235" s="141"/>
      <c r="GFT235" s="242"/>
      <c r="GFU235" s="141"/>
      <c r="GFX235" s="242"/>
      <c r="GFY235" s="141"/>
      <c r="GGB235" s="242"/>
      <c r="GGC235" s="141"/>
      <c r="GGF235" s="242"/>
      <c r="GGG235" s="141"/>
      <c r="GGJ235" s="242"/>
      <c r="GGK235" s="141"/>
      <c r="GGN235" s="242"/>
      <c r="GGO235" s="141"/>
      <c r="GGR235" s="242"/>
      <c r="GGS235" s="141"/>
      <c r="GGV235" s="242"/>
      <c r="GGW235" s="141"/>
      <c r="GGZ235" s="242"/>
      <c r="GHA235" s="141"/>
      <c r="GHD235" s="242"/>
      <c r="GHE235" s="141"/>
      <c r="GHH235" s="242"/>
      <c r="GHI235" s="141"/>
      <c r="GHL235" s="242"/>
      <c r="GHM235" s="141"/>
      <c r="GHP235" s="242"/>
      <c r="GHQ235" s="141"/>
      <c r="GHT235" s="242"/>
      <c r="GHU235" s="141"/>
      <c r="GHX235" s="242"/>
      <c r="GHY235" s="141"/>
      <c r="GIB235" s="242"/>
      <c r="GIC235" s="141"/>
      <c r="GIF235" s="242"/>
      <c r="GIG235" s="141"/>
      <c r="GIJ235" s="242"/>
      <c r="GIK235" s="141"/>
      <c r="GIN235" s="242"/>
      <c r="GIO235" s="141"/>
      <c r="GIR235" s="242"/>
      <c r="GIS235" s="141"/>
      <c r="GIV235" s="242"/>
      <c r="GIW235" s="141"/>
      <c r="GIZ235" s="242"/>
      <c r="GJA235" s="141"/>
      <c r="GJD235" s="242"/>
      <c r="GJE235" s="141"/>
      <c r="GJH235" s="242"/>
      <c r="GJI235" s="141"/>
      <c r="GJL235" s="242"/>
      <c r="GJM235" s="141"/>
      <c r="GJP235" s="242"/>
      <c r="GJQ235" s="141"/>
      <c r="GJT235" s="242"/>
      <c r="GJU235" s="141"/>
      <c r="GJX235" s="242"/>
      <c r="GJY235" s="141"/>
      <c r="GKB235" s="242"/>
      <c r="GKC235" s="141"/>
      <c r="GKF235" s="242"/>
      <c r="GKG235" s="141"/>
      <c r="GKJ235" s="242"/>
      <c r="GKK235" s="141"/>
      <c r="GKN235" s="242"/>
      <c r="GKO235" s="141"/>
      <c r="GKR235" s="242"/>
      <c r="GKS235" s="141"/>
      <c r="GKV235" s="242"/>
      <c r="GKW235" s="141"/>
      <c r="GKZ235" s="242"/>
      <c r="GLA235" s="141"/>
      <c r="GLD235" s="242"/>
      <c r="GLE235" s="141"/>
      <c r="GLH235" s="242"/>
      <c r="GLI235" s="141"/>
      <c r="GLL235" s="242"/>
      <c r="GLM235" s="141"/>
      <c r="GLP235" s="242"/>
      <c r="GLQ235" s="141"/>
      <c r="GLT235" s="242"/>
      <c r="GLU235" s="141"/>
      <c r="GLX235" s="242"/>
      <c r="GLY235" s="141"/>
      <c r="GMB235" s="242"/>
      <c r="GMC235" s="141"/>
      <c r="GMF235" s="242"/>
      <c r="GMG235" s="141"/>
      <c r="GMJ235" s="242"/>
      <c r="GMK235" s="141"/>
      <c r="GMN235" s="242"/>
      <c r="GMO235" s="141"/>
      <c r="GMR235" s="242"/>
      <c r="GMS235" s="141"/>
      <c r="GMV235" s="242"/>
      <c r="GMW235" s="141"/>
      <c r="GMZ235" s="242"/>
      <c r="GNA235" s="141"/>
      <c r="GND235" s="242"/>
      <c r="GNE235" s="141"/>
      <c r="GNH235" s="242"/>
      <c r="GNI235" s="141"/>
      <c r="GNL235" s="242"/>
      <c r="GNM235" s="141"/>
      <c r="GNP235" s="242"/>
      <c r="GNQ235" s="141"/>
      <c r="GNT235" s="242"/>
      <c r="GNU235" s="141"/>
      <c r="GNX235" s="242"/>
      <c r="GNY235" s="141"/>
      <c r="GOB235" s="242"/>
      <c r="GOC235" s="141"/>
      <c r="GOF235" s="242"/>
      <c r="GOG235" s="141"/>
      <c r="GOJ235" s="242"/>
      <c r="GOK235" s="141"/>
      <c r="GON235" s="242"/>
      <c r="GOO235" s="141"/>
      <c r="GOR235" s="242"/>
      <c r="GOS235" s="141"/>
      <c r="GOV235" s="242"/>
      <c r="GOW235" s="141"/>
      <c r="GOZ235" s="242"/>
      <c r="GPA235" s="141"/>
      <c r="GPD235" s="242"/>
      <c r="GPE235" s="141"/>
      <c r="GPH235" s="242"/>
      <c r="GPI235" s="141"/>
      <c r="GPL235" s="242"/>
      <c r="GPM235" s="141"/>
      <c r="GPP235" s="242"/>
      <c r="GPQ235" s="141"/>
      <c r="GPT235" s="242"/>
      <c r="GPU235" s="141"/>
      <c r="GPX235" s="242"/>
      <c r="GPY235" s="141"/>
      <c r="GQB235" s="242"/>
      <c r="GQC235" s="141"/>
      <c r="GQF235" s="242"/>
      <c r="GQG235" s="141"/>
      <c r="GQJ235" s="242"/>
      <c r="GQK235" s="141"/>
      <c r="GQN235" s="242"/>
      <c r="GQO235" s="141"/>
      <c r="GQR235" s="242"/>
      <c r="GQS235" s="141"/>
      <c r="GQV235" s="242"/>
      <c r="GQW235" s="141"/>
      <c r="GQZ235" s="242"/>
      <c r="GRA235" s="141"/>
      <c r="GRD235" s="242"/>
      <c r="GRE235" s="141"/>
      <c r="GRH235" s="242"/>
      <c r="GRI235" s="141"/>
      <c r="GRL235" s="242"/>
      <c r="GRM235" s="141"/>
      <c r="GRP235" s="242"/>
      <c r="GRQ235" s="141"/>
      <c r="GRT235" s="242"/>
      <c r="GRU235" s="141"/>
      <c r="GRX235" s="242"/>
      <c r="GRY235" s="141"/>
      <c r="GSB235" s="242"/>
      <c r="GSC235" s="141"/>
      <c r="GSF235" s="242"/>
      <c r="GSG235" s="141"/>
      <c r="GSJ235" s="242"/>
      <c r="GSK235" s="141"/>
      <c r="GSN235" s="242"/>
      <c r="GSO235" s="141"/>
      <c r="GSR235" s="242"/>
      <c r="GSS235" s="141"/>
      <c r="GSV235" s="242"/>
      <c r="GSW235" s="141"/>
      <c r="GSZ235" s="242"/>
      <c r="GTA235" s="141"/>
      <c r="GTD235" s="242"/>
      <c r="GTE235" s="141"/>
      <c r="GTH235" s="242"/>
      <c r="GTI235" s="141"/>
      <c r="GTL235" s="242"/>
      <c r="GTM235" s="141"/>
      <c r="GTP235" s="242"/>
      <c r="GTQ235" s="141"/>
      <c r="GTT235" s="242"/>
      <c r="GTU235" s="141"/>
      <c r="GTX235" s="242"/>
      <c r="GTY235" s="141"/>
      <c r="GUB235" s="242"/>
      <c r="GUC235" s="141"/>
      <c r="GUF235" s="242"/>
      <c r="GUG235" s="141"/>
      <c r="GUJ235" s="242"/>
      <c r="GUK235" s="141"/>
      <c r="GUN235" s="242"/>
      <c r="GUO235" s="141"/>
      <c r="GUR235" s="242"/>
      <c r="GUS235" s="141"/>
      <c r="GUV235" s="242"/>
      <c r="GUW235" s="141"/>
      <c r="GUZ235" s="242"/>
      <c r="GVA235" s="141"/>
      <c r="GVD235" s="242"/>
      <c r="GVE235" s="141"/>
      <c r="GVH235" s="242"/>
      <c r="GVI235" s="141"/>
      <c r="GVL235" s="242"/>
      <c r="GVM235" s="141"/>
      <c r="GVP235" s="242"/>
      <c r="GVQ235" s="141"/>
      <c r="GVT235" s="242"/>
      <c r="GVU235" s="141"/>
      <c r="GVX235" s="242"/>
      <c r="GVY235" s="141"/>
      <c r="GWB235" s="242"/>
      <c r="GWC235" s="141"/>
      <c r="GWF235" s="242"/>
      <c r="GWG235" s="141"/>
      <c r="GWJ235" s="242"/>
      <c r="GWK235" s="141"/>
      <c r="GWN235" s="242"/>
      <c r="GWO235" s="141"/>
      <c r="GWR235" s="242"/>
      <c r="GWS235" s="141"/>
      <c r="GWV235" s="242"/>
      <c r="GWW235" s="141"/>
      <c r="GWZ235" s="242"/>
      <c r="GXA235" s="141"/>
      <c r="GXD235" s="242"/>
      <c r="GXE235" s="141"/>
      <c r="GXH235" s="242"/>
      <c r="GXI235" s="141"/>
      <c r="GXL235" s="242"/>
      <c r="GXM235" s="141"/>
      <c r="GXP235" s="242"/>
      <c r="GXQ235" s="141"/>
      <c r="GXT235" s="242"/>
      <c r="GXU235" s="141"/>
      <c r="GXX235" s="242"/>
      <c r="GXY235" s="141"/>
      <c r="GYB235" s="242"/>
      <c r="GYC235" s="141"/>
      <c r="GYF235" s="242"/>
      <c r="GYG235" s="141"/>
      <c r="GYJ235" s="242"/>
      <c r="GYK235" s="141"/>
      <c r="GYN235" s="242"/>
      <c r="GYO235" s="141"/>
      <c r="GYR235" s="242"/>
      <c r="GYS235" s="141"/>
      <c r="GYV235" s="242"/>
      <c r="GYW235" s="141"/>
      <c r="GYZ235" s="242"/>
      <c r="GZA235" s="141"/>
      <c r="GZD235" s="242"/>
      <c r="GZE235" s="141"/>
      <c r="GZH235" s="242"/>
      <c r="GZI235" s="141"/>
      <c r="GZL235" s="242"/>
      <c r="GZM235" s="141"/>
      <c r="GZP235" s="242"/>
      <c r="GZQ235" s="141"/>
      <c r="GZT235" s="242"/>
      <c r="GZU235" s="141"/>
      <c r="GZX235" s="242"/>
      <c r="GZY235" s="141"/>
      <c r="HAB235" s="242"/>
      <c r="HAC235" s="141"/>
      <c r="HAF235" s="242"/>
      <c r="HAG235" s="141"/>
      <c r="HAJ235" s="242"/>
      <c r="HAK235" s="141"/>
      <c r="HAN235" s="242"/>
      <c r="HAO235" s="141"/>
      <c r="HAR235" s="242"/>
      <c r="HAS235" s="141"/>
      <c r="HAV235" s="242"/>
      <c r="HAW235" s="141"/>
      <c r="HAZ235" s="242"/>
      <c r="HBA235" s="141"/>
      <c r="HBD235" s="242"/>
      <c r="HBE235" s="141"/>
      <c r="HBH235" s="242"/>
      <c r="HBI235" s="141"/>
      <c r="HBL235" s="242"/>
      <c r="HBM235" s="141"/>
      <c r="HBP235" s="242"/>
      <c r="HBQ235" s="141"/>
      <c r="HBT235" s="242"/>
      <c r="HBU235" s="141"/>
      <c r="HBX235" s="242"/>
      <c r="HBY235" s="141"/>
      <c r="HCB235" s="242"/>
      <c r="HCC235" s="141"/>
      <c r="HCF235" s="242"/>
      <c r="HCG235" s="141"/>
      <c r="HCJ235" s="242"/>
      <c r="HCK235" s="141"/>
      <c r="HCN235" s="242"/>
      <c r="HCO235" s="141"/>
      <c r="HCR235" s="242"/>
      <c r="HCS235" s="141"/>
      <c r="HCV235" s="242"/>
      <c r="HCW235" s="141"/>
      <c r="HCZ235" s="242"/>
      <c r="HDA235" s="141"/>
      <c r="HDD235" s="242"/>
      <c r="HDE235" s="141"/>
      <c r="HDH235" s="242"/>
      <c r="HDI235" s="141"/>
      <c r="HDL235" s="242"/>
      <c r="HDM235" s="141"/>
      <c r="HDP235" s="242"/>
      <c r="HDQ235" s="141"/>
      <c r="HDT235" s="242"/>
      <c r="HDU235" s="141"/>
      <c r="HDX235" s="242"/>
      <c r="HDY235" s="141"/>
      <c r="HEB235" s="242"/>
      <c r="HEC235" s="141"/>
      <c r="HEF235" s="242"/>
      <c r="HEG235" s="141"/>
      <c r="HEJ235" s="242"/>
      <c r="HEK235" s="141"/>
      <c r="HEN235" s="242"/>
      <c r="HEO235" s="141"/>
      <c r="HER235" s="242"/>
      <c r="HES235" s="141"/>
      <c r="HEV235" s="242"/>
      <c r="HEW235" s="141"/>
      <c r="HEZ235" s="242"/>
      <c r="HFA235" s="141"/>
      <c r="HFD235" s="242"/>
      <c r="HFE235" s="141"/>
      <c r="HFH235" s="242"/>
      <c r="HFI235" s="141"/>
      <c r="HFL235" s="242"/>
      <c r="HFM235" s="141"/>
      <c r="HFP235" s="242"/>
      <c r="HFQ235" s="141"/>
      <c r="HFT235" s="242"/>
      <c r="HFU235" s="141"/>
      <c r="HFX235" s="242"/>
      <c r="HFY235" s="141"/>
      <c r="HGB235" s="242"/>
      <c r="HGC235" s="141"/>
      <c r="HGF235" s="242"/>
      <c r="HGG235" s="141"/>
      <c r="HGJ235" s="242"/>
      <c r="HGK235" s="141"/>
      <c r="HGN235" s="242"/>
      <c r="HGO235" s="141"/>
      <c r="HGR235" s="242"/>
      <c r="HGS235" s="141"/>
      <c r="HGV235" s="242"/>
      <c r="HGW235" s="141"/>
      <c r="HGZ235" s="242"/>
      <c r="HHA235" s="141"/>
      <c r="HHD235" s="242"/>
      <c r="HHE235" s="141"/>
      <c r="HHH235" s="242"/>
      <c r="HHI235" s="141"/>
      <c r="HHL235" s="242"/>
      <c r="HHM235" s="141"/>
      <c r="HHP235" s="242"/>
      <c r="HHQ235" s="141"/>
      <c r="HHT235" s="242"/>
      <c r="HHU235" s="141"/>
      <c r="HHX235" s="242"/>
      <c r="HHY235" s="141"/>
      <c r="HIB235" s="242"/>
      <c r="HIC235" s="141"/>
      <c r="HIF235" s="242"/>
      <c r="HIG235" s="141"/>
      <c r="HIJ235" s="242"/>
      <c r="HIK235" s="141"/>
      <c r="HIN235" s="242"/>
      <c r="HIO235" s="141"/>
      <c r="HIR235" s="242"/>
      <c r="HIS235" s="141"/>
      <c r="HIV235" s="242"/>
      <c r="HIW235" s="141"/>
      <c r="HIZ235" s="242"/>
      <c r="HJA235" s="141"/>
      <c r="HJD235" s="242"/>
      <c r="HJE235" s="141"/>
      <c r="HJH235" s="242"/>
      <c r="HJI235" s="141"/>
      <c r="HJL235" s="242"/>
      <c r="HJM235" s="141"/>
      <c r="HJP235" s="242"/>
      <c r="HJQ235" s="141"/>
      <c r="HJT235" s="242"/>
      <c r="HJU235" s="141"/>
      <c r="HJX235" s="242"/>
      <c r="HJY235" s="141"/>
      <c r="HKB235" s="242"/>
      <c r="HKC235" s="141"/>
      <c r="HKF235" s="242"/>
      <c r="HKG235" s="141"/>
      <c r="HKJ235" s="242"/>
      <c r="HKK235" s="141"/>
      <c r="HKN235" s="242"/>
      <c r="HKO235" s="141"/>
      <c r="HKR235" s="242"/>
      <c r="HKS235" s="141"/>
      <c r="HKV235" s="242"/>
      <c r="HKW235" s="141"/>
      <c r="HKZ235" s="242"/>
      <c r="HLA235" s="141"/>
      <c r="HLD235" s="242"/>
      <c r="HLE235" s="141"/>
      <c r="HLH235" s="242"/>
      <c r="HLI235" s="141"/>
      <c r="HLL235" s="242"/>
      <c r="HLM235" s="141"/>
      <c r="HLP235" s="242"/>
      <c r="HLQ235" s="141"/>
      <c r="HLT235" s="242"/>
      <c r="HLU235" s="141"/>
      <c r="HLX235" s="242"/>
      <c r="HLY235" s="141"/>
      <c r="HMB235" s="242"/>
      <c r="HMC235" s="141"/>
      <c r="HMF235" s="242"/>
      <c r="HMG235" s="141"/>
      <c r="HMJ235" s="242"/>
      <c r="HMK235" s="141"/>
      <c r="HMN235" s="242"/>
      <c r="HMO235" s="141"/>
      <c r="HMR235" s="242"/>
      <c r="HMS235" s="141"/>
      <c r="HMV235" s="242"/>
      <c r="HMW235" s="141"/>
      <c r="HMZ235" s="242"/>
      <c r="HNA235" s="141"/>
      <c r="HND235" s="242"/>
      <c r="HNE235" s="141"/>
      <c r="HNH235" s="242"/>
      <c r="HNI235" s="141"/>
      <c r="HNL235" s="242"/>
      <c r="HNM235" s="141"/>
      <c r="HNP235" s="242"/>
      <c r="HNQ235" s="141"/>
      <c r="HNT235" s="242"/>
      <c r="HNU235" s="141"/>
      <c r="HNX235" s="242"/>
      <c r="HNY235" s="141"/>
      <c r="HOB235" s="242"/>
      <c r="HOC235" s="141"/>
      <c r="HOF235" s="242"/>
      <c r="HOG235" s="141"/>
      <c r="HOJ235" s="242"/>
      <c r="HOK235" s="141"/>
      <c r="HON235" s="242"/>
      <c r="HOO235" s="141"/>
      <c r="HOR235" s="242"/>
      <c r="HOS235" s="141"/>
      <c r="HOV235" s="242"/>
      <c r="HOW235" s="141"/>
      <c r="HOZ235" s="242"/>
      <c r="HPA235" s="141"/>
      <c r="HPD235" s="242"/>
      <c r="HPE235" s="141"/>
      <c r="HPH235" s="242"/>
      <c r="HPI235" s="141"/>
      <c r="HPL235" s="242"/>
      <c r="HPM235" s="141"/>
      <c r="HPP235" s="242"/>
      <c r="HPQ235" s="141"/>
      <c r="HPT235" s="242"/>
      <c r="HPU235" s="141"/>
      <c r="HPX235" s="242"/>
      <c r="HPY235" s="141"/>
      <c r="HQB235" s="242"/>
      <c r="HQC235" s="141"/>
      <c r="HQF235" s="242"/>
      <c r="HQG235" s="141"/>
      <c r="HQJ235" s="242"/>
      <c r="HQK235" s="141"/>
      <c r="HQN235" s="242"/>
      <c r="HQO235" s="141"/>
      <c r="HQR235" s="242"/>
      <c r="HQS235" s="141"/>
      <c r="HQV235" s="242"/>
      <c r="HQW235" s="141"/>
      <c r="HQZ235" s="242"/>
      <c r="HRA235" s="141"/>
      <c r="HRD235" s="242"/>
      <c r="HRE235" s="141"/>
      <c r="HRH235" s="242"/>
      <c r="HRI235" s="141"/>
      <c r="HRL235" s="242"/>
      <c r="HRM235" s="141"/>
      <c r="HRP235" s="242"/>
      <c r="HRQ235" s="141"/>
      <c r="HRT235" s="242"/>
      <c r="HRU235" s="141"/>
      <c r="HRX235" s="242"/>
      <c r="HRY235" s="141"/>
      <c r="HSB235" s="242"/>
      <c r="HSC235" s="141"/>
      <c r="HSF235" s="242"/>
      <c r="HSG235" s="141"/>
      <c r="HSJ235" s="242"/>
      <c r="HSK235" s="141"/>
      <c r="HSN235" s="242"/>
      <c r="HSO235" s="141"/>
      <c r="HSR235" s="242"/>
      <c r="HSS235" s="141"/>
      <c r="HSV235" s="242"/>
      <c r="HSW235" s="141"/>
      <c r="HSZ235" s="242"/>
      <c r="HTA235" s="141"/>
      <c r="HTD235" s="242"/>
      <c r="HTE235" s="141"/>
      <c r="HTH235" s="242"/>
      <c r="HTI235" s="141"/>
      <c r="HTL235" s="242"/>
      <c r="HTM235" s="141"/>
      <c r="HTP235" s="242"/>
      <c r="HTQ235" s="141"/>
      <c r="HTT235" s="242"/>
      <c r="HTU235" s="141"/>
      <c r="HTX235" s="242"/>
      <c r="HTY235" s="141"/>
      <c r="HUB235" s="242"/>
      <c r="HUC235" s="141"/>
      <c r="HUF235" s="242"/>
      <c r="HUG235" s="141"/>
      <c r="HUJ235" s="242"/>
      <c r="HUK235" s="141"/>
      <c r="HUN235" s="242"/>
      <c r="HUO235" s="141"/>
      <c r="HUR235" s="242"/>
      <c r="HUS235" s="141"/>
      <c r="HUV235" s="242"/>
      <c r="HUW235" s="141"/>
      <c r="HUZ235" s="242"/>
      <c r="HVA235" s="141"/>
      <c r="HVD235" s="242"/>
      <c r="HVE235" s="141"/>
      <c r="HVH235" s="242"/>
      <c r="HVI235" s="141"/>
      <c r="HVL235" s="242"/>
      <c r="HVM235" s="141"/>
      <c r="HVP235" s="242"/>
      <c r="HVQ235" s="141"/>
      <c r="HVT235" s="242"/>
      <c r="HVU235" s="141"/>
      <c r="HVX235" s="242"/>
      <c r="HVY235" s="141"/>
      <c r="HWB235" s="242"/>
      <c r="HWC235" s="141"/>
      <c r="HWF235" s="242"/>
      <c r="HWG235" s="141"/>
      <c r="HWJ235" s="242"/>
      <c r="HWK235" s="141"/>
      <c r="HWN235" s="242"/>
      <c r="HWO235" s="141"/>
      <c r="HWR235" s="242"/>
      <c r="HWS235" s="141"/>
      <c r="HWV235" s="242"/>
      <c r="HWW235" s="141"/>
      <c r="HWZ235" s="242"/>
      <c r="HXA235" s="141"/>
      <c r="HXD235" s="242"/>
      <c r="HXE235" s="141"/>
      <c r="HXH235" s="242"/>
      <c r="HXI235" s="141"/>
      <c r="HXL235" s="242"/>
      <c r="HXM235" s="141"/>
      <c r="HXP235" s="242"/>
      <c r="HXQ235" s="141"/>
      <c r="HXT235" s="242"/>
      <c r="HXU235" s="141"/>
      <c r="HXX235" s="242"/>
      <c r="HXY235" s="141"/>
      <c r="HYB235" s="242"/>
      <c r="HYC235" s="141"/>
      <c r="HYF235" s="242"/>
      <c r="HYG235" s="141"/>
      <c r="HYJ235" s="242"/>
      <c r="HYK235" s="141"/>
      <c r="HYN235" s="242"/>
      <c r="HYO235" s="141"/>
      <c r="HYR235" s="242"/>
      <c r="HYS235" s="141"/>
      <c r="HYV235" s="242"/>
      <c r="HYW235" s="141"/>
      <c r="HYZ235" s="242"/>
      <c r="HZA235" s="141"/>
      <c r="HZD235" s="242"/>
      <c r="HZE235" s="141"/>
      <c r="HZH235" s="242"/>
      <c r="HZI235" s="141"/>
      <c r="HZL235" s="242"/>
      <c r="HZM235" s="141"/>
      <c r="HZP235" s="242"/>
      <c r="HZQ235" s="141"/>
      <c r="HZT235" s="242"/>
      <c r="HZU235" s="141"/>
      <c r="HZX235" s="242"/>
      <c r="HZY235" s="141"/>
      <c r="IAB235" s="242"/>
      <c r="IAC235" s="141"/>
      <c r="IAF235" s="242"/>
      <c r="IAG235" s="141"/>
      <c r="IAJ235" s="242"/>
      <c r="IAK235" s="141"/>
      <c r="IAN235" s="242"/>
      <c r="IAO235" s="141"/>
      <c r="IAR235" s="242"/>
      <c r="IAS235" s="141"/>
      <c r="IAV235" s="242"/>
      <c r="IAW235" s="141"/>
      <c r="IAZ235" s="242"/>
      <c r="IBA235" s="141"/>
      <c r="IBD235" s="242"/>
      <c r="IBE235" s="141"/>
      <c r="IBH235" s="242"/>
      <c r="IBI235" s="141"/>
      <c r="IBL235" s="242"/>
      <c r="IBM235" s="141"/>
      <c r="IBP235" s="242"/>
      <c r="IBQ235" s="141"/>
      <c r="IBT235" s="242"/>
      <c r="IBU235" s="141"/>
      <c r="IBX235" s="242"/>
      <c r="IBY235" s="141"/>
      <c r="ICB235" s="242"/>
      <c r="ICC235" s="141"/>
      <c r="ICF235" s="242"/>
      <c r="ICG235" s="141"/>
      <c r="ICJ235" s="242"/>
      <c r="ICK235" s="141"/>
      <c r="ICN235" s="242"/>
      <c r="ICO235" s="141"/>
      <c r="ICR235" s="242"/>
      <c r="ICS235" s="141"/>
      <c r="ICV235" s="242"/>
      <c r="ICW235" s="141"/>
      <c r="ICZ235" s="242"/>
      <c r="IDA235" s="141"/>
      <c r="IDD235" s="242"/>
      <c r="IDE235" s="141"/>
      <c r="IDH235" s="242"/>
      <c r="IDI235" s="141"/>
      <c r="IDL235" s="242"/>
      <c r="IDM235" s="141"/>
      <c r="IDP235" s="242"/>
      <c r="IDQ235" s="141"/>
      <c r="IDT235" s="242"/>
      <c r="IDU235" s="141"/>
      <c r="IDX235" s="242"/>
      <c r="IDY235" s="141"/>
      <c r="IEB235" s="242"/>
      <c r="IEC235" s="141"/>
      <c r="IEF235" s="242"/>
      <c r="IEG235" s="141"/>
      <c r="IEJ235" s="242"/>
      <c r="IEK235" s="141"/>
      <c r="IEN235" s="242"/>
      <c r="IEO235" s="141"/>
      <c r="IER235" s="242"/>
      <c r="IES235" s="141"/>
      <c r="IEV235" s="242"/>
      <c r="IEW235" s="141"/>
      <c r="IEZ235" s="242"/>
      <c r="IFA235" s="141"/>
      <c r="IFD235" s="242"/>
      <c r="IFE235" s="141"/>
      <c r="IFH235" s="242"/>
      <c r="IFI235" s="141"/>
      <c r="IFL235" s="242"/>
      <c r="IFM235" s="141"/>
      <c r="IFP235" s="242"/>
      <c r="IFQ235" s="141"/>
      <c r="IFT235" s="242"/>
      <c r="IFU235" s="141"/>
      <c r="IFX235" s="242"/>
      <c r="IFY235" s="141"/>
      <c r="IGB235" s="242"/>
      <c r="IGC235" s="141"/>
      <c r="IGF235" s="242"/>
      <c r="IGG235" s="141"/>
      <c r="IGJ235" s="242"/>
      <c r="IGK235" s="141"/>
      <c r="IGN235" s="242"/>
      <c r="IGO235" s="141"/>
      <c r="IGR235" s="242"/>
      <c r="IGS235" s="141"/>
      <c r="IGV235" s="242"/>
      <c r="IGW235" s="141"/>
      <c r="IGZ235" s="242"/>
      <c r="IHA235" s="141"/>
      <c r="IHD235" s="242"/>
      <c r="IHE235" s="141"/>
      <c r="IHH235" s="242"/>
      <c r="IHI235" s="141"/>
      <c r="IHL235" s="242"/>
      <c r="IHM235" s="141"/>
      <c r="IHP235" s="242"/>
      <c r="IHQ235" s="141"/>
      <c r="IHT235" s="242"/>
      <c r="IHU235" s="141"/>
      <c r="IHX235" s="242"/>
      <c r="IHY235" s="141"/>
      <c r="IIB235" s="242"/>
      <c r="IIC235" s="141"/>
      <c r="IIF235" s="242"/>
      <c r="IIG235" s="141"/>
      <c r="IIJ235" s="242"/>
      <c r="IIK235" s="141"/>
      <c r="IIN235" s="242"/>
      <c r="IIO235" s="141"/>
      <c r="IIR235" s="242"/>
      <c r="IIS235" s="141"/>
      <c r="IIV235" s="242"/>
      <c r="IIW235" s="141"/>
      <c r="IIZ235" s="242"/>
      <c r="IJA235" s="141"/>
      <c r="IJD235" s="242"/>
      <c r="IJE235" s="141"/>
      <c r="IJH235" s="242"/>
      <c r="IJI235" s="141"/>
      <c r="IJL235" s="242"/>
      <c r="IJM235" s="141"/>
      <c r="IJP235" s="242"/>
      <c r="IJQ235" s="141"/>
      <c r="IJT235" s="242"/>
      <c r="IJU235" s="141"/>
      <c r="IJX235" s="242"/>
      <c r="IJY235" s="141"/>
      <c r="IKB235" s="242"/>
      <c r="IKC235" s="141"/>
      <c r="IKF235" s="242"/>
      <c r="IKG235" s="141"/>
      <c r="IKJ235" s="242"/>
      <c r="IKK235" s="141"/>
      <c r="IKN235" s="242"/>
      <c r="IKO235" s="141"/>
      <c r="IKR235" s="242"/>
      <c r="IKS235" s="141"/>
      <c r="IKV235" s="242"/>
      <c r="IKW235" s="141"/>
      <c r="IKZ235" s="242"/>
      <c r="ILA235" s="141"/>
      <c r="ILD235" s="242"/>
      <c r="ILE235" s="141"/>
      <c r="ILH235" s="242"/>
      <c r="ILI235" s="141"/>
      <c r="ILL235" s="242"/>
      <c r="ILM235" s="141"/>
      <c r="ILP235" s="242"/>
      <c r="ILQ235" s="141"/>
      <c r="ILT235" s="242"/>
      <c r="ILU235" s="141"/>
      <c r="ILX235" s="242"/>
      <c r="ILY235" s="141"/>
      <c r="IMB235" s="242"/>
      <c r="IMC235" s="141"/>
      <c r="IMF235" s="242"/>
      <c r="IMG235" s="141"/>
      <c r="IMJ235" s="242"/>
      <c r="IMK235" s="141"/>
      <c r="IMN235" s="242"/>
      <c r="IMO235" s="141"/>
      <c r="IMR235" s="242"/>
      <c r="IMS235" s="141"/>
      <c r="IMV235" s="242"/>
      <c r="IMW235" s="141"/>
      <c r="IMZ235" s="242"/>
      <c r="INA235" s="141"/>
      <c r="IND235" s="242"/>
      <c r="INE235" s="141"/>
      <c r="INH235" s="242"/>
      <c r="INI235" s="141"/>
      <c r="INL235" s="242"/>
      <c r="INM235" s="141"/>
      <c r="INP235" s="242"/>
      <c r="INQ235" s="141"/>
      <c r="INT235" s="242"/>
      <c r="INU235" s="141"/>
      <c r="INX235" s="242"/>
      <c r="INY235" s="141"/>
      <c r="IOB235" s="242"/>
      <c r="IOC235" s="141"/>
      <c r="IOF235" s="242"/>
      <c r="IOG235" s="141"/>
      <c r="IOJ235" s="242"/>
      <c r="IOK235" s="141"/>
      <c r="ION235" s="242"/>
      <c r="IOO235" s="141"/>
      <c r="IOR235" s="242"/>
      <c r="IOS235" s="141"/>
      <c r="IOV235" s="242"/>
      <c r="IOW235" s="141"/>
      <c r="IOZ235" s="242"/>
      <c r="IPA235" s="141"/>
      <c r="IPD235" s="242"/>
      <c r="IPE235" s="141"/>
      <c r="IPH235" s="242"/>
      <c r="IPI235" s="141"/>
      <c r="IPL235" s="242"/>
      <c r="IPM235" s="141"/>
      <c r="IPP235" s="242"/>
      <c r="IPQ235" s="141"/>
      <c r="IPT235" s="242"/>
      <c r="IPU235" s="141"/>
      <c r="IPX235" s="242"/>
      <c r="IPY235" s="141"/>
      <c r="IQB235" s="242"/>
      <c r="IQC235" s="141"/>
      <c r="IQF235" s="242"/>
      <c r="IQG235" s="141"/>
      <c r="IQJ235" s="242"/>
      <c r="IQK235" s="141"/>
      <c r="IQN235" s="242"/>
      <c r="IQO235" s="141"/>
      <c r="IQR235" s="242"/>
      <c r="IQS235" s="141"/>
      <c r="IQV235" s="242"/>
      <c r="IQW235" s="141"/>
      <c r="IQZ235" s="242"/>
      <c r="IRA235" s="141"/>
      <c r="IRD235" s="242"/>
      <c r="IRE235" s="141"/>
      <c r="IRH235" s="242"/>
      <c r="IRI235" s="141"/>
      <c r="IRL235" s="242"/>
      <c r="IRM235" s="141"/>
      <c r="IRP235" s="242"/>
      <c r="IRQ235" s="141"/>
      <c r="IRT235" s="242"/>
      <c r="IRU235" s="141"/>
      <c r="IRX235" s="242"/>
      <c r="IRY235" s="141"/>
      <c r="ISB235" s="242"/>
      <c r="ISC235" s="141"/>
      <c r="ISF235" s="242"/>
      <c r="ISG235" s="141"/>
      <c r="ISJ235" s="242"/>
      <c r="ISK235" s="141"/>
      <c r="ISN235" s="242"/>
      <c r="ISO235" s="141"/>
      <c r="ISR235" s="242"/>
      <c r="ISS235" s="141"/>
      <c r="ISV235" s="242"/>
      <c r="ISW235" s="141"/>
      <c r="ISZ235" s="242"/>
      <c r="ITA235" s="141"/>
      <c r="ITD235" s="242"/>
      <c r="ITE235" s="141"/>
      <c r="ITH235" s="242"/>
      <c r="ITI235" s="141"/>
      <c r="ITL235" s="242"/>
      <c r="ITM235" s="141"/>
      <c r="ITP235" s="242"/>
      <c r="ITQ235" s="141"/>
      <c r="ITT235" s="242"/>
      <c r="ITU235" s="141"/>
      <c r="ITX235" s="242"/>
      <c r="ITY235" s="141"/>
      <c r="IUB235" s="242"/>
      <c r="IUC235" s="141"/>
      <c r="IUF235" s="242"/>
      <c r="IUG235" s="141"/>
      <c r="IUJ235" s="242"/>
      <c r="IUK235" s="141"/>
      <c r="IUN235" s="242"/>
      <c r="IUO235" s="141"/>
      <c r="IUR235" s="242"/>
      <c r="IUS235" s="141"/>
      <c r="IUV235" s="242"/>
      <c r="IUW235" s="141"/>
      <c r="IUZ235" s="242"/>
      <c r="IVA235" s="141"/>
      <c r="IVD235" s="242"/>
      <c r="IVE235" s="141"/>
      <c r="IVH235" s="242"/>
      <c r="IVI235" s="141"/>
      <c r="IVL235" s="242"/>
      <c r="IVM235" s="141"/>
      <c r="IVP235" s="242"/>
      <c r="IVQ235" s="141"/>
      <c r="IVT235" s="242"/>
      <c r="IVU235" s="141"/>
      <c r="IVX235" s="242"/>
      <c r="IVY235" s="141"/>
      <c r="IWB235" s="242"/>
      <c r="IWC235" s="141"/>
      <c r="IWF235" s="242"/>
      <c r="IWG235" s="141"/>
      <c r="IWJ235" s="242"/>
      <c r="IWK235" s="141"/>
      <c r="IWN235" s="242"/>
      <c r="IWO235" s="141"/>
      <c r="IWR235" s="242"/>
      <c r="IWS235" s="141"/>
      <c r="IWV235" s="242"/>
      <c r="IWW235" s="141"/>
      <c r="IWZ235" s="242"/>
      <c r="IXA235" s="141"/>
      <c r="IXD235" s="242"/>
      <c r="IXE235" s="141"/>
      <c r="IXH235" s="242"/>
      <c r="IXI235" s="141"/>
      <c r="IXL235" s="242"/>
      <c r="IXM235" s="141"/>
      <c r="IXP235" s="242"/>
      <c r="IXQ235" s="141"/>
      <c r="IXT235" s="242"/>
      <c r="IXU235" s="141"/>
      <c r="IXX235" s="242"/>
      <c r="IXY235" s="141"/>
      <c r="IYB235" s="242"/>
      <c r="IYC235" s="141"/>
      <c r="IYF235" s="242"/>
      <c r="IYG235" s="141"/>
      <c r="IYJ235" s="242"/>
      <c r="IYK235" s="141"/>
      <c r="IYN235" s="242"/>
      <c r="IYO235" s="141"/>
      <c r="IYR235" s="242"/>
      <c r="IYS235" s="141"/>
      <c r="IYV235" s="242"/>
      <c r="IYW235" s="141"/>
      <c r="IYZ235" s="242"/>
      <c r="IZA235" s="141"/>
      <c r="IZD235" s="242"/>
      <c r="IZE235" s="141"/>
      <c r="IZH235" s="242"/>
      <c r="IZI235" s="141"/>
      <c r="IZL235" s="242"/>
      <c r="IZM235" s="141"/>
      <c r="IZP235" s="242"/>
      <c r="IZQ235" s="141"/>
      <c r="IZT235" s="242"/>
      <c r="IZU235" s="141"/>
      <c r="IZX235" s="242"/>
      <c r="IZY235" s="141"/>
      <c r="JAB235" s="242"/>
      <c r="JAC235" s="141"/>
      <c r="JAF235" s="242"/>
      <c r="JAG235" s="141"/>
      <c r="JAJ235" s="242"/>
      <c r="JAK235" s="141"/>
      <c r="JAN235" s="242"/>
      <c r="JAO235" s="141"/>
      <c r="JAR235" s="242"/>
      <c r="JAS235" s="141"/>
      <c r="JAV235" s="242"/>
      <c r="JAW235" s="141"/>
      <c r="JAZ235" s="242"/>
      <c r="JBA235" s="141"/>
      <c r="JBD235" s="242"/>
      <c r="JBE235" s="141"/>
      <c r="JBH235" s="242"/>
      <c r="JBI235" s="141"/>
      <c r="JBL235" s="242"/>
      <c r="JBM235" s="141"/>
      <c r="JBP235" s="242"/>
      <c r="JBQ235" s="141"/>
      <c r="JBT235" s="242"/>
      <c r="JBU235" s="141"/>
      <c r="JBX235" s="242"/>
      <c r="JBY235" s="141"/>
      <c r="JCB235" s="242"/>
      <c r="JCC235" s="141"/>
      <c r="JCF235" s="242"/>
      <c r="JCG235" s="141"/>
      <c r="JCJ235" s="242"/>
      <c r="JCK235" s="141"/>
      <c r="JCN235" s="242"/>
      <c r="JCO235" s="141"/>
      <c r="JCR235" s="242"/>
      <c r="JCS235" s="141"/>
      <c r="JCV235" s="242"/>
      <c r="JCW235" s="141"/>
      <c r="JCZ235" s="242"/>
      <c r="JDA235" s="141"/>
      <c r="JDD235" s="242"/>
      <c r="JDE235" s="141"/>
      <c r="JDH235" s="242"/>
      <c r="JDI235" s="141"/>
      <c r="JDL235" s="242"/>
      <c r="JDM235" s="141"/>
      <c r="JDP235" s="242"/>
      <c r="JDQ235" s="141"/>
      <c r="JDT235" s="242"/>
      <c r="JDU235" s="141"/>
      <c r="JDX235" s="242"/>
      <c r="JDY235" s="141"/>
      <c r="JEB235" s="242"/>
      <c r="JEC235" s="141"/>
      <c r="JEF235" s="242"/>
      <c r="JEG235" s="141"/>
      <c r="JEJ235" s="242"/>
      <c r="JEK235" s="141"/>
      <c r="JEN235" s="242"/>
      <c r="JEO235" s="141"/>
      <c r="JER235" s="242"/>
      <c r="JES235" s="141"/>
      <c r="JEV235" s="242"/>
      <c r="JEW235" s="141"/>
      <c r="JEZ235" s="242"/>
      <c r="JFA235" s="141"/>
      <c r="JFD235" s="242"/>
      <c r="JFE235" s="141"/>
      <c r="JFH235" s="242"/>
      <c r="JFI235" s="141"/>
      <c r="JFL235" s="242"/>
      <c r="JFM235" s="141"/>
      <c r="JFP235" s="242"/>
      <c r="JFQ235" s="141"/>
      <c r="JFT235" s="242"/>
      <c r="JFU235" s="141"/>
      <c r="JFX235" s="242"/>
      <c r="JFY235" s="141"/>
      <c r="JGB235" s="242"/>
      <c r="JGC235" s="141"/>
      <c r="JGF235" s="242"/>
      <c r="JGG235" s="141"/>
      <c r="JGJ235" s="242"/>
      <c r="JGK235" s="141"/>
      <c r="JGN235" s="242"/>
      <c r="JGO235" s="141"/>
      <c r="JGR235" s="242"/>
      <c r="JGS235" s="141"/>
      <c r="JGV235" s="242"/>
      <c r="JGW235" s="141"/>
      <c r="JGZ235" s="242"/>
      <c r="JHA235" s="141"/>
      <c r="JHD235" s="242"/>
      <c r="JHE235" s="141"/>
      <c r="JHH235" s="242"/>
      <c r="JHI235" s="141"/>
      <c r="JHL235" s="242"/>
      <c r="JHM235" s="141"/>
      <c r="JHP235" s="242"/>
      <c r="JHQ235" s="141"/>
      <c r="JHT235" s="242"/>
      <c r="JHU235" s="141"/>
      <c r="JHX235" s="242"/>
      <c r="JHY235" s="141"/>
      <c r="JIB235" s="242"/>
      <c r="JIC235" s="141"/>
      <c r="JIF235" s="242"/>
      <c r="JIG235" s="141"/>
      <c r="JIJ235" s="242"/>
      <c r="JIK235" s="141"/>
      <c r="JIN235" s="242"/>
      <c r="JIO235" s="141"/>
      <c r="JIR235" s="242"/>
      <c r="JIS235" s="141"/>
      <c r="JIV235" s="242"/>
      <c r="JIW235" s="141"/>
      <c r="JIZ235" s="242"/>
      <c r="JJA235" s="141"/>
      <c r="JJD235" s="242"/>
      <c r="JJE235" s="141"/>
      <c r="JJH235" s="242"/>
      <c r="JJI235" s="141"/>
      <c r="JJL235" s="242"/>
      <c r="JJM235" s="141"/>
      <c r="JJP235" s="242"/>
      <c r="JJQ235" s="141"/>
      <c r="JJT235" s="242"/>
      <c r="JJU235" s="141"/>
      <c r="JJX235" s="242"/>
      <c r="JJY235" s="141"/>
      <c r="JKB235" s="242"/>
      <c r="JKC235" s="141"/>
      <c r="JKF235" s="242"/>
      <c r="JKG235" s="141"/>
      <c r="JKJ235" s="242"/>
      <c r="JKK235" s="141"/>
      <c r="JKN235" s="242"/>
      <c r="JKO235" s="141"/>
      <c r="JKR235" s="242"/>
      <c r="JKS235" s="141"/>
      <c r="JKV235" s="242"/>
      <c r="JKW235" s="141"/>
      <c r="JKZ235" s="242"/>
      <c r="JLA235" s="141"/>
      <c r="JLD235" s="242"/>
      <c r="JLE235" s="141"/>
      <c r="JLH235" s="242"/>
      <c r="JLI235" s="141"/>
      <c r="JLL235" s="242"/>
      <c r="JLM235" s="141"/>
      <c r="JLP235" s="242"/>
      <c r="JLQ235" s="141"/>
      <c r="JLT235" s="242"/>
      <c r="JLU235" s="141"/>
      <c r="JLX235" s="242"/>
      <c r="JLY235" s="141"/>
      <c r="JMB235" s="242"/>
      <c r="JMC235" s="141"/>
      <c r="JMF235" s="242"/>
      <c r="JMG235" s="141"/>
      <c r="JMJ235" s="242"/>
      <c r="JMK235" s="141"/>
      <c r="JMN235" s="242"/>
      <c r="JMO235" s="141"/>
      <c r="JMR235" s="242"/>
      <c r="JMS235" s="141"/>
      <c r="JMV235" s="242"/>
      <c r="JMW235" s="141"/>
      <c r="JMZ235" s="242"/>
      <c r="JNA235" s="141"/>
      <c r="JND235" s="242"/>
      <c r="JNE235" s="141"/>
      <c r="JNH235" s="242"/>
      <c r="JNI235" s="141"/>
      <c r="JNL235" s="242"/>
      <c r="JNM235" s="141"/>
      <c r="JNP235" s="242"/>
      <c r="JNQ235" s="141"/>
      <c r="JNT235" s="242"/>
      <c r="JNU235" s="141"/>
      <c r="JNX235" s="242"/>
      <c r="JNY235" s="141"/>
      <c r="JOB235" s="242"/>
      <c r="JOC235" s="141"/>
      <c r="JOF235" s="242"/>
      <c r="JOG235" s="141"/>
      <c r="JOJ235" s="242"/>
      <c r="JOK235" s="141"/>
      <c r="JON235" s="242"/>
      <c r="JOO235" s="141"/>
      <c r="JOR235" s="242"/>
      <c r="JOS235" s="141"/>
      <c r="JOV235" s="242"/>
      <c r="JOW235" s="141"/>
      <c r="JOZ235" s="242"/>
      <c r="JPA235" s="141"/>
      <c r="JPD235" s="242"/>
      <c r="JPE235" s="141"/>
      <c r="JPH235" s="242"/>
      <c r="JPI235" s="141"/>
      <c r="JPL235" s="242"/>
      <c r="JPM235" s="141"/>
      <c r="JPP235" s="242"/>
      <c r="JPQ235" s="141"/>
      <c r="JPT235" s="242"/>
      <c r="JPU235" s="141"/>
      <c r="JPX235" s="242"/>
      <c r="JPY235" s="141"/>
      <c r="JQB235" s="242"/>
      <c r="JQC235" s="141"/>
      <c r="JQF235" s="242"/>
      <c r="JQG235" s="141"/>
      <c r="JQJ235" s="242"/>
      <c r="JQK235" s="141"/>
      <c r="JQN235" s="242"/>
      <c r="JQO235" s="141"/>
      <c r="JQR235" s="242"/>
      <c r="JQS235" s="141"/>
      <c r="JQV235" s="242"/>
      <c r="JQW235" s="141"/>
      <c r="JQZ235" s="242"/>
      <c r="JRA235" s="141"/>
      <c r="JRD235" s="242"/>
      <c r="JRE235" s="141"/>
      <c r="JRH235" s="242"/>
      <c r="JRI235" s="141"/>
      <c r="JRL235" s="242"/>
      <c r="JRM235" s="141"/>
      <c r="JRP235" s="242"/>
      <c r="JRQ235" s="141"/>
      <c r="JRT235" s="242"/>
      <c r="JRU235" s="141"/>
      <c r="JRX235" s="242"/>
      <c r="JRY235" s="141"/>
      <c r="JSB235" s="242"/>
      <c r="JSC235" s="141"/>
      <c r="JSF235" s="242"/>
      <c r="JSG235" s="141"/>
      <c r="JSJ235" s="242"/>
      <c r="JSK235" s="141"/>
      <c r="JSN235" s="242"/>
      <c r="JSO235" s="141"/>
      <c r="JSR235" s="242"/>
      <c r="JSS235" s="141"/>
      <c r="JSV235" s="242"/>
      <c r="JSW235" s="141"/>
      <c r="JSZ235" s="242"/>
      <c r="JTA235" s="141"/>
      <c r="JTD235" s="242"/>
      <c r="JTE235" s="141"/>
      <c r="JTH235" s="242"/>
      <c r="JTI235" s="141"/>
      <c r="JTL235" s="242"/>
      <c r="JTM235" s="141"/>
      <c r="JTP235" s="242"/>
      <c r="JTQ235" s="141"/>
      <c r="JTT235" s="242"/>
      <c r="JTU235" s="141"/>
      <c r="JTX235" s="242"/>
      <c r="JTY235" s="141"/>
      <c r="JUB235" s="242"/>
      <c r="JUC235" s="141"/>
      <c r="JUF235" s="242"/>
      <c r="JUG235" s="141"/>
      <c r="JUJ235" s="242"/>
      <c r="JUK235" s="141"/>
      <c r="JUN235" s="242"/>
      <c r="JUO235" s="141"/>
      <c r="JUR235" s="242"/>
      <c r="JUS235" s="141"/>
      <c r="JUV235" s="242"/>
      <c r="JUW235" s="141"/>
      <c r="JUZ235" s="242"/>
      <c r="JVA235" s="141"/>
      <c r="JVD235" s="242"/>
      <c r="JVE235" s="141"/>
      <c r="JVH235" s="242"/>
      <c r="JVI235" s="141"/>
      <c r="JVL235" s="242"/>
      <c r="JVM235" s="141"/>
      <c r="JVP235" s="242"/>
      <c r="JVQ235" s="141"/>
      <c r="JVT235" s="242"/>
      <c r="JVU235" s="141"/>
      <c r="JVX235" s="242"/>
      <c r="JVY235" s="141"/>
      <c r="JWB235" s="242"/>
      <c r="JWC235" s="141"/>
      <c r="JWF235" s="242"/>
      <c r="JWG235" s="141"/>
      <c r="JWJ235" s="242"/>
      <c r="JWK235" s="141"/>
      <c r="JWN235" s="242"/>
      <c r="JWO235" s="141"/>
      <c r="JWR235" s="242"/>
      <c r="JWS235" s="141"/>
      <c r="JWV235" s="242"/>
      <c r="JWW235" s="141"/>
      <c r="JWZ235" s="242"/>
      <c r="JXA235" s="141"/>
      <c r="JXD235" s="242"/>
      <c r="JXE235" s="141"/>
      <c r="JXH235" s="242"/>
      <c r="JXI235" s="141"/>
      <c r="JXL235" s="242"/>
      <c r="JXM235" s="141"/>
      <c r="JXP235" s="242"/>
      <c r="JXQ235" s="141"/>
      <c r="JXT235" s="242"/>
      <c r="JXU235" s="141"/>
      <c r="JXX235" s="242"/>
      <c r="JXY235" s="141"/>
      <c r="JYB235" s="242"/>
      <c r="JYC235" s="141"/>
      <c r="JYF235" s="242"/>
      <c r="JYG235" s="141"/>
      <c r="JYJ235" s="242"/>
      <c r="JYK235" s="141"/>
      <c r="JYN235" s="242"/>
      <c r="JYO235" s="141"/>
      <c r="JYR235" s="242"/>
      <c r="JYS235" s="141"/>
      <c r="JYV235" s="242"/>
      <c r="JYW235" s="141"/>
      <c r="JYZ235" s="242"/>
      <c r="JZA235" s="141"/>
      <c r="JZD235" s="242"/>
      <c r="JZE235" s="141"/>
      <c r="JZH235" s="242"/>
      <c r="JZI235" s="141"/>
      <c r="JZL235" s="242"/>
      <c r="JZM235" s="141"/>
      <c r="JZP235" s="242"/>
      <c r="JZQ235" s="141"/>
      <c r="JZT235" s="242"/>
      <c r="JZU235" s="141"/>
      <c r="JZX235" s="242"/>
      <c r="JZY235" s="141"/>
      <c r="KAB235" s="242"/>
      <c r="KAC235" s="141"/>
      <c r="KAF235" s="242"/>
      <c r="KAG235" s="141"/>
      <c r="KAJ235" s="242"/>
      <c r="KAK235" s="141"/>
      <c r="KAN235" s="242"/>
      <c r="KAO235" s="141"/>
      <c r="KAR235" s="242"/>
      <c r="KAS235" s="141"/>
      <c r="KAV235" s="242"/>
      <c r="KAW235" s="141"/>
      <c r="KAZ235" s="242"/>
      <c r="KBA235" s="141"/>
      <c r="KBD235" s="242"/>
      <c r="KBE235" s="141"/>
      <c r="KBH235" s="242"/>
      <c r="KBI235" s="141"/>
      <c r="KBL235" s="242"/>
      <c r="KBM235" s="141"/>
      <c r="KBP235" s="242"/>
      <c r="KBQ235" s="141"/>
      <c r="KBT235" s="242"/>
      <c r="KBU235" s="141"/>
      <c r="KBX235" s="242"/>
      <c r="KBY235" s="141"/>
      <c r="KCB235" s="242"/>
      <c r="KCC235" s="141"/>
      <c r="KCF235" s="242"/>
      <c r="KCG235" s="141"/>
      <c r="KCJ235" s="242"/>
      <c r="KCK235" s="141"/>
      <c r="KCN235" s="242"/>
      <c r="KCO235" s="141"/>
      <c r="KCR235" s="242"/>
      <c r="KCS235" s="141"/>
      <c r="KCV235" s="242"/>
      <c r="KCW235" s="141"/>
      <c r="KCZ235" s="242"/>
      <c r="KDA235" s="141"/>
      <c r="KDD235" s="242"/>
      <c r="KDE235" s="141"/>
      <c r="KDH235" s="242"/>
      <c r="KDI235" s="141"/>
      <c r="KDL235" s="242"/>
      <c r="KDM235" s="141"/>
      <c r="KDP235" s="242"/>
      <c r="KDQ235" s="141"/>
      <c r="KDT235" s="242"/>
      <c r="KDU235" s="141"/>
      <c r="KDX235" s="242"/>
      <c r="KDY235" s="141"/>
      <c r="KEB235" s="242"/>
      <c r="KEC235" s="141"/>
      <c r="KEF235" s="242"/>
      <c r="KEG235" s="141"/>
      <c r="KEJ235" s="242"/>
      <c r="KEK235" s="141"/>
      <c r="KEN235" s="242"/>
      <c r="KEO235" s="141"/>
      <c r="KER235" s="242"/>
      <c r="KES235" s="141"/>
      <c r="KEV235" s="242"/>
      <c r="KEW235" s="141"/>
      <c r="KEZ235" s="242"/>
      <c r="KFA235" s="141"/>
      <c r="KFD235" s="242"/>
      <c r="KFE235" s="141"/>
      <c r="KFH235" s="242"/>
      <c r="KFI235" s="141"/>
      <c r="KFL235" s="242"/>
      <c r="KFM235" s="141"/>
      <c r="KFP235" s="242"/>
      <c r="KFQ235" s="141"/>
      <c r="KFT235" s="242"/>
      <c r="KFU235" s="141"/>
      <c r="KFX235" s="242"/>
      <c r="KFY235" s="141"/>
      <c r="KGB235" s="242"/>
      <c r="KGC235" s="141"/>
      <c r="KGF235" s="242"/>
      <c r="KGG235" s="141"/>
      <c r="KGJ235" s="242"/>
      <c r="KGK235" s="141"/>
      <c r="KGN235" s="242"/>
      <c r="KGO235" s="141"/>
      <c r="KGR235" s="242"/>
      <c r="KGS235" s="141"/>
      <c r="KGV235" s="242"/>
      <c r="KGW235" s="141"/>
      <c r="KGZ235" s="242"/>
      <c r="KHA235" s="141"/>
      <c r="KHD235" s="242"/>
      <c r="KHE235" s="141"/>
      <c r="KHH235" s="242"/>
      <c r="KHI235" s="141"/>
      <c r="KHL235" s="242"/>
      <c r="KHM235" s="141"/>
      <c r="KHP235" s="242"/>
      <c r="KHQ235" s="141"/>
      <c r="KHT235" s="242"/>
      <c r="KHU235" s="141"/>
      <c r="KHX235" s="242"/>
      <c r="KHY235" s="141"/>
      <c r="KIB235" s="242"/>
      <c r="KIC235" s="141"/>
      <c r="KIF235" s="242"/>
      <c r="KIG235" s="141"/>
      <c r="KIJ235" s="242"/>
      <c r="KIK235" s="141"/>
      <c r="KIN235" s="242"/>
      <c r="KIO235" s="141"/>
      <c r="KIR235" s="242"/>
      <c r="KIS235" s="141"/>
      <c r="KIV235" s="242"/>
      <c r="KIW235" s="141"/>
      <c r="KIZ235" s="242"/>
      <c r="KJA235" s="141"/>
      <c r="KJD235" s="242"/>
      <c r="KJE235" s="141"/>
      <c r="KJH235" s="242"/>
      <c r="KJI235" s="141"/>
      <c r="KJL235" s="242"/>
      <c r="KJM235" s="141"/>
      <c r="KJP235" s="242"/>
      <c r="KJQ235" s="141"/>
      <c r="KJT235" s="242"/>
      <c r="KJU235" s="141"/>
      <c r="KJX235" s="242"/>
      <c r="KJY235" s="141"/>
      <c r="KKB235" s="242"/>
      <c r="KKC235" s="141"/>
      <c r="KKF235" s="242"/>
      <c r="KKG235" s="141"/>
      <c r="KKJ235" s="242"/>
      <c r="KKK235" s="141"/>
      <c r="KKN235" s="242"/>
      <c r="KKO235" s="141"/>
      <c r="KKR235" s="242"/>
      <c r="KKS235" s="141"/>
      <c r="KKV235" s="242"/>
      <c r="KKW235" s="141"/>
      <c r="KKZ235" s="242"/>
      <c r="KLA235" s="141"/>
      <c r="KLD235" s="242"/>
      <c r="KLE235" s="141"/>
      <c r="KLH235" s="242"/>
      <c r="KLI235" s="141"/>
      <c r="KLL235" s="242"/>
      <c r="KLM235" s="141"/>
      <c r="KLP235" s="242"/>
      <c r="KLQ235" s="141"/>
      <c r="KLT235" s="242"/>
      <c r="KLU235" s="141"/>
      <c r="KLX235" s="242"/>
      <c r="KLY235" s="141"/>
      <c r="KMB235" s="242"/>
      <c r="KMC235" s="141"/>
      <c r="KMF235" s="242"/>
      <c r="KMG235" s="141"/>
      <c r="KMJ235" s="242"/>
      <c r="KMK235" s="141"/>
      <c r="KMN235" s="242"/>
      <c r="KMO235" s="141"/>
      <c r="KMR235" s="242"/>
      <c r="KMS235" s="141"/>
      <c r="KMV235" s="242"/>
      <c r="KMW235" s="141"/>
      <c r="KMZ235" s="242"/>
      <c r="KNA235" s="141"/>
      <c r="KND235" s="242"/>
      <c r="KNE235" s="141"/>
      <c r="KNH235" s="242"/>
      <c r="KNI235" s="141"/>
      <c r="KNL235" s="242"/>
      <c r="KNM235" s="141"/>
      <c r="KNP235" s="242"/>
      <c r="KNQ235" s="141"/>
      <c r="KNT235" s="242"/>
      <c r="KNU235" s="141"/>
      <c r="KNX235" s="242"/>
      <c r="KNY235" s="141"/>
      <c r="KOB235" s="242"/>
      <c r="KOC235" s="141"/>
      <c r="KOF235" s="242"/>
      <c r="KOG235" s="141"/>
      <c r="KOJ235" s="242"/>
      <c r="KOK235" s="141"/>
      <c r="KON235" s="242"/>
      <c r="KOO235" s="141"/>
      <c r="KOR235" s="242"/>
      <c r="KOS235" s="141"/>
      <c r="KOV235" s="242"/>
      <c r="KOW235" s="141"/>
      <c r="KOZ235" s="242"/>
      <c r="KPA235" s="141"/>
      <c r="KPD235" s="242"/>
      <c r="KPE235" s="141"/>
      <c r="KPH235" s="242"/>
      <c r="KPI235" s="141"/>
      <c r="KPL235" s="242"/>
      <c r="KPM235" s="141"/>
      <c r="KPP235" s="242"/>
      <c r="KPQ235" s="141"/>
      <c r="KPT235" s="242"/>
      <c r="KPU235" s="141"/>
      <c r="KPX235" s="242"/>
      <c r="KPY235" s="141"/>
      <c r="KQB235" s="242"/>
      <c r="KQC235" s="141"/>
      <c r="KQF235" s="242"/>
      <c r="KQG235" s="141"/>
      <c r="KQJ235" s="242"/>
      <c r="KQK235" s="141"/>
      <c r="KQN235" s="242"/>
      <c r="KQO235" s="141"/>
      <c r="KQR235" s="242"/>
      <c r="KQS235" s="141"/>
      <c r="KQV235" s="242"/>
      <c r="KQW235" s="141"/>
      <c r="KQZ235" s="242"/>
      <c r="KRA235" s="141"/>
      <c r="KRD235" s="242"/>
      <c r="KRE235" s="141"/>
      <c r="KRH235" s="242"/>
      <c r="KRI235" s="141"/>
      <c r="KRL235" s="242"/>
      <c r="KRM235" s="141"/>
      <c r="KRP235" s="242"/>
      <c r="KRQ235" s="141"/>
      <c r="KRT235" s="242"/>
      <c r="KRU235" s="141"/>
      <c r="KRX235" s="242"/>
      <c r="KRY235" s="141"/>
      <c r="KSB235" s="242"/>
      <c r="KSC235" s="141"/>
      <c r="KSF235" s="242"/>
      <c r="KSG235" s="141"/>
      <c r="KSJ235" s="242"/>
      <c r="KSK235" s="141"/>
      <c r="KSN235" s="242"/>
      <c r="KSO235" s="141"/>
      <c r="KSR235" s="242"/>
      <c r="KSS235" s="141"/>
      <c r="KSV235" s="242"/>
      <c r="KSW235" s="141"/>
      <c r="KSZ235" s="242"/>
      <c r="KTA235" s="141"/>
      <c r="KTD235" s="242"/>
      <c r="KTE235" s="141"/>
      <c r="KTH235" s="242"/>
      <c r="KTI235" s="141"/>
      <c r="KTL235" s="242"/>
      <c r="KTM235" s="141"/>
      <c r="KTP235" s="242"/>
      <c r="KTQ235" s="141"/>
      <c r="KTT235" s="242"/>
      <c r="KTU235" s="141"/>
      <c r="KTX235" s="242"/>
      <c r="KTY235" s="141"/>
      <c r="KUB235" s="242"/>
      <c r="KUC235" s="141"/>
      <c r="KUF235" s="242"/>
      <c r="KUG235" s="141"/>
      <c r="KUJ235" s="242"/>
      <c r="KUK235" s="141"/>
      <c r="KUN235" s="242"/>
      <c r="KUO235" s="141"/>
      <c r="KUR235" s="242"/>
      <c r="KUS235" s="141"/>
      <c r="KUV235" s="242"/>
      <c r="KUW235" s="141"/>
      <c r="KUZ235" s="242"/>
      <c r="KVA235" s="141"/>
      <c r="KVD235" s="242"/>
      <c r="KVE235" s="141"/>
      <c r="KVH235" s="242"/>
      <c r="KVI235" s="141"/>
      <c r="KVL235" s="242"/>
      <c r="KVM235" s="141"/>
      <c r="KVP235" s="242"/>
      <c r="KVQ235" s="141"/>
      <c r="KVT235" s="242"/>
      <c r="KVU235" s="141"/>
      <c r="KVX235" s="242"/>
      <c r="KVY235" s="141"/>
      <c r="KWB235" s="242"/>
      <c r="KWC235" s="141"/>
      <c r="KWF235" s="242"/>
      <c r="KWG235" s="141"/>
      <c r="KWJ235" s="242"/>
      <c r="KWK235" s="141"/>
      <c r="KWN235" s="242"/>
      <c r="KWO235" s="141"/>
      <c r="KWR235" s="242"/>
      <c r="KWS235" s="141"/>
      <c r="KWV235" s="242"/>
      <c r="KWW235" s="141"/>
      <c r="KWZ235" s="242"/>
      <c r="KXA235" s="141"/>
      <c r="KXD235" s="242"/>
      <c r="KXE235" s="141"/>
      <c r="KXH235" s="242"/>
      <c r="KXI235" s="141"/>
      <c r="KXL235" s="242"/>
      <c r="KXM235" s="141"/>
      <c r="KXP235" s="242"/>
      <c r="KXQ235" s="141"/>
      <c r="KXT235" s="242"/>
      <c r="KXU235" s="141"/>
      <c r="KXX235" s="242"/>
      <c r="KXY235" s="141"/>
      <c r="KYB235" s="242"/>
      <c r="KYC235" s="141"/>
      <c r="KYF235" s="242"/>
      <c r="KYG235" s="141"/>
      <c r="KYJ235" s="242"/>
      <c r="KYK235" s="141"/>
      <c r="KYN235" s="242"/>
      <c r="KYO235" s="141"/>
      <c r="KYR235" s="242"/>
      <c r="KYS235" s="141"/>
      <c r="KYV235" s="242"/>
      <c r="KYW235" s="141"/>
      <c r="KYZ235" s="242"/>
      <c r="KZA235" s="141"/>
      <c r="KZD235" s="242"/>
      <c r="KZE235" s="141"/>
      <c r="KZH235" s="242"/>
      <c r="KZI235" s="141"/>
      <c r="KZL235" s="242"/>
      <c r="KZM235" s="141"/>
      <c r="KZP235" s="242"/>
      <c r="KZQ235" s="141"/>
      <c r="KZT235" s="242"/>
      <c r="KZU235" s="141"/>
      <c r="KZX235" s="242"/>
      <c r="KZY235" s="141"/>
      <c r="LAB235" s="242"/>
      <c r="LAC235" s="141"/>
      <c r="LAF235" s="242"/>
      <c r="LAG235" s="141"/>
      <c r="LAJ235" s="242"/>
      <c r="LAK235" s="141"/>
      <c r="LAN235" s="242"/>
      <c r="LAO235" s="141"/>
      <c r="LAR235" s="242"/>
      <c r="LAS235" s="141"/>
      <c r="LAV235" s="242"/>
      <c r="LAW235" s="141"/>
      <c r="LAZ235" s="242"/>
      <c r="LBA235" s="141"/>
      <c r="LBD235" s="242"/>
      <c r="LBE235" s="141"/>
      <c r="LBH235" s="242"/>
      <c r="LBI235" s="141"/>
      <c r="LBL235" s="242"/>
      <c r="LBM235" s="141"/>
      <c r="LBP235" s="242"/>
      <c r="LBQ235" s="141"/>
      <c r="LBT235" s="242"/>
      <c r="LBU235" s="141"/>
      <c r="LBX235" s="242"/>
      <c r="LBY235" s="141"/>
      <c r="LCB235" s="242"/>
      <c r="LCC235" s="141"/>
      <c r="LCF235" s="242"/>
      <c r="LCG235" s="141"/>
      <c r="LCJ235" s="242"/>
      <c r="LCK235" s="141"/>
      <c r="LCN235" s="242"/>
      <c r="LCO235" s="141"/>
      <c r="LCR235" s="242"/>
      <c r="LCS235" s="141"/>
      <c r="LCV235" s="242"/>
      <c r="LCW235" s="141"/>
      <c r="LCZ235" s="242"/>
      <c r="LDA235" s="141"/>
      <c r="LDD235" s="242"/>
      <c r="LDE235" s="141"/>
      <c r="LDH235" s="242"/>
      <c r="LDI235" s="141"/>
      <c r="LDL235" s="242"/>
      <c r="LDM235" s="141"/>
      <c r="LDP235" s="242"/>
      <c r="LDQ235" s="141"/>
      <c r="LDT235" s="242"/>
      <c r="LDU235" s="141"/>
      <c r="LDX235" s="242"/>
      <c r="LDY235" s="141"/>
      <c r="LEB235" s="242"/>
      <c r="LEC235" s="141"/>
      <c r="LEF235" s="242"/>
      <c r="LEG235" s="141"/>
      <c r="LEJ235" s="242"/>
      <c r="LEK235" s="141"/>
      <c r="LEN235" s="242"/>
      <c r="LEO235" s="141"/>
      <c r="LER235" s="242"/>
      <c r="LES235" s="141"/>
      <c r="LEV235" s="242"/>
      <c r="LEW235" s="141"/>
      <c r="LEZ235" s="242"/>
      <c r="LFA235" s="141"/>
      <c r="LFD235" s="242"/>
      <c r="LFE235" s="141"/>
      <c r="LFH235" s="242"/>
      <c r="LFI235" s="141"/>
      <c r="LFL235" s="242"/>
      <c r="LFM235" s="141"/>
      <c r="LFP235" s="242"/>
      <c r="LFQ235" s="141"/>
      <c r="LFT235" s="242"/>
      <c r="LFU235" s="141"/>
      <c r="LFX235" s="242"/>
      <c r="LFY235" s="141"/>
      <c r="LGB235" s="242"/>
      <c r="LGC235" s="141"/>
      <c r="LGF235" s="242"/>
      <c r="LGG235" s="141"/>
      <c r="LGJ235" s="242"/>
      <c r="LGK235" s="141"/>
      <c r="LGN235" s="242"/>
      <c r="LGO235" s="141"/>
      <c r="LGR235" s="242"/>
      <c r="LGS235" s="141"/>
      <c r="LGV235" s="242"/>
      <c r="LGW235" s="141"/>
      <c r="LGZ235" s="242"/>
      <c r="LHA235" s="141"/>
      <c r="LHD235" s="242"/>
      <c r="LHE235" s="141"/>
      <c r="LHH235" s="242"/>
      <c r="LHI235" s="141"/>
      <c r="LHL235" s="242"/>
      <c r="LHM235" s="141"/>
      <c r="LHP235" s="242"/>
      <c r="LHQ235" s="141"/>
      <c r="LHT235" s="242"/>
      <c r="LHU235" s="141"/>
      <c r="LHX235" s="242"/>
      <c r="LHY235" s="141"/>
      <c r="LIB235" s="242"/>
      <c r="LIC235" s="141"/>
      <c r="LIF235" s="242"/>
      <c r="LIG235" s="141"/>
      <c r="LIJ235" s="242"/>
      <c r="LIK235" s="141"/>
      <c r="LIN235" s="242"/>
      <c r="LIO235" s="141"/>
      <c r="LIR235" s="242"/>
      <c r="LIS235" s="141"/>
      <c r="LIV235" s="242"/>
      <c r="LIW235" s="141"/>
      <c r="LIZ235" s="242"/>
      <c r="LJA235" s="141"/>
      <c r="LJD235" s="242"/>
      <c r="LJE235" s="141"/>
      <c r="LJH235" s="242"/>
      <c r="LJI235" s="141"/>
      <c r="LJL235" s="242"/>
      <c r="LJM235" s="141"/>
      <c r="LJP235" s="242"/>
      <c r="LJQ235" s="141"/>
      <c r="LJT235" s="242"/>
      <c r="LJU235" s="141"/>
      <c r="LJX235" s="242"/>
      <c r="LJY235" s="141"/>
      <c r="LKB235" s="242"/>
      <c r="LKC235" s="141"/>
      <c r="LKF235" s="242"/>
      <c r="LKG235" s="141"/>
      <c r="LKJ235" s="242"/>
      <c r="LKK235" s="141"/>
      <c r="LKN235" s="242"/>
      <c r="LKO235" s="141"/>
      <c r="LKR235" s="242"/>
      <c r="LKS235" s="141"/>
      <c r="LKV235" s="242"/>
      <c r="LKW235" s="141"/>
      <c r="LKZ235" s="242"/>
      <c r="LLA235" s="141"/>
      <c r="LLD235" s="242"/>
      <c r="LLE235" s="141"/>
      <c r="LLH235" s="242"/>
      <c r="LLI235" s="141"/>
      <c r="LLL235" s="242"/>
      <c r="LLM235" s="141"/>
      <c r="LLP235" s="242"/>
      <c r="LLQ235" s="141"/>
      <c r="LLT235" s="242"/>
      <c r="LLU235" s="141"/>
      <c r="LLX235" s="242"/>
      <c r="LLY235" s="141"/>
      <c r="LMB235" s="242"/>
      <c r="LMC235" s="141"/>
      <c r="LMF235" s="242"/>
      <c r="LMG235" s="141"/>
      <c r="LMJ235" s="242"/>
      <c r="LMK235" s="141"/>
      <c r="LMN235" s="242"/>
      <c r="LMO235" s="141"/>
      <c r="LMR235" s="242"/>
      <c r="LMS235" s="141"/>
      <c r="LMV235" s="242"/>
      <c r="LMW235" s="141"/>
      <c r="LMZ235" s="242"/>
      <c r="LNA235" s="141"/>
      <c r="LND235" s="242"/>
      <c r="LNE235" s="141"/>
      <c r="LNH235" s="242"/>
      <c r="LNI235" s="141"/>
      <c r="LNL235" s="242"/>
      <c r="LNM235" s="141"/>
      <c r="LNP235" s="242"/>
      <c r="LNQ235" s="141"/>
      <c r="LNT235" s="242"/>
      <c r="LNU235" s="141"/>
      <c r="LNX235" s="242"/>
      <c r="LNY235" s="141"/>
      <c r="LOB235" s="242"/>
      <c r="LOC235" s="141"/>
      <c r="LOF235" s="242"/>
      <c r="LOG235" s="141"/>
      <c r="LOJ235" s="242"/>
      <c r="LOK235" s="141"/>
      <c r="LON235" s="242"/>
      <c r="LOO235" s="141"/>
      <c r="LOR235" s="242"/>
      <c r="LOS235" s="141"/>
      <c r="LOV235" s="242"/>
      <c r="LOW235" s="141"/>
      <c r="LOZ235" s="242"/>
      <c r="LPA235" s="141"/>
      <c r="LPD235" s="242"/>
      <c r="LPE235" s="141"/>
      <c r="LPH235" s="242"/>
      <c r="LPI235" s="141"/>
      <c r="LPL235" s="242"/>
      <c r="LPM235" s="141"/>
      <c r="LPP235" s="242"/>
      <c r="LPQ235" s="141"/>
      <c r="LPT235" s="242"/>
      <c r="LPU235" s="141"/>
      <c r="LPX235" s="242"/>
      <c r="LPY235" s="141"/>
      <c r="LQB235" s="242"/>
      <c r="LQC235" s="141"/>
      <c r="LQF235" s="242"/>
      <c r="LQG235" s="141"/>
      <c r="LQJ235" s="242"/>
      <c r="LQK235" s="141"/>
      <c r="LQN235" s="242"/>
      <c r="LQO235" s="141"/>
      <c r="LQR235" s="242"/>
      <c r="LQS235" s="141"/>
      <c r="LQV235" s="242"/>
      <c r="LQW235" s="141"/>
      <c r="LQZ235" s="242"/>
      <c r="LRA235" s="141"/>
      <c r="LRD235" s="242"/>
      <c r="LRE235" s="141"/>
      <c r="LRH235" s="242"/>
      <c r="LRI235" s="141"/>
      <c r="LRL235" s="242"/>
      <c r="LRM235" s="141"/>
      <c r="LRP235" s="242"/>
      <c r="LRQ235" s="141"/>
      <c r="LRT235" s="242"/>
      <c r="LRU235" s="141"/>
      <c r="LRX235" s="242"/>
      <c r="LRY235" s="141"/>
      <c r="LSB235" s="242"/>
      <c r="LSC235" s="141"/>
      <c r="LSF235" s="242"/>
      <c r="LSG235" s="141"/>
      <c r="LSJ235" s="242"/>
      <c r="LSK235" s="141"/>
      <c r="LSN235" s="242"/>
      <c r="LSO235" s="141"/>
      <c r="LSR235" s="242"/>
      <c r="LSS235" s="141"/>
      <c r="LSV235" s="242"/>
      <c r="LSW235" s="141"/>
      <c r="LSZ235" s="242"/>
      <c r="LTA235" s="141"/>
      <c r="LTD235" s="242"/>
      <c r="LTE235" s="141"/>
      <c r="LTH235" s="242"/>
      <c r="LTI235" s="141"/>
      <c r="LTL235" s="242"/>
      <c r="LTM235" s="141"/>
      <c r="LTP235" s="242"/>
      <c r="LTQ235" s="141"/>
      <c r="LTT235" s="242"/>
      <c r="LTU235" s="141"/>
      <c r="LTX235" s="242"/>
      <c r="LTY235" s="141"/>
      <c r="LUB235" s="242"/>
      <c r="LUC235" s="141"/>
      <c r="LUF235" s="242"/>
      <c r="LUG235" s="141"/>
      <c r="LUJ235" s="242"/>
      <c r="LUK235" s="141"/>
      <c r="LUN235" s="242"/>
      <c r="LUO235" s="141"/>
      <c r="LUR235" s="242"/>
      <c r="LUS235" s="141"/>
      <c r="LUV235" s="242"/>
      <c r="LUW235" s="141"/>
      <c r="LUZ235" s="242"/>
      <c r="LVA235" s="141"/>
      <c r="LVD235" s="242"/>
      <c r="LVE235" s="141"/>
      <c r="LVH235" s="242"/>
      <c r="LVI235" s="141"/>
      <c r="LVL235" s="242"/>
      <c r="LVM235" s="141"/>
      <c r="LVP235" s="242"/>
      <c r="LVQ235" s="141"/>
      <c r="LVT235" s="242"/>
      <c r="LVU235" s="141"/>
      <c r="LVX235" s="242"/>
      <c r="LVY235" s="141"/>
      <c r="LWB235" s="242"/>
      <c r="LWC235" s="141"/>
      <c r="LWF235" s="242"/>
      <c r="LWG235" s="141"/>
      <c r="LWJ235" s="242"/>
      <c r="LWK235" s="141"/>
      <c r="LWN235" s="242"/>
      <c r="LWO235" s="141"/>
      <c r="LWR235" s="242"/>
      <c r="LWS235" s="141"/>
      <c r="LWV235" s="242"/>
      <c r="LWW235" s="141"/>
      <c r="LWZ235" s="242"/>
      <c r="LXA235" s="141"/>
      <c r="LXD235" s="242"/>
      <c r="LXE235" s="141"/>
      <c r="LXH235" s="242"/>
      <c r="LXI235" s="141"/>
      <c r="LXL235" s="242"/>
      <c r="LXM235" s="141"/>
      <c r="LXP235" s="242"/>
      <c r="LXQ235" s="141"/>
      <c r="LXT235" s="242"/>
      <c r="LXU235" s="141"/>
      <c r="LXX235" s="242"/>
      <c r="LXY235" s="141"/>
      <c r="LYB235" s="242"/>
      <c r="LYC235" s="141"/>
      <c r="LYF235" s="242"/>
      <c r="LYG235" s="141"/>
      <c r="LYJ235" s="242"/>
      <c r="LYK235" s="141"/>
      <c r="LYN235" s="242"/>
      <c r="LYO235" s="141"/>
      <c r="LYR235" s="242"/>
      <c r="LYS235" s="141"/>
      <c r="LYV235" s="242"/>
      <c r="LYW235" s="141"/>
      <c r="LYZ235" s="242"/>
      <c r="LZA235" s="141"/>
      <c r="LZD235" s="242"/>
      <c r="LZE235" s="141"/>
      <c r="LZH235" s="242"/>
      <c r="LZI235" s="141"/>
      <c r="LZL235" s="242"/>
      <c r="LZM235" s="141"/>
      <c r="LZP235" s="242"/>
      <c r="LZQ235" s="141"/>
      <c r="LZT235" s="242"/>
      <c r="LZU235" s="141"/>
      <c r="LZX235" s="242"/>
      <c r="LZY235" s="141"/>
      <c r="MAB235" s="242"/>
      <c r="MAC235" s="141"/>
      <c r="MAF235" s="242"/>
      <c r="MAG235" s="141"/>
      <c r="MAJ235" s="242"/>
      <c r="MAK235" s="141"/>
      <c r="MAN235" s="242"/>
      <c r="MAO235" s="141"/>
      <c r="MAR235" s="242"/>
      <c r="MAS235" s="141"/>
      <c r="MAV235" s="242"/>
      <c r="MAW235" s="141"/>
      <c r="MAZ235" s="242"/>
      <c r="MBA235" s="141"/>
      <c r="MBD235" s="242"/>
      <c r="MBE235" s="141"/>
      <c r="MBH235" s="242"/>
      <c r="MBI235" s="141"/>
      <c r="MBL235" s="242"/>
      <c r="MBM235" s="141"/>
      <c r="MBP235" s="242"/>
      <c r="MBQ235" s="141"/>
      <c r="MBT235" s="242"/>
      <c r="MBU235" s="141"/>
      <c r="MBX235" s="242"/>
      <c r="MBY235" s="141"/>
      <c r="MCB235" s="242"/>
      <c r="MCC235" s="141"/>
      <c r="MCF235" s="242"/>
      <c r="MCG235" s="141"/>
      <c r="MCJ235" s="242"/>
      <c r="MCK235" s="141"/>
      <c r="MCN235" s="242"/>
      <c r="MCO235" s="141"/>
      <c r="MCR235" s="242"/>
      <c r="MCS235" s="141"/>
      <c r="MCV235" s="242"/>
      <c r="MCW235" s="141"/>
      <c r="MCZ235" s="242"/>
      <c r="MDA235" s="141"/>
      <c r="MDD235" s="242"/>
      <c r="MDE235" s="141"/>
      <c r="MDH235" s="242"/>
      <c r="MDI235" s="141"/>
      <c r="MDL235" s="242"/>
      <c r="MDM235" s="141"/>
      <c r="MDP235" s="242"/>
      <c r="MDQ235" s="141"/>
      <c r="MDT235" s="242"/>
      <c r="MDU235" s="141"/>
      <c r="MDX235" s="242"/>
      <c r="MDY235" s="141"/>
      <c r="MEB235" s="242"/>
      <c r="MEC235" s="141"/>
      <c r="MEF235" s="242"/>
      <c r="MEG235" s="141"/>
      <c r="MEJ235" s="242"/>
      <c r="MEK235" s="141"/>
      <c r="MEN235" s="242"/>
      <c r="MEO235" s="141"/>
      <c r="MER235" s="242"/>
      <c r="MES235" s="141"/>
      <c r="MEV235" s="242"/>
      <c r="MEW235" s="141"/>
      <c r="MEZ235" s="242"/>
      <c r="MFA235" s="141"/>
      <c r="MFD235" s="242"/>
      <c r="MFE235" s="141"/>
      <c r="MFH235" s="242"/>
      <c r="MFI235" s="141"/>
      <c r="MFL235" s="242"/>
      <c r="MFM235" s="141"/>
      <c r="MFP235" s="242"/>
      <c r="MFQ235" s="141"/>
      <c r="MFT235" s="242"/>
      <c r="MFU235" s="141"/>
      <c r="MFX235" s="242"/>
      <c r="MFY235" s="141"/>
      <c r="MGB235" s="242"/>
      <c r="MGC235" s="141"/>
      <c r="MGF235" s="242"/>
      <c r="MGG235" s="141"/>
      <c r="MGJ235" s="242"/>
      <c r="MGK235" s="141"/>
      <c r="MGN235" s="242"/>
      <c r="MGO235" s="141"/>
      <c r="MGR235" s="242"/>
      <c r="MGS235" s="141"/>
      <c r="MGV235" s="242"/>
      <c r="MGW235" s="141"/>
      <c r="MGZ235" s="242"/>
      <c r="MHA235" s="141"/>
      <c r="MHD235" s="242"/>
      <c r="MHE235" s="141"/>
      <c r="MHH235" s="242"/>
      <c r="MHI235" s="141"/>
      <c r="MHL235" s="242"/>
      <c r="MHM235" s="141"/>
      <c r="MHP235" s="242"/>
      <c r="MHQ235" s="141"/>
      <c r="MHT235" s="242"/>
      <c r="MHU235" s="141"/>
      <c r="MHX235" s="242"/>
      <c r="MHY235" s="141"/>
      <c r="MIB235" s="242"/>
      <c r="MIC235" s="141"/>
      <c r="MIF235" s="242"/>
      <c r="MIG235" s="141"/>
      <c r="MIJ235" s="242"/>
      <c r="MIK235" s="141"/>
      <c r="MIN235" s="242"/>
      <c r="MIO235" s="141"/>
      <c r="MIR235" s="242"/>
      <c r="MIS235" s="141"/>
      <c r="MIV235" s="242"/>
      <c r="MIW235" s="141"/>
      <c r="MIZ235" s="242"/>
      <c r="MJA235" s="141"/>
      <c r="MJD235" s="242"/>
      <c r="MJE235" s="141"/>
      <c r="MJH235" s="242"/>
      <c r="MJI235" s="141"/>
      <c r="MJL235" s="242"/>
      <c r="MJM235" s="141"/>
      <c r="MJP235" s="242"/>
      <c r="MJQ235" s="141"/>
      <c r="MJT235" s="242"/>
      <c r="MJU235" s="141"/>
      <c r="MJX235" s="242"/>
      <c r="MJY235" s="141"/>
      <c r="MKB235" s="242"/>
      <c r="MKC235" s="141"/>
      <c r="MKF235" s="242"/>
      <c r="MKG235" s="141"/>
      <c r="MKJ235" s="242"/>
      <c r="MKK235" s="141"/>
      <c r="MKN235" s="242"/>
      <c r="MKO235" s="141"/>
      <c r="MKR235" s="242"/>
      <c r="MKS235" s="141"/>
      <c r="MKV235" s="242"/>
      <c r="MKW235" s="141"/>
      <c r="MKZ235" s="242"/>
      <c r="MLA235" s="141"/>
      <c r="MLD235" s="242"/>
      <c r="MLE235" s="141"/>
      <c r="MLH235" s="242"/>
      <c r="MLI235" s="141"/>
      <c r="MLL235" s="242"/>
      <c r="MLM235" s="141"/>
      <c r="MLP235" s="242"/>
      <c r="MLQ235" s="141"/>
      <c r="MLT235" s="242"/>
      <c r="MLU235" s="141"/>
      <c r="MLX235" s="242"/>
      <c r="MLY235" s="141"/>
      <c r="MMB235" s="242"/>
      <c r="MMC235" s="141"/>
      <c r="MMF235" s="242"/>
      <c r="MMG235" s="141"/>
      <c r="MMJ235" s="242"/>
      <c r="MMK235" s="141"/>
      <c r="MMN235" s="242"/>
      <c r="MMO235" s="141"/>
      <c r="MMR235" s="242"/>
      <c r="MMS235" s="141"/>
      <c r="MMV235" s="242"/>
      <c r="MMW235" s="141"/>
      <c r="MMZ235" s="242"/>
      <c r="MNA235" s="141"/>
      <c r="MND235" s="242"/>
      <c r="MNE235" s="141"/>
      <c r="MNH235" s="242"/>
      <c r="MNI235" s="141"/>
      <c r="MNL235" s="242"/>
      <c r="MNM235" s="141"/>
      <c r="MNP235" s="242"/>
      <c r="MNQ235" s="141"/>
      <c r="MNT235" s="242"/>
      <c r="MNU235" s="141"/>
      <c r="MNX235" s="242"/>
      <c r="MNY235" s="141"/>
      <c r="MOB235" s="242"/>
      <c r="MOC235" s="141"/>
      <c r="MOF235" s="242"/>
      <c r="MOG235" s="141"/>
      <c r="MOJ235" s="242"/>
      <c r="MOK235" s="141"/>
      <c r="MON235" s="242"/>
      <c r="MOO235" s="141"/>
      <c r="MOR235" s="242"/>
      <c r="MOS235" s="141"/>
      <c r="MOV235" s="242"/>
      <c r="MOW235" s="141"/>
      <c r="MOZ235" s="242"/>
      <c r="MPA235" s="141"/>
      <c r="MPD235" s="242"/>
      <c r="MPE235" s="141"/>
      <c r="MPH235" s="242"/>
      <c r="MPI235" s="141"/>
      <c r="MPL235" s="242"/>
      <c r="MPM235" s="141"/>
      <c r="MPP235" s="242"/>
      <c r="MPQ235" s="141"/>
      <c r="MPT235" s="242"/>
      <c r="MPU235" s="141"/>
      <c r="MPX235" s="242"/>
      <c r="MPY235" s="141"/>
      <c r="MQB235" s="242"/>
      <c r="MQC235" s="141"/>
      <c r="MQF235" s="242"/>
      <c r="MQG235" s="141"/>
      <c r="MQJ235" s="242"/>
      <c r="MQK235" s="141"/>
      <c r="MQN235" s="242"/>
      <c r="MQO235" s="141"/>
      <c r="MQR235" s="242"/>
      <c r="MQS235" s="141"/>
      <c r="MQV235" s="242"/>
      <c r="MQW235" s="141"/>
      <c r="MQZ235" s="242"/>
      <c r="MRA235" s="141"/>
      <c r="MRD235" s="242"/>
      <c r="MRE235" s="141"/>
      <c r="MRH235" s="242"/>
      <c r="MRI235" s="141"/>
      <c r="MRL235" s="242"/>
      <c r="MRM235" s="141"/>
      <c r="MRP235" s="242"/>
      <c r="MRQ235" s="141"/>
      <c r="MRT235" s="242"/>
      <c r="MRU235" s="141"/>
      <c r="MRX235" s="242"/>
      <c r="MRY235" s="141"/>
      <c r="MSB235" s="242"/>
      <c r="MSC235" s="141"/>
      <c r="MSF235" s="242"/>
      <c r="MSG235" s="141"/>
      <c r="MSJ235" s="242"/>
      <c r="MSK235" s="141"/>
      <c r="MSN235" s="242"/>
      <c r="MSO235" s="141"/>
      <c r="MSR235" s="242"/>
      <c r="MSS235" s="141"/>
      <c r="MSV235" s="242"/>
      <c r="MSW235" s="141"/>
      <c r="MSZ235" s="242"/>
      <c r="MTA235" s="141"/>
      <c r="MTD235" s="242"/>
      <c r="MTE235" s="141"/>
      <c r="MTH235" s="242"/>
      <c r="MTI235" s="141"/>
      <c r="MTL235" s="242"/>
      <c r="MTM235" s="141"/>
      <c r="MTP235" s="242"/>
      <c r="MTQ235" s="141"/>
      <c r="MTT235" s="242"/>
      <c r="MTU235" s="141"/>
      <c r="MTX235" s="242"/>
      <c r="MTY235" s="141"/>
      <c r="MUB235" s="242"/>
      <c r="MUC235" s="141"/>
      <c r="MUF235" s="242"/>
      <c r="MUG235" s="141"/>
      <c r="MUJ235" s="242"/>
      <c r="MUK235" s="141"/>
      <c r="MUN235" s="242"/>
      <c r="MUO235" s="141"/>
      <c r="MUR235" s="242"/>
      <c r="MUS235" s="141"/>
      <c r="MUV235" s="242"/>
      <c r="MUW235" s="141"/>
      <c r="MUZ235" s="242"/>
      <c r="MVA235" s="141"/>
      <c r="MVD235" s="242"/>
      <c r="MVE235" s="141"/>
      <c r="MVH235" s="242"/>
      <c r="MVI235" s="141"/>
      <c r="MVL235" s="242"/>
      <c r="MVM235" s="141"/>
      <c r="MVP235" s="242"/>
      <c r="MVQ235" s="141"/>
      <c r="MVT235" s="242"/>
      <c r="MVU235" s="141"/>
      <c r="MVX235" s="242"/>
      <c r="MVY235" s="141"/>
      <c r="MWB235" s="242"/>
      <c r="MWC235" s="141"/>
      <c r="MWF235" s="242"/>
      <c r="MWG235" s="141"/>
      <c r="MWJ235" s="242"/>
      <c r="MWK235" s="141"/>
      <c r="MWN235" s="242"/>
      <c r="MWO235" s="141"/>
      <c r="MWR235" s="242"/>
      <c r="MWS235" s="141"/>
      <c r="MWV235" s="242"/>
      <c r="MWW235" s="141"/>
      <c r="MWZ235" s="242"/>
      <c r="MXA235" s="141"/>
      <c r="MXD235" s="242"/>
      <c r="MXE235" s="141"/>
      <c r="MXH235" s="242"/>
      <c r="MXI235" s="141"/>
      <c r="MXL235" s="242"/>
      <c r="MXM235" s="141"/>
      <c r="MXP235" s="242"/>
      <c r="MXQ235" s="141"/>
      <c r="MXT235" s="242"/>
      <c r="MXU235" s="141"/>
      <c r="MXX235" s="242"/>
      <c r="MXY235" s="141"/>
      <c r="MYB235" s="242"/>
      <c r="MYC235" s="141"/>
      <c r="MYF235" s="242"/>
      <c r="MYG235" s="141"/>
      <c r="MYJ235" s="242"/>
      <c r="MYK235" s="141"/>
      <c r="MYN235" s="242"/>
      <c r="MYO235" s="141"/>
      <c r="MYR235" s="242"/>
      <c r="MYS235" s="141"/>
      <c r="MYV235" s="242"/>
      <c r="MYW235" s="141"/>
      <c r="MYZ235" s="242"/>
      <c r="MZA235" s="141"/>
      <c r="MZD235" s="242"/>
      <c r="MZE235" s="141"/>
      <c r="MZH235" s="242"/>
      <c r="MZI235" s="141"/>
      <c r="MZL235" s="242"/>
      <c r="MZM235" s="141"/>
      <c r="MZP235" s="242"/>
      <c r="MZQ235" s="141"/>
      <c r="MZT235" s="242"/>
      <c r="MZU235" s="141"/>
      <c r="MZX235" s="242"/>
      <c r="MZY235" s="141"/>
      <c r="NAB235" s="242"/>
      <c r="NAC235" s="141"/>
      <c r="NAF235" s="242"/>
      <c r="NAG235" s="141"/>
      <c r="NAJ235" s="242"/>
      <c r="NAK235" s="141"/>
      <c r="NAN235" s="242"/>
      <c r="NAO235" s="141"/>
      <c r="NAR235" s="242"/>
      <c r="NAS235" s="141"/>
      <c r="NAV235" s="242"/>
      <c r="NAW235" s="141"/>
      <c r="NAZ235" s="242"/>
      <c r="NBA235" s="141"/>
      <c r="NBD235" s="242"/>
      <c r="NBE235" s="141"/>
      <c r="NBH235" s="242"/>
      <c r="NBI235" s="141"/>
      <c r="NBL235" s="242"/>
      <c r="NBM235" s="141"/>
      <c r="NBP235" s="242"/>
      <c r="NBQ235" s="141"/>
      <c r="NBT235" s="242"/>
      <c r="NBU235" s="141"/>
      <c r="NBX235" s="242"/>
      <c r="NBY235" s="141"/>
      <c r="NCB235" s="242"/>
      <c r="NCC235" s="141"/>
      <c r="NCF235" s="242"/>
      <c r="NCG235" s="141"/>
      <c r="NCJ235" s="242"/>
      <c r="NCK235" s="141"/>
      <c r="NCN235" s="242"/>
      <c r="NCO235" s="141"/>
      <c r="NCR235" s="242"/>
      <c r="NCS235" s="141"/>
      <c r="NCV235" s="242"/>
      <c r="NCW235" s="141"/>
      <c r="NCZ235" s="242"/>
      <c r="NDA235" s="141"/>
      <c r="NDD235" s="242"/>
      <c r="NDE235" s="141"/>
      <c r="NDH235" s="242"/>
      <c r="NDI235" s="141"/>
      <c r="NDL235" s="242"/>
      <c r="NDM235" s="141"/>
      <c r="NDP235" s="242"/>
      <c r="NDQ235" s="141"/>
      <c r="NDT235" s="242"/>
      <c r="NDU235" s="141"/>
      <c r="NDX235" s="242"/>
      <c r="NDY235" s="141"/>
      <c r="NEB235" s="242"/>
      <c r="NEC235" s="141"/>
      <c r="NEF235" s="242"/>
      <c r="NEG235" s="141"/>
      <c r="NEJ235" s="242"/>
      <c r="NEK235" s="141"/>
      <c r="NEN235" s="242"/>
      <c r="NEO235" s="141"/>
      <c r="NER235" s="242"/>
      <c r="NES235" s="141"/>
      <c r="NEV235" s="242"/>
      <c r="NEW235" s="141"/>
      <c r="NEZ235" s="242"/>
      <c r="NFA235" s="141"/>
      <c r="NFD235" s="242"/>
      <c r="NFE235" s="141"/>
      <c r="NFH235" s="242"/>
      <c r="NFI235" s="141"/>
      <c r="NFL235" s="242"/>
      <c r="NFM235" s="141"/>
      <c r="NFP235" s="242"/>
      <c r="NFQ235" s="141"/>
      <c r="NFT235" s="242"/>
      <c r="NFU235" s="141"/>
      <c r="NFX235" s="242"/>
      <c r="NFY235" s="141"/>
      <c r="NGB235" s="242"/>
      <c r="NGC235" s="141"/>
      <c r="NGF235" s="242"/>
      <c r="NGG235" s="141"/>
      <c r="NGJ235" s="242"/>
      <c r="NGK235" s="141"/>
      <c r="NGN235" s="242"/>
      <c r="NGO235" s="141"/>
      <c r="NGR235" s="242"/>
      <c r="NGS235" s="141"/>
      <c r="NGV235" s="242"/>
      <c r="NGW235" s="141"/>
      <c r="NGZ235" s="242"/>
      <c r="NHA235" s="141"/>
      <c r="NHD235" s="242"/>
      <c r="NHE235" s="141"/>
      <c r="NHH235" s="242"/>
      <c r="NHI235" s="141"/>
      <c r="NHL235" s="242"/>
      <c r="NHM235" s="141"/>
      <c r="NHP235" s="242"/>
      <c r="NHQ235" s="141"/>
      <c r="NHT235" s="242"/>
      <c r="NHU235" s="141"/>
      <c r="NHX235" s="242"/>
      <c r="NHY235" s="141"/>
      <c r="NIB235" s="242"/>
      <c r="NIC235" s="141"/>
      <c r="NIF235" s="242"/>
      <c r="NIG235" s="141"/>
      <c r="NIJ235" s="242"/>
      <c r="NIK235" s="141"/>
      <c r="NIN235" s="242"/>
      <c r="NIO235" s="141"/>
      <c r="NIR235" s="242"/>
      <c r="NIS235" s="141"/>
      <c r="NIV235" s="242"/>
      <c r="NIW235" s="141"/>
      <c r="NIZ235" s="242"/>
      <c r="NJA235" s="141"/>
      <c r="NJD235" s="242"/>
      <c r="NJE235" s="141"/>
      <c r="NJH235" s="242"/>
      <c r="NJI235" s="141"/>
      <c r="NJL235" s="242"/>
      <c r="NJM235" s="141"/>
      <c r="NJP235" s="242"/>
      <c r="NJQ235" s="141"/>
      <c r="NJT235" s="242"/>
      <c r="NJU235" s="141"/>
      <c r="NJX235" s="242"/>
      <c r="NJY235" s="141"/>
      <c r="NKB235" s="242"/>
      <c r="NKC235" s="141"/>
      <c r="NKF235" s="242"/>
      <c r="NKG235" s="141"/>
      <c r="NKJ235" s="242"/>
      <c r="NKK235" s="141"/>
      <c r="NKN235" s="242"/>
      <c r="NKO235" s="141"/>
      <c r="NKR235" s="242"/>
      <c r="NKS235" s="141"/>
      <c r="NKV235" s="242"/>
      <c r="NKW235" s="141"/>
      <c r="NKZ235" s="242"/>
      <c r="NLA235" s="141"/>
      <c r="NLD235" s="242"/>
      <c r="NLE235" s="141"/>
      <c r="NLH235" s="242"/>
      <c r="NLI235" s="141"/>
      <c r="NLL235" s="242"/>
      <c r="NLM235" s="141"/>
      <c r="NLP235" s="242"/>
      <c r="NLQ235" s="141"/>
      <c r="NLT235" s="242"/>
      <c r="NLU235" s="141"/>
      <c r="NLX235" s="242"/>
      <c r="NLY235" s="141"/>
      <c r="NMB235" s="242"/>
      <c r="NMC235" s="141"/>
      <c r="NMF235" s="242"/>
      <c r="NMG235" s="141"/>
      <c r="NMJ235" s="242"/>
      <c r="NMK235" s="141"/>
      <c r="NMN235" s="242"/>
      <c r="NMO235" s="141"/>
      <c r="NMR235" s="242"/>
      <c r="NMS235" s="141"/>
      <c r="NMV235" s="242"/>
      <c r="NMW235" s="141"/>
      <c r="NMZ235" s="242"/>
      <c r="NNA235" s="141"/>
      <c r="NND235" s="242"/>
      <c r="NNE235" s="141"/>
      <c r="NNH235" s="242"/>
      <c r="NNI235" s="141"/>
      <c r="NNL235" s="242"/>
      <c r="NNM235" s="141"/>
      <c r="NNP235" s="242"/>
      <c r="NNQ235" s="141"/>
      <c r="NNT235" s="242"/>
      <c r="NNU235" s="141"/>
      <c r="NNX235" s="242"/>
      <c r="NNY235" s="141"/>
      <c r="NOB235" s="242"/>
      <c r="NOC235" s="141"/>
      <c r="NOF235" s="242"/>
      <c r="NOG235" s="141"/>
      <c r="NOJ235" s="242"/>
      <c r="NOK235" s="141"/>
      <c r="NON235" s="242"/>
      <c r="NOO235" s="141"/>
      <c r="NOR235" s="242"/>
      <c r="NOS235" s="141"/>
      <c r="NOV235" s="242"/>
      <c r="NOW235" s="141"/>
      <c r="NOZ235" s="242"/>
      <c r="NPA235" s="141"/>
      <c r="NPD235" s="242"/>
      <c r="NPE235" s="141"/>
      <c r="NPH235" s="242"/>
      <c r="NPI235" s="141"/>
      <c r="NPL235" s="242"/>
      <c r="NPM235" s="141"/>
      <c r="NPP235" s="242"/>
      <c r="NPQ235" s="141"/>
      <c r="NPT235" s="242"/>
      <c r="NPU235" s="141"/>
      <c r="NPX235" s="242"/>
      <c r="NPY235" s="141"/>
      <c r="NQB235" s="242"/>
      <c r="NQC235" s="141"/>
      <c r="NQF235" s="242"/>
      <c r="NQG235" s="141"/>
      <c r="NQJ235" s="242"/>
      <c r="NQK235" s="141"/>
      <c r="NQN235" s="242"/>
      <c r="NQO235" s="141"/>
      <c r="NQR235" s="242"/>
      <c r="NQS235" s="141"/>
      <c r="NQV235" s="242"/>
      <c r="NQW235" s="141"/>
      <c r="NQZ235" s="242"/>
      <c r="NRA235" s="141"/>
      <c r="NRD235" s="242"/>
      <c r="NRE235" s="141"/>
      <c r="NRH235" s="242"/>
      <c r="NRI235" s="141"/>
      <c r="NRL235" s="242"/>
      <c r="NRM235" s="141"/>
      <c r="NRP235" s="242"/>
      <c r="NRQ235" s="141"/>
      <c r="NRT235" s="242"/>
      <c r="NRU235" s="141"/>
      <c r="NRX235" s="242"/>
      <c r="NRY235" s="141"/>
      <c r="NSB235" s="242"/>
      <c r="NSC235" s="141"/>
      <c r="NSF235" s="242"/>
      <c r="NSG235" s="141"/>
      <c r="NSJ235" s="242"/>
      <c r="NSK235" s="141"/>
      <c r="NSN235" s="242"/>
      <c r="NSO235" s="141"/>
      <c r="NSR235" s="242"/>
      <c r="NSS235" s="141"/>
      <c r="NSV235" s="242"/>
      <c r="NSW235" s="141"/>
      <c r="NSZ235" s="242"/>
      <c r="NTA235" s="141"/>
      <c r="NTD235" s="242"/>
      <c r="NTE235" s="141"/>
      <c r="NTH235" s="242"/>
      <c r="NTI235" s="141"/>
      <c r="NTL235" s="242"/>
      <c r="NTM235" s="141"/>
      <c r="NTP235" s="242"/>
      <c r="NTQ235" s="141"/>
      <c r="NTT235" s="242"/>
      <c r="NTU235" s="141"/>
      <c r="NTX235" s="242"/>
      <c r="NTY235" s="141"/>
      <c r="NUB235" s="242"/>
      <c r="NUC235" s="141"/>
      <c r="NUF235" s="242"/>
      <c r="NUG235" s="141"/>
      <c r="NUJ235" s="242"/>
      <c r="NUK235" s="141"/>
      <c r="NUN235" s="242"/>
      <c r="NUO235" s="141"/>
      <c r="NUR235" s="242"/>
      <c r="NUS235" s="141"/>
      <c r="NUV235" s="242"/>
      <c r="NUW235" s="141"/>
      <c r="NUZ235" s="242"/>
      <c r="NVA235" s="141"/>
      <c r="NVD235" s="242"/>
      <c r="NVE235" s="141"/>
      <c r="NVH235" s="242"/>
      <c r="NVI235" s="141"/>
      <c r="NVL235" s="242"/>
      <c r="NVM235" s="141"/>
      <c r="NVP235" s="242"/>
      <c r="NVQ235" s="141"/>
      <c r="NVT235" s="242"/>
      <c r="NVU235" s="141"/>
      <c r="NVX235" s="242"/>
      <c r="NVY235" s="141"/>
      <c r="NWB235" s="242"/>
      <c r="NWC235" s="141"/>
      <c r="NWF235" s="242"/>
      <c r="NWG235" s="141"/>
      <c r="NWJ235" s="242"/>
      <c r="NWK235" s="141"/>
      <c r="NWN235" s="242"/>
      <c r="NWO235" s="141"/>
      <c r="NWR235" s="242"/>
      <c r="NWS235" s="141"/>
      <c r="NWV235" s="242"/>
      <c r="NWW235" s="141"/>
      <c r="NWZ235" s="242"/>
      <c r="NXA235" s="141"/>
      <c r="NXD235" s="242"/>
      <c r="NXE235" s="141"/>
      <c r="NXH235" s="242"/>
      <c r="NXI235" s="141"/>
      <c r="NXL235" s="242"/>
      <c r="NXM235" s="141"/>
      <c r="NXP235" s="242"/>
      <c r="NXQ235" s="141"/>
      <c r="NXT235" s="242"/>
      <c r="NXU235" s="141"/>
      <c r="NXX235" s="242"/>
      <c r="NXY235" s="141"/>
      <c r="NYB235" s="242"/>
      <c r="NYC235" s="141"/>
      <c r="NYF235" s="242"/>
      <c r="NYG235" s="141"/>
      <c r="NYJ235" s="242"/>
      <c r="NYK235" s="141"/>
      <c r="NYN235" s="242"/>
      <c r="NYO235" s="141"/>
      <c r="NYR235" s="242"/>
      <c r="NYS235" s="141"/>
      <c r="NYV235" s="242"/>
      <c r="NYW235" s="141"/>
      <c r="NYZ235" s="242"/>
      <c r="NZA235" s="141"/>
      <c r="NZD235" s="242"/>
      <c r="NZE235" s="141"/>
      <c r="NZH235" s="242"/>
      <c r="NZI235" s="141"/>
      <c r="NZL235" s="242"/>
      <c r="NZM235" s="141"/>
      <c r="NZP235" s="242"/>
      <c r="NZQ235" s="141"/>
      <c r="NZT235" s="242"/>
      <c r="NZU235" s="141"/>
      <c r="NZX235" s="242"/>
      <c r="NZY235" s="141"/>
      <c r="OAB235" s="242"/>
      <c r="OAC235" s="141"/>
      <c r="OAF235" s="242"/>
      <c r="OAG235" s="141"/>
      <c r="OAJ235" s="242"/>
      <c r="OAK235" s="141"/>
      <c r="OAN235" s="242"/>
      <c r="OAO235" s="141"/>
      <c r="OAR235" s="242"/>
      <c r="OAS235" s="141"/>
      <c r="OAV235" s="242"/>
      <c r="OAW235" s="141"/>
      <c r="OAZ235" s="242"/>
      <c r="OBA235" s="141"/>
      <c r="OBD235" s="242"/>
      <c r="OBE235" s="141"/>
      <c r="OBH235" s="242"/>
      <c r="OBI235" s="141"/>
      <c r="OBL235" s="242"/>
      <c r="OBM235" s="141"/>
      <c r="OBP235" s="242"/>
      <c r="OBQ235" s="141"/>
      <c r="OBT235" s="242"/>
      <c r="OBU235" s="141"/>
      <c r="OBX235" s="242"/>
      <c r="OBY235" s="141"/>
      <c r="OCB235" s="242"/>
      <c r="OCC235" s="141"/>
      <c r="OCF235" s="242"/>
      <c r="OCG235" s="141"/>
      <c r="OCJ235" s="242"/>
      <c r="OCK235" s="141"/>
      <c r="OCN235" s="242"/>
      <c r="OCO235" s="141"/>
      <c r="OCR235" s="242"/>
      <c r="OCS235" s="141"/>
      <c r="OCV235" s="242"/>
      <c r="OCW235" s="141"/>
      <c r="OCZ235" s="242"/>
      <c r="ODA235" s="141"/>
      <c r="ODD235" s="242"/>
      <c r="ODE235" s="141"/>
      <c r="ODH235" s="242"/>
      <c r="ODI235" s="141"/>
      <c r="ODL235" s="242"/>
      <c r="ODM235" s="141"/>
      <c r="ODP235" s="242"/>
      <c r="ODQ235" s="141"/>
      <c r="ODT235" s="242"/>
      <c r="ODU235" s="141"/>
      <c r="ODX235" s="242"/>
      <c r="ODY235" s="141"/>
      <c r="OEB235" s="242"/>
      <c r="OEC235" s="141"/>
      <c r="OEF235" s="242"/>
      <c r="OEG235" s="141"/>
      <c r="OEJ235" s="242"/>
      <c r="OEK235" s="141"/>
      <c r="OEN235" s="242"/>
      <c r="OEO235" s="141"/>
      <c r="OER235" s="242"/>
      <c r="OES235" s="141"/>
      <c r="OEV235" s="242"/>
      <c r="OEW235" s="141"/>
      <c r="OEZ235" s="242"/>
      <c r="OFA235" s="141"/>
      <c r="OFD235" s="242"/>
      <c r="OFE235" s="141"/>
      <c r="OFH235" s="242"/>
      <c r="OFI235" s="141"/>
      <c r="OFL235" s="242"/>
      <c r="OFM235" s="141"/>
      <c r="OFP235" s="242"/>
      <c r="OFQ235" s="141"/>
      <c r="OFT235" s="242"/>
      <c r="OFU235" s="141"/>
      <c r="OFX235" s="242"/>
      <c r="OFY235" s="141"/>
      <c r="OGB235" s="242"/>
      <c r="OGC235" s="141"/>
      <c r="OGF235" s="242"/>
      <c r="OGG235" s="141"/>
      <c r="OGJ235" s="242"/>
      <c r="OGK235" s="141"/>
      <c r="OGN235" s="242"/>
      <c r="OGO235" s="141"/>
      <c r="OGR235" s="242"/>
      <c r="OGS235" s="141"/>
      <c r="OGV235" s="242"/>
      <c r="OGW235" s="141"/>
      <c r="OGZ235" s="242"/>
      <c r="OHA235" s="141"/>
      <c r="OHD235" s="242"/>
      <c r="OHE235" s="141"/>
      <c r="OHH235" s="242"/>
      <c r="OHI235" s="141"/>
      <c r="OHL235" s="242"/>
      <c r="OHM235" s="141"/>
      <c r="OHP235" s="242"/>
      <c r="OHQ235" s="141"/>
      <c r="OHT235" s="242"/>
      <c r="OHU235" s="141"/>
      <c r="OHX235" s="242"/>
      <c r="OHY235" s="141"/>
      <c r="OIB235" s="242"/>
      <c r="OIC235" s="141"/>
      <c r="OIF235" s="242"/>
      <c r="OIG235" s="141"/>
      <c r="OIJ235" s="242"/>
      <c r="OIK235" s="141"/>
      <c r="OIN235" s="242"/>
      <c r="OIO235" s="141"/>
      <c r="OIR235" s="242"/>
      <c r="OIS235" s="141"/>
      <c r="OIV235" s="242"/>
      <c r="OIW235" s="141"/>
      <c r="OIZ235" s="242"/>
      <c r="OJA235" s="141"/>
      <c r="OJD235" s="242"/>
      <c r="OJE235" s="141"/>
      <c r="OJH235" s="242"/>
      <c r="OJI235" s="141"/>
      <c r="OJL235" s="242"/>
      <c r="OJM235" s="141"/>
      <c r="OJP235" s="242"/>
      <c r="OJQ235" s="141"/>
      <c r="OJT235" s="242"/>
      <c r="OJU235" s="141"/>
      <c r="OJX235" s="242"/>
      <c r="OJY235" s="141"/>
      <c r="OKB235" s="242"/>
      <c r="OKC235" s="141"/>
      <c r="OKF235" s="242"/>
      <c r="OKG235" s="141"/>
      <c r="OKJ235" s="242"/>
      <c r="OKK235" s="141"/>
      <c r="OKN235" s="242"/>
      <c r="OKO235" s="141"/>
      <c r="OKR235" s="242"/>
      <c r="OKS235" s="141"/>
      <c r="OKV235" s="242"/>
      <c r="OKW235" s="141"/>
      <c r="OKZ235" s="242"/>
      <c r="OLA235" s="141"/>
      <c r="OLD235" s="242"/>
      <c r="OLE235" s="141"/>
      <c r="OLH235" s="242"/>
      <c r="OLI235" s="141"/>
      <c r="OLL235" s="242"/>
      <c r="OLM235" s="141"/>
      <c r="OLP235" s="242"/>
      <c r="OLQ235" s="141"/>
      <c r="OLT235" s="242"/>
      <c r="OLU235" s="141"/>
      <c r="OLX235" s="242"/>
      <c r="OLY235" s="141"/>
      <c r="OMB235" s="242"/>
      <c r="OMC235" s="141"/>
      <c r="OMF235" s="242"/>
      <c r="OMG235" s="141"/>
      <c r="OMJ235" s="242"/>
      <c r="OMK235" s="141"/>
      <c r="OMN235" s="242"/>
      <c r="OMO235" s="141"/>
      <c r="OMR235" s="242"/>
      <c r="OMS235" s="141"/>
      <c r="OMV235" s="242"/>
      <c r="OMW235" s="141"/>
      <c r="OMZ235" s="242"/>
      <c r="ONA235" s="141"/>
      <c r="OND235" s="242"/>
      <c r="ONE235" s="141"/>
      <c r="ONH235" s="242"/>
      <c r="ONI235" s="141"/>
      <c r="ONL235" s="242"/>
      <c r="ONM235" s="141"/>
      <c r="ONP235" s="242"/>
      <c r="ONQ235" s="141"/>
      <c r="ONT235" s="242"/>
      <c r="ONU235" s="141"/>
      <c r="ONX235" s="242"/>
      <c r="ONY235" s="141"/>
      <c r="OOB235" s="242"/>
      <c r="OOC235" s="141"/>
      <c r="OOF235" s="242"/>
      <c r="OOG235" s="141"/>
      <c r="OOJ235" s="242"/>
      <c r="OOK235" s="141"/>
      <c r="OON235" s="242"/>
      <c r="OOO235" s="141"/>
      <c r="OOR235" s="242"/>
      <c r="OOS235" s="141"/>
      <c r="OOV235" s="242"/>
      <c r="OOW235" s="141"/>
      <c r="OOZ235" s="242"/>
      <c r="OPA235" s="141"/>
      <c r="OPD235" s="242"/>
      <c r="OPE235" s="141"/>
      <c r="OPH235" s="242"/>
      <c r="OPI235" s="141"/>
      <c r="OPL235" s="242"/>
      <c r="OPM235" s="141"/>
      <c r="OPP235" s="242"/>
      <c r="OPQ235" s="141"/>
      <c r="OPT235" s="242"/>
      <c r="OPU235" s="141"/>
      <c r="OPX235" s="242"/>
      <c r="OPY235" s="141"/>
      <c r="OQB235" s="242"/>
      <c r="OQC235" s="141"/>
      <c r="OQF235" s="242"/>
      <c r="OQG235" s="141"/>
      <c r="OQJ235" s="242"/>
      <c r="OQK235" s="141"/>
      <c r="OQN235" s="242"/>
      <c r="OQO235" s="141"/>
      <c r="OQR235" s="242"/>
      <c r="OQS235" s="141"/>
      <c r="OQV235" s="242"/>
      <c r="OQW235" s="141"/>
      <c r="OQZ235" s="242"/>
      <c r="ORA235" s="141"/>
      <c r="ORD235" s="242"/>
      <c r="ORE235" s="141"/>
      <c r="ORH235" s="242"/>
      <c r="ORI235" s="141"/>
      <c r="ORL235" s="242"/>
      <c r="ORM235" s="141"/>
      <c r="ORP235" s="242"/>
      <c r="ORQ235" s="141"/>
      <c r="ORT235" s="242"/>
      <c r="ORU235" s="141"/>
      <c r="ORX235" s="242"/>
      <c r="ORY235" s="141"/>
      <c r="OSB235" s="242"/>
      <c r="OSC235" s="141"/>
      <c r="OSF235" s="242"/>
      <c r="OSG235" s="141"/>
      <c r="OSJ235" s="242"/>
      <c r="OSK235" s="141"/>
      <c r="OSN235" s="242"/>
      <c r="OSO235" s="141"/>
      <c r="OSR235" s="242"/>
      <c r="OSS235" s="141"/>
      <c r="OSV235" s="242"/>
      <c r="OSW235" s="141"/>
      <c r="OSZ235" s="242"/>
      <c r="OTA235" s="141"/>
      <c r="OTD235" s="242"/>
      <c r="OTE235" s="141"/>
      <c r="OTH235" s="242"/>
      <c r="OTI235" s="141"/>
      <c r="OTL235" s="242"/>
      <c r="OTM235" s="141"/>
      <c r="OTP235" s="242"/>
      <c r="OTQ235" s="141"/>
      <c r="OTT235" s="242"/>
      <c r="OTU235" s="141"/>
      <c r="OTX235" s="242"/>
      <c r="OTY235" s="141"/>
      <c r="OUB235" s="242"/>
      <c r="OUC235" s="141"/>
      <c r="OUF235" s="242"/>
      <c r="OUG235" s="141"/>
      <c r="OUJ235" s="242"/>
      <c r="OUK235" s="141"/>
      <c r="OUN235" s="242"/>
      <c r="OUO235" s="141"/>
      <c r="OUR235" s="242"/>
      <c r="OUS235" s="141"/>
      <c r="OUV235" s="242"/>
      <c r="OUW235" s="141"/>
      <c r="OUZ235" s="242"/>
      <c r="OVA235" s="141"/>
      <c r="OVD235" s="242"/>
      <c r="OVE235" s="141"/>
      <c r="OVH235" s="242"/>
      <c r="OVI235" s="141"/>
      <c r="OVL235" s="242"/>
      <c r="OVM235" s="141"/>
      <c r="OVP235" s="242"/>
      <c r="OVQ235" s="141"/>
      <c r="OVT235" s="242"/>
      <c r="OVU235" s="141"/>
      <c r="OVX235" s="242"/>
      <c r="OVY235" s="141"/>
      <c r="OWB235" s="242"/>
      <c r="OWC235" s="141"/>
      <c r="OWF235" s="242"/>
      <c r="OWG235" s="141"/>
      <c r="OWJ235" s="242"/>
      <c r="OWK235" s="141"/>
      <c r="OWN235" s="242"/>
      <c r="OWO235" s="141"/>
      <c r="OWR235" s="242"/>
      <c r="OWS235" s="141"/>
      <c r="OWV235" s="242"/>
      <c r="OWW235" s="141"/>
      <c r="OWZ235" s="242"/>
      <c r="OXA235" s="141"/>
      <c r="OXD235" s="242"/>
      <c r="OXE235" s="141"/>
      <c r="OXH235" s="242"/>
      <c r="OXI235" s="141"/>
      <c r="OXL235" s="242"/>
      <c r="OXM235" s="141"/>
      <c r="OXP235" s="242"/>
      <c r="OXQ235" s="141"/>
      <c r="OXT235" s="242"/>
      <c r="OXU235" s="141"/>
      <c r="OXX235" s="242"/>
      <c r="OXY235" s="141"/>
      <c r="OYB235" s="242"/>
      <c r="OYC235" s="141"/>
      <c r="OYF235" s="242"/>
      <c r="OYG235" s="141"/>
      <c r="OYJ235" s="242"/>
      <c r="OYK235" s="141"/>
      <c r="OYN235" s="242"/>
      <c r="OYO235" s="141"/>
      <c r="OYR235" s="242"/>
      <c r="OYS235" s="141"/>
      <c r="OYV235" s="242"/>
      <c r="OYW235" s="141"/>
      <c r="OYZ235" s="242"/>
      <c r="OZA235" s="141"/>
      <c r="OZD235" s="242"/>
      <c r="OZE235" s="141"/>
      <c r="OZH235" s="242"/>
      <c r="OZI235" s="141"/>
      <c r="OZL235" s="242"/>
      <c r="OZM235" s="141"/>
      <c r="OZP235" s="242"/>
      <c r="OZQ235" s="141"/>
      <c r="OZT235" s="242"/>
      <c r="OZU235" s="141"/>
      <c r="OZX235" s="242"/>
      <c r="OZY235" s="141"/>
      <c r="PAB235" s="242"/>
      <c r="PAC235" s="141"/>
      <c r="PAF235" s="242"/>
      <c r="PAG235" s="141"/>
      <c r="PAJ235" s="242"/>
      <c r="PAK235" s="141"/>
      <c r="PAN235" s="242"/>
      <c r="PAO235" s="141"/>
      <c r="PAR235" s="242"/>
      <c r="PAS235" s="141"/>
      <c r="PAV235" s="242"/>
      <c r="PAW235" s="141"/>
      <c r="PAZ235" s="242"/>
      <c r="PBA235" s="141"/>
      <c r="PBD235" s="242"/>
      <c r="PBE235" s="141"/>
      <c r="PBH235" s="242"/>
      <c r="PBI235" s="141"/>
      <c r="PBL235" s="242"/>
      <c r="PBM235" s="141"/>
      <c r="PBP235" s="242"/>
      <c r="PBQ235" s="141"/>
      <c r="PBT235" s="242"/>
      <c r="PBU235" s="141"/>
      <c r="PBX235" s="242"/>
      <c r="PBY235" s="141"/>
      <c r="PCB235" s="242"/>
      <c r="PCC235" s="141"/>
      <c r="PCF235" s="242"/>
      <c r="PCG235" s="141"/>
      <c r="PCJ235" s="242"/>
      <c r="PCK235" s="141"/>
      <c r="PCN235" s="242"/>
      <c r="PCO235" s="141"/>
      <c r="PCR235" s="242"/>
      <c r="PCS235" s="141"/>
      <c r="PCV235" s="242"/>
      <c r="PCW235" s="141"/>
      <c r="PCZ235" s="242"/>
      <c r="PDA235" s="141"/>
      <c r="PDD235" s="242"/>
      <c r="PDE235" s="141"/>
      <c r="PDH235" s="242"/>
      <c r="PDI235" s="141"/>
      <c r="PDL235" s="242"/>
      <c r="PDM235" s="141"/>
      <c r="PDP235" s="242"/>
      <c r="PDQ235" s="141"/>
      <c r="PDT235" s="242"/>
      <c r="PDU235" s="141"/>
      <c r="PDX235" s="242"/>
      <c r="PDY235" s="141"/>
      <c r="PEB235" s="242"/>
      <c r="PEC235" s="141"/>
      <c r="PEF235" s="242"/>
      <c r="PEG235" s="141"/>
      <c r="PEJ235" s="242"/>
      <c r="PEK235" s="141"/>
      <c r="PEN235" s="242"/>
      <c r="PEO235" s="141"/>
      <c r="PER235" s="242"/>
      <c r="PES235" s="141"/>
      <c r="PEV235" s="242"/>
      <c r="PEW235" s="141"/>
      <c r="PEZ235" s="242"/>
      <c r="PFA235" s="141"/>
      <c r="PFD235" s="242"/>
      <c r="PFE235" s="141"/>
      <c r="PFH235" s="242"/>
      <c r="PFI235" s="141"/>
      <c r="PFL235" s="242"/>
      <c r="PFM235" s="141"/>
      <c r="PFP235" s="242"/>
      <c r="PFQ235" s="141"/>
      <c r="PFT235" s="242"/>
      <c r="PFU235" s="141"/>
      <c r="PFX235" s="242"/>
      <c r="PFY235" s="141"/>
      <c r="PGB235" s="242"/>
      <c r="PGC235" s="141"/>
      <c r="PGF235" s="242"/>
      <c r="PGG235" s="141"/>
      <c r="PGJ235" s="242"/>
      <c r="PGK235" s="141"/>
      <c r="PGN235" s="242"/>
      <c r="PGO235" s="141"/>
      <c r="PGR235" s="242"/>
      <c r="PGS235" s="141"/>
      <c r="PGV235" s="242"/>
      <c r="PGW235" s="141"/>
      <c r="PGZ235" s="242"/>
      <c r="PHA235" s="141"/>
      <c r="PHD235" s="242"/>
      <c r="PHE235" s="141"/>
      <c r="PHH235" s="242"/>
      <c r="PHI235" s="141"/>
      <c r="PHL235" s="242"/>
      <c r="PHM235" s="141"/>
      <c r="PHP235" s="242"/>
      <c r="PHQ235" s="141"/>
      <c r="PHT235" s="242"/>
      <c r="PHU235" s="141"/>
      <c r="PHX235" s="242"/>
      <c r="PHY235" s="141"/>
      <c r="PIB235" s="242"/>
      <c r="PIC235" s="141"/>
      <c r="PIF235" s="242"/>
      <c r="PIG235" s="141"/>
      <c r="PIJ235" s="242"/>
      <c r="PIK235" s="141"/>
      <c r="PIN235" s="242"/>
      <c r="PIO235" s="141"/>
      <c r="PIR235" s="242"/>
      <c r="PIS235" s="141"/>
      <c r="PIV235" s="242"/>
      <c r="PIW235" s="141"/>
      <c r="PIZ235" s="242"/>
      <c r="PJA235" s="141"/>
      <c r="PJD235" s="242"/>
      <c r="PJE235" s="141"/>
      <c r="PJH235" s="242"/>
      <c r="PJI235" s="141"/>
      <c r="PJL235" s="242"/>
      <c r="PJM235" s="141"/>
      <c r="PJP235" s="242"/>
      <c r="PJQ235" s="141"/>
      <c r="PJT235" s="242"/>
      <c r="PJU235" s="141"/>
      <c r="PJX235" s="242"/>
      <c r="PJY235" s="141"/>
      <c r="PKB235" s="242"/>
      <c r="PKC235" s="141"/>
      <c r="PKF235" s="242"/>
      <c r="PKG235" s="141"/>
      <c r="PKJ235" s="242"/>
      <c r="PKK235" s="141"/>
      <c r="PKN235" s="242"/>
      <c r="PKO235" s="141"/>
      <c r="PKR235" s="242"/>
      <c r="PKS235" s="141"/>
      <c r="PKV235" s="242"/>
      <c r="PKW235" s="141"/>
      <c r="PKZ235" s="242"/>
      <c r="PLA235" s="141"/>
      <c r="PLD235" s="242"/>
      <c r="PLE235" s="141"/>
      <c r="PLH235" s="242"/>
      <c r="PLI235" s="141"/>
      <c r="PLL235" s="242"/>
      <c r="PLM235" s="141"/>
      <c r="PLP235" s="242"/>
      <c r="PLQ235" s="141"/>
      <c r="PLT235" s="242"/>
      <c r="PLU235" s="141"/>
      <c r="PLX235" s="242"/>
      <c r="PLY235" s="141"/>
      <c r="PMB235" s="242"/>
      <c r="PMC235" s="141"/>
      <c r="PMF235" s="242"/>
      <c r="PMG235" s="141"/>
      <c r="PMJ235" s="242"/>
      <c r="PMK235" s="141"/>
      <c r="PMN235" s="242"/>
      <c r="PMO235" s="141"/>
      <c r="PMR235" s="242"/>
      <c r="PMS235" s="141"/>
      <c r="PMV235" s="242"/>
      <c r="PMW235" s="141"/>
      <c r="PMZ235" s="242"/>
      <c r="PNA235" s="141"/>
      <c r="PND235" s="242"/>
      <c r="PNE235" s="141"/>
      <c r="PNH235" s="242"/>
      <c r="PNI235" s="141"/>
      <c r="PNL235" s="242"/>
      <c r="PNM235" s="141"/>
      <c r="PNP235" s="242"/>
      <c r="PNQ235" s="141"/>
      <c r="PNT235" s="242"/>
      <c r="PNU235" s="141"/>
      <c r="PNX235" s="242"/>
      <c r="PNY235" s="141"/>
      <c r="POB235" s="242"/>
      <c r="POC235" s="141"/>
      <c r="POF235" s="242"/>
      <c r="POG235" s="141"/>
      <c r="POJ235" s="242"/>
      <c r="POK235" s="141"/>
      <c r="PON235" s="242"/>
      <c r="POO235" s="141"/>
      <c r="POR235" s="242"/>
      <c r="POS235" s="141"/>
      <c r="POV235" s="242"/>
      <c r="POW235" s="141"/>
      <c r="POZ235" s="242"/>
      <c r="PPA235" s="141"/>
      <c r="PPD235" s="242"/>
      <c r="PPE235" s="141"/>
      <c r="PPH235" s="242"/>
      <c r="PPI235" s="141"/>
      <c r="PPL235" s="242"/>
      <c r="PPM235" s="141"/>
      <c r="PPP235" s="242"/>
      <c r="PPQ235" s="141"/>
      <c r="PPT235" s="242"/>
      <c r="PPU235" s="141"/>
      <c r="PPX235" s="242"/>
      <c r="PPY235" s="141"/>
      <c r="PQB235" s="242"/>
      <c r="PQC235" s="141"/>
      <c r="PQF235" s="242"/>
      <c r="PQG235" s="141"/>
      <c r="PQJ235" s="242"/>
      <c r="PQK235" s="141"/>
      <c r="PQN235" s="242"/>
      <c r="PQO235" s="141"/>
      <c r="PQR235" s="242"/>
      <c r="PQS235" s="141"/>
      <c r="PQV235" s="242"/>
      <c r="PQW235" s="141"/>
      <c r="PQZ235" s="242"/>
      <c r="PRA235" s="141"/>
      <c r="PRD235" s="242"/>
      <c r="PRE235" s="141"/>
      <c r="PRH235" s="242"/>
      <c r="PRI235" s="141"/>
      <c r="PRL235" s="242"/>
      <c r="PRM235" s="141"/>
      <c r="PRP235" s="242"/>
      <c r="PRQ235" s="141"/>
      <c r="PRT235" s="242"/>
      <c r="PRU235" s="141"/>
      <c r="PRX235" s="242"/>
      <c r="PRY235" s="141"/>
      <c r="PSB235" s="242"/>
      <c r="PSC235" s="141"/>
      <c r="PSF235" s="242"/>
      <c r="PSG235" s="141"/>
      <c r="PSJ235" s="242"/>
      <c r="PSK235" s="141"/>
      <c r="PSN235" s="242"/>
      <c r="PSO235" s="141"/>
      <c r="PSR235" s="242"/>
      <c r="PSS235" s="141"/>
      <c r="PSV235" s="242"/>
      <c r="PSW235" s="141"/>
      <c r="PSZ235" s="242"/>
      <c r="PTA235" s="141"/>
      <c r="PTD235" s="242"/>
      <c r="PTE235" s="141"/>
      <c r="PTH235" s="242"/>
      <c r="PTI235" s="141"/>
      <c r="PTL235" s="242"/>
      <c r="PTM235" s="141"/>
      <c r="PTP235" s="242"/>
      <c r="PTQ235" s="141"/>
      <c r="PTT235" s="242"/>
      <c r="PTU235" s="141"/>
      <c r="PTX235" s="242"/>
      <c r="PTY235" s="141"/>
      <c r="PUB235" s="242"/>
      <c r="PUC235" s="141"/>
      <c r="PUF235" s="242"/>
      <c r="PUG235" s="141"/>
      <c r="PUJ235" s="242"/>
      <c r="PUK235" s="141"/>
      <c r="PUN235" s="242"/>
      <c r="PUO235" s="141"/>
      <c r="PUR235" s="242"/>
      <c r="PUS235" s="141"/>
      <c r="PUV235" s="242"/>
      <c r="PUW235" s="141"/>
      <c r="PUZ235" s="242"/>
      <c r="PVA235" s="141"/>
      <c r="PVD235" s="242"/>
      <c r="PVE235" s="141"/>
      <c r="PVH235" s="242"/>
      <c r="PVI235" s="141"/>
      <c r="PVL235" s="242"/>
      <c r="PVM235" s="141"/>
      <c r="PVP235" s="242"/>
      <c r="PVQ235" s="141"/>
      <c r="PVT235" s="242"/>
      <c r="PVU235" s="141"/>
      <c r="PVX235" s="242"/>
      <c r="PVY235" s="141"/>
      <c r="PWB235" s="242"/>
      <c r="PWC235" s="141"/>
      <c r="PWF235" s="242"/>
      <c r="PWG235" s="141"/>
      <c r="PWJ235" s="242"/>
      <c r="PWK235" s="141"/>
      <c r="PWN235" s="242"/>
      <c r="PWO235" s="141"/>
      <c r="PWR235" s="242"/>
      <c r="PWS235" s="141"/>
      <c r="PWV235" s="242"/>
      <c r="PWW235" s="141"/>
      <c r="PWZ235" s="242"/>
      <c r="PXA235" s="141"/>
      <c r="PXD235" s="242"/>
      <c r="PXE235" s="141"/>
      <c r="PXH235" s="242"/>
      <c r="PXI235" s="141"/>
      <c r="PXL235" s="242"/>
      <c r="PXM235" s="141"/>
      <c r="PXP235" s="242"/>
      <c r="PXQ235" s="141"/>
      <c r="PXT235" s="242"/>
      <c r="PXU235" s="141"/>
      <c r="PXX235" s="242"/>
      <c r="PXY235" s="141"/>
      <c r="PYB235" s="242"/>
      <c r="PYC235" s="141"/>
      <c r="PYF235" s="242"/>
      <c r="PYG235" s="141"/>
      <c r="PYJ235" s="242"/>
      <c r="PYK235" s="141"/>
      <c r="PYN235" s="242"/>
      <c r="PYO235" s="141"/>
      <c r="PYR235" s="242"/>
      <c r="PYS235" s="141"/>
      <c r="PYV235" s="242"/>
      <c r="PYW235" s="141"/>
      <c r="PYZ235" s="242"/>
      <c r="PZA235" s="141"/>
      <c r="PZD235" s="242"/>
      <c r="PZE235" s="141"/>
      <c r="PZH235" s="242"/>
      <c r="PZI235" s="141"/>
      <c r="PZL235" s="242"/>
      <c r="PZM235" s="141"/>
      <c r="PZP235" s="242"/>
      <c r="PZQ235" s="141"/>
      <c r="PZT235" s="242"/>
      <c r="PZU235" s="141"/>
      <c r="PZX235" s="242"/>
      <c r="PZY235" s="141"/>
      <c r="QAB235" s="242"/>
      <c r="QAC235" s="141"/>
      <c r="QAF235" s="242"/>
      <c r="QAG235" s="141"/>
      <c r="QAJ235" s="242"/>
      <c r="QAK235" s="141"/>
      <c r="QAN235" s="242"/>
      <c r="QAO235" s="141"/>
      <c r="QAR235" s="242"/>
      <c r="QAS235" s="141"/>
      <c r="QAV235" s="242"/>
      <c r="QAW235" s="141"/>
      <c r="QAZ235" s="242"/>
      <c r="QBA235" s="141"/>
      <c r="QBD235" s="242"/>
      <c r="QBE235" s="141"/>
      <c r="QBH235" s="242"/>
      <c r="QBI235" s="141"/>
      <c r="QBL235" s="242"/>
      <c r="QBM235" s="141"/>
      <c r="QBP235" s="242"/>
      <c r="QBQ235" s="141"/>
      <c r="QBT235" s="242"/>
      <c r="QBU235" s="141"/>
      <c r="QBX235" s="242"/>
      <c r="QBY235" s="141"/>
      <c r="QCB235" s="242"/>
      <c r="QCC235" s="141"/>
      <c r="QCF235" s="242"/>
      <c r="QCG235" s="141"/>
      <c r="QCJ235" s="242"/>
      <c r="QCK235" s="141"/>
      <c r="QCN235" s="242"/>
      <c r="QCO235" s="141"/>
      <c r="QCR235" s="242"/>
      <c r="QCS235" s="141"/>
      <c r="QCV235" s="242"/>
      <c r="QCW235" s="141"/>
      <c r="QCZ235" s="242"/>
      <c r="QDA235" s="141"/>
      <c r="QDD235" s="242"/>
      <c r="QDE235" s="141"/>
      <c r="QDH235" s="242"/>
      <c r="QDI235" s="141"/>
      <c r="QDL235" s="242"/>
      <c r="QDM235" s="141"/>
      <c r="QDP235" s="242"/>
      <c r="QDQ235" s="141"/>
      <c r="QDT235" s="242"/>
      <c r="QDU235" s="141"/>
      <c r="QDX235" s="242"/>
      <c r="QDY235" s="141"/>
      <c r="QEB235" s="242"/>
      <c r="QEC235" s="141"/>
      <c r="QEF235" s="242"/>
      <c r="QEG235" s="141"/>
      <c r="QEJ235" s="242"/>
      <c r="QEK235" s="141"/>
      <c r="QEN235" s="242"/>
      <c r="QEO235" s="141"/>
      <c r="QER235" s="242"/>
      <c r="QES235" s="141"/>
      <c r="QEV235" s="242"/>
      <c r="QEW235" s="141"/>
      <c r="QEZ235" s="242"/>
      <c r="QFA235" s="141"/>
      <c r="QFD235" s="242"/>
      <c r="QFE235" s="141"/>
      <c r="QFH235" s="242"/>
      <c r="QFI235" s="141"/>
      <c r="QFL235" s="242"/>
      <c r="QFM235" s="141"/>
      <c r="QFP235" s="242"/>
      <c r="QFQ235" s="141"/>
      <c r="QFT235" s="242"/>
      <c r="QFU235" s="141"/>
      <c r="QFX235" s="242"/>
      <c r="QFY235" s="141"/>
      <c r="QGB235" s="242"/>
      <c r="QGC235" s="141"/>
      <c r="QGF235" s="242"/>
      <c r="QGG235" s="141"/>
      <c r="QGJ235" s="242"/>
      <c r="QGK235" s="141"/>
      <c r="QGN235" s="242"/>
      <c r="QGO235" s="141"/>
      <c r="QGR235" s="242"/>
      <c r="QGS235" s="141"/>
      <c r="QGV235" s="242"/>
      <c r="QGW235" s="141"/>
      <c r="QGZ235" s="242"/>
      <c r="QHA235" s="141"/>
      <c r="QHD235" s="242"/>
      <c r="QHE235" s="141"/>
      <c r="QHH235" s="242"/>
      <c r="QHI235" s="141"/>
      <c r="QHL235" s="242"/>
      <c r="QHM235" s="141"/>
      <c r="QHP235" s="242"/>
      <c r="QHQ235" s="141"/>
      <c r="QHT235" s="242"/>
      <c r="QHU235" s="141"/>
      <c r="QHX235" s="242"/>
      <c r="QHY235" s="141"/>
      <c r="QIB235" s="242"/>
      <c r="QIC235" s="141"/>
      <c r="QIF235" s="242"/>
      <c r="QIG235" s="141"/>
      <c r="QIJ235" s="242"/>
      <c r="QIK235" s="141"/>
      <c r="QIN235" s="242"/>
      <c r="QIO235" s="141"/>
      <c r="QIR235" s="242"/>
      <c r="QIS235" s="141"/>
      <c r="QIV235" s="242"/>
      <c r="QIW235" s="141"/>
      <c r="QIZ235" s="242"/>
      <c r="QJA235" s="141"/>
      <c r="QJD235" s="242"/>
      <c r="QJE235" s="141"/>
      <c r="QJH235" s="242"/>
      <c r="QJI235" s="141"/>
      <c r="QJL235" s="242"/>
      <c r="QJM235" s="141"/>
      <c r="QJP235" s="242"/>
      <c r="QJQ235" s="141"/>
      <c r="QJT235" s="242"/>
      <c r="QJU235" s="141"/>
      <c r="QJX235" s="242"/>
      <c r="QJY235" s="141"/>
      <c r="QKB235" s="242"/>
      <c r="QKC235" s="141"/>
      <c r="QKF235" s="242"/>
      <c r="QKG235" s="141"/>
      <c r="QKJ235" s="242"/>
      <c r="QKK235" s="141"/>
      <c r="QKN235" s="242"/>
      <c r="QKO235" s="141"/>
      <c r="QKR235" s="242"/>
      <c r="QKS235" s="141"/>
      <c r="QKV235" s="242"/>
      <c r="QKW235" s="141"/>
      <c r="QKZ235" s="242"/>
      <c r="QLA235" s="141"/>
      <c r="QLD235" s="242"/>
      <c r="QLE235" s="141"/>
      <c r="QLH235" s="242"/>
      <c r="QLI235" s="141"/>
      <c r="QLL235" s="242"/>
      <c r="QLM235" s="141"/>
      <c r="QLP235" s="242"/>
      <c r="QLQ235" s="141"/>
      <c r="QLT235" s="242"/>
      <c r="QLU235" s="141"/>
      <c r="QLX235" s="242"/>
      <c r="QLY235" s="141"/>
      <c r="QMB235" s="242"/>
      <c r="QMC235" s="141"/>
      <c r="QMF235" s="242"/>
      <c r="QMG235" s="141"/>
      <c r="QMJ235" s="242"/>
      <c r="QMK235" s="141"/>
      <c r="QMN235" s="242"/>
      <c r="QMO235" s="141"/>
      <c r="QMR235" s="242"/>
      <c r="QMS235" s="141"/>
      <c r="QMV235" s="242"/>
      <c r="QMW235" s="141"/>
      <c r="QMZ235" s="242"/>
      <c r="QNA235" s="141"/>
      <c r="QND235" s="242"/>
      <c r="QNE235" s="141"/>
      <c r="QNH235" s="242"/>
      <c r="QNI235" s="141"/>
      <c r="QNL235" s="242"/>
      <c r="QNM235" s="141"/>
      <c r="QNP235" s="242"/>
      <c r="QNQ235" s="141"/>
      <c r="QNT235" s="242"/>
      <c r="QNU235" s="141"/>
      <c r="QNX235" s="242"/>
      <c r="QNY235" s="141"/>
      <c r="QOB235" s="242"/>
      <c r="QOC235" s="141"/>
      <c r="QOF235" s="242"/>
      <c r="QOG235" s="141"/>
      <c r="QOJ235" s="242"/>
      <c r="QOK235" s="141"/>
      <c r="QON235" s="242"/>
      <c r="QOO235" s="141"/>
      <c r="QOR235" s="242"/>
      <c r="QOS235" s="141"/>
      <c r="QOV235" s="242"/>
      <c r="QOW235" s="141"/>
      <c r="QOZ235" s="242"/>
      <c r="QPA235" s="141"/>
      <c r="QPD235" s="242"/>
      <c r="QPE235" s="141"/>
      <c r="QPH235" s="242"/>
      <c r="QPI235" s="141"/>
      <c r="QPL235" s="242"/>
      <c r="QPM235" s="141"/>
      <c r="QPP235" s="242"/>
      <c r="QPQ235" s="141"/>
      <c r="QPT235" s="242"/>
      <c r="QPU235" s="141"/>
      <c r="QPX235" s="242"/>
      <c r="QPY235" s="141"/>
      <c r="QQB235" s="242"/>
      <c r="QQC235" s="141"/>
      <c r="QQF235" s="242"/>
      <c r="QQG235" s="141"/>
      <c r="QQJ235" s="242"/>
      <c r="QQK235" s="141"/>
      <c r="QQN235" s="242"/>
      <c r="QQO235" s="141"/>
      <c r="QQR235" s="242"/>
      <c r="QQS235" s="141"/>
      <c r="QQV235" s="242"/>
      <c r="QQW235" s="141"/>
      <c r="QQZ235" s="242"/>
      <c r="QRA235" s="141"/>
      <c r="QRD235" s="242"/>
      <c r="QRE235" s="141"/>
      <c r="QRH235" s="242"/>
      <c r="QRI235" s="141"/>
      <c r="QRL235" s="242"/>
      <c r="QRM235" s="141"/>
      <c r="QRP235" s="242"/>
      <c r="QRQ235" s="141"/>
      <c r="QRT235" s="242"/>
      <c r="QRU235" s="141"/>
      <c r="QRX235" s="242"/>
      <c r="QRY235" s="141"/>
      <c r="QSB235" s="242"/>
      <c r="QSC235" s="141"/>
      <c r="QSF235" s="242"/>
      <c r="QSG235" s="141"/>
      <c r="QSJ235" s="242"/>
      <c r="QSK235" s="141"/>
      <c r="QSN235" s="242"/>
      <c r="QSO235" s="141"/>
      <c r="QSR235" s="242"/>
      <c r="QSS235" s="141"/>
      <c r="QSV235" s="242"/>
      <c r="QSW235" s="141"/>
      <c r="QSZ235" s="242"/>
      <c r="QTA235" s="141"/>
      <c r="QTD235" s="242"/>
      <c r="QTE235" s="141"/>
      <c r="QTH235" s="242"/>
      <c r="QTI235" s="141"/>
      <c r="QTL235" s="242"/>
      <c r="QTM235" s="141"/>
      <c r="QTP235" s="242"/>
      <c r="QTQ235" s="141"/>
      <c r="QTT235" s="242"/>
      <c r="QTU235" s="141"/>
      <c r="QTX235" s="242"/>
      <c r="QTY235" s="141"/>
      <c r="QUB235" s="242"/>
      <c r="QUC235" s="141"/>
      <c r="QUF235" s="242"/>
      <c r="QUG235" s="141"/>
      <c r="QUJ235" s="242"/>
      <c r="QUK235" s="141"/>
      <c r="QUN235" s="242"/>
      <c r="QUO235" s="141"/>
      <c r="QUR235" s="242"/>
      <c r="QUS235" s="141"/>
      <c r="QUV235" s="242"/>
      <c r="QUW235" s="141"/>
      <c r="QUZ235" s="242"/>
      <c r="QVA235" s="141"/>
      <c r="QVD235" s="242"/>
      <c r="QVE235" s="141"/>
      <c r="QVH235" s="242"/>
      <c r="QVI235" s="141"/>
      <c r="QVL235" s="242"/>
      <c r="QVM235" s="141"/>
      <c r="QVP235" s="242"/>
      <c r="QVQ235" s="141"/>
      <c r="QVT235" s="242"/>
      <c r="QVU235" s="141"/>
      <c r="QVX235" s="242"/>
      <c r="QVY235" s="141"/>
      <c r="QWB235" s="242"/>
      <c r="QWC235" s="141"/>
      <c r="QWF235" s="242"/>
      <c r="QWG235" s="141"/>
      <c r="QWJ235" s="242"/>
      <c r="QWK235" s="141"/>
      <c r="QWN235" s="242"/>
      <c r="QWO235" s="141"/>
      <c r="QWR235" s="242"/>
      <c r="QWS235" s="141"/>
      <c r="QWV235" s="242"/>
      <c r="QWW235" s="141"/>
      <c r="QWZ235" s="242"/>
      <c r="QXA235" s="141"/>
      <c r="QXD235" s="242"/>
      <c r="QXE235" s="141"/>
      <c r="QXH235" s="242"/>
      <c r="QXI235" s="141"/>
      <c r="QXL235" s="242"/>
      <c r="QXM235" s="141"/>
      <c r="QXP235" s="242"/>
      <c r="QXQ235" s="141"/>
      <c r="QXT235" s="242"/>
      <c r="QXU235" s="141"/>
      <c r="QXX235" s="242"/>
      <c r="QXY235" s="141"/>
      <c r="QYB235" s="242"/>
      <c r="QYC235" s="141"/>
      <c r="QYF235" s="242"/>
      <c r="QYG235" s="141"/>
      <c r="QYJ235" s="242"/>
      <c r="QYK235" s="141"/>
      <c r="QYN235" s="242"/>
      <c r="QYO235" s="141"/>
      <c r="QYR235" s="242"/>
      <c r="QYS235" s="141"/>
      <c r="QYV235" s="242"/>
      <c r="QYW235" s="141"/>
      <c r="QYZ235" s="242"/>
      <c r="QZA235" s="141"/>
      <c r="QZD235" s="242"/>
      <c r="QZE235" s="141"/>
      <c r="QZH235" s="242"/>
      <c r="QZI235" s="141"/>
      <c r="QZL235" s="242"/>
      <c r="QZM235" s="141"/>
      <c r="QZP235" s="242"/>
      <c r="QZQ235" s="141"/>
      <c r="QZT235" s="242"/>
      <c r="QZU235" s="141"/>
      <c r="QZX235" s="242"/>
      <c r="QZY235" s="141"/>
      <c r="RAB235" s="242"/>
      <c r="RAC235" s="141"/>
      <c r="RAF235" s="242"/>
      <c r="RAG235" s="141"/>
      <c r="RAJ235" s="242"/>
      <c r="RAK235" s="141"/>
      <c r="RAN235" s="242"/>
      <c r="RAO235" s="141"/>
      <c r="RAR235" s="242"/>
      <c r="RAS235" s="141"/>
      <c r="RAV235" s="242"/>
      <c r="RAW235" s="141"/>
      <c r="RAZ235" s="242"/>
      <c r="RBA235" s="141"/>
      <c r="RBD235" s="242"/>
      <c r="RBE235" s="141"/>
      <c r="RBH235" s="242"/>
      <c r="RBI235" s="141"/>
      <c r="RBL235" s="242"/>
      <c r="RBM235" s="141"/>
      <c r="RBP235" s="242"/>
      <c r="RBQ235" s="141"/>
      <c r="RBT235" s="242"/>
      <c r="RBU235" s="141"/>
      <c r="RBX235" s="242"/>
      <c r="RBY235" s="141"/>
      <c r="RCB235" s="242"/>
      <c r="RCC235" s="141"/>
      <c r="RCF235" s="242"/>
      <c r="RCG235" s="141"/>
      <c r="RCJ235" s="242"/>
      <c r="RCK235" s="141"/>
      <c r="RCN235" s="242"/>
      <c r="RCO235" s="141"/>
      <c r="RCR235" s="242"/>
      <c r="RCS235" s="141"/>
      <c r="RCV235" s="242"/>
      <c r="RCW235" s="141"/>
      <c r="RCZ235" s="242"/>
      <c r="RDA235" s="141"/>
      <c r="RDD235" s="242"/>
      <c r="RDE235" s="141"/>
      <c r="RDH235" s="242"/>
      <c r="RDI235" s="141"/>
      <c r="RDL235" s="242"/>
      <c r="RDM235" s="141"/>
      <c r="RDP235" s="242"/>
      <c r="RDQ235" s="141"/>
      <c r="RDT235" s="242"/>
      <c r="RDU235" s="141"/>
      <c r="RDX235" s="242"/>
      <c r="RDY235" s="141"/>
      <c r="REB235" s="242"/>
      <c r="REC235" s="141"/>
      <c r="REF235" s="242"/>
      <c r="REG235" s="141"/>
      <c r="REJ235" s="242"/>
      <c r="REK235" s="141"/>
      <c r="REN235" s="242"/>
      <c r="REO235" s="141"/>
      <c r="RER235" s="242"/>
      <c r="RES235" s="141"/>
      <c r="REV235" s="242"/>
      <c r="REW235" s="141"/>
      <c r="REZ235" s="242"/>
      <c r="RFA235" s="141"/>
      <c r="RFD235" s="242"/>
      <c r="RFE235" s="141"/>
      <c r="RFH235" s="242"/>
      <c r="RFI235" s="141"/>
      <c r="RFL235" s="242"/>
      <c r="RFM235" s="141"/>
      <c r="RFP235" s="242"/>
      <c r="RFQ235" s="141"/>
      <c r="RFT235" s="242"/>
      <c r="RFU235" s="141"/>
      <c r="RFX235" s="242"/>
      <c r="RFY235" s="141"/>
      <c r="RGB235" s="242"/>
      <c r="RGC235" s="141"/>
      <c r="RGF235" s="242"/>
      <c r="RGG235" s="141"/>
      <c r="RGJ235" s="242"/>
      <c r="RGK235" s="141"/>
      <c r="RGN235" s="242"/>
      <c r="RGO235" s="141"/>
      <c r="RGR235" s="242"/>
      <c r="RGS235" s="141"/>
      <c r="RGV235" s="242"/>
      <c r="RGW235" s="141"/>
      <c r="RGZ235" s="242"/>
      <c r="RHA235" s="141"/>
      <c r="RHD235" s="242"/>
      <c r="RHE235" s="141"/>
      <c r="RHH235" s="242"/>
      <c r="RHI235" s="141"/>
      <c r="RHL235" s="242"/>
      <c r="RHM235" s="141"/>
      <c r="RHP235" s="242"/>
      <c r="RHQ235" s="141"/>
      <c r="RHT235" s="242"/>
      <c r="RHU235" s="141"/>
      <c r="RHX235" s="242"/>
      <c r="RHY235" s="141"/>
      <c r="RIB235" s="242"/>
      <c r="RIC235" s="141"/>
      <c r="RIF235" s="242"/>
      <c r="RIG235" s="141"/>
      <c r="RIJ235" s="242"/>
      <c r="RIK235" s="141"/>
      <c r="RIN235" s="242"/>
      <c r="RIO235" s="141"/>
      <c r="RIR235" s="242"/>
      <c r="RIS235" s="141"/>
      <c r="RIV235" s="242"/>
      <c r="RIW235" s="141"/>
      <c r="RIZ235" s="242"/>
      <c r="RJA235" s="141"/>
      <c r="RJD235" s="242"/>
      <c r="RJE235" s="141"/>
      <c r="RJH235" s="242"/>
      <c r="RJI235" s="141"/>
      <c r="RJL235" s="242"/>
      <c r="RJM235" s="141"/>
      <c r="RJP235" s="242"/>
      <c r="RJQ235" s="141"/>
      <c r="RJT235" s="242"/>
      <c r="RJU235" s="141"/>
      <c r="RJX235" s="242"/>
      <c r="RJY235" s="141"/>
      <c r="RKB235" s="242"/>
      <c r="RKC235" s="141"/>
      <c r="RKF235" s="242"/>
      <c r="RKG235" s="141"/>
      <c r="RKJ235" s="242"/>
      <c r="RKK235" s="141"/>
      <c r="RKN235" s="242"/>
      <c r="RKO235" s="141"/>
      <c r="RKR235" s="242"/>
      <c r="RKS235" s="141"/>
      <c r="RKV235" s="242"/>
      <c r="RKW235" s="141"/>
      <c r="RKZ235" s="242"/>
      <c r="RLA235" s="141"/>
      <c r="RLD235" s="242"/>
      <c r="RLE235" s="141"/>
      <c r="RLH235" s="242"/>
      <c r="RLI235" s="141"/>
      <c r="RLL235" s="242"/>
      <c r="RLM235" s="141"/>
      <c r="RLP235" s="242"/>
      <c r="RLQ235" s="141"/>
      <c r="RLT235" s="242"/>
      <c r="RLU235" s="141"/>
      <c r="RLX235" s="242"/>
      <c r="RLY235" s="141"/>
      <c r="RMB235" s="242"/>
      <c r="RMC235" s="141"/>
      <c r="RMF235" s="242"/>
      <c r="RMG235" s="141"/>
      <c r="RMJ235" s="242"/>
      <c r="RMK235" s="141"/>
      <c r="RMN235" s="242"/>
      <c r="RMO235" s="141"/>
      <c r="RMR235" s="242"/>
      <c r="RMS235" s="141"/>
      <c r="RMV235" s="242"/>
      <c r="RMW235" s="141"/>
      <c r="RMZ235" s="242"/>
      <c r="RNA235" s="141"/>
      <c r="RND235" s="242"/>
      <c r="RNE235" s="141"/>
      <c r="RNH235" s="242"/>
      <c r="RNI235" s="141"/>
      <c r="RNL235" s="242"/>
      <c r="RNM235" s="141"/>
      <c r="RNP235" s="242"/>
      <c r="RNQ235" s="141"/>
      <c r="RNT235" s="242"/>
      <c r="RNU235" s="141"/>
      <c r="RNX235" s="242"/>
      <c r="RNY235" s="141"/>
      <c r="ROB235" s="242"/>
      <c r="ROC235" s="141"/>
      <c r="ROF235" s="242"/>
      <c r="ROG235" s="141"/>
      <c r="ROJ235" s="242"/>
      <c r="ROK235" s="141"/>
      <c r="RON235" s="242"/>
      <c r="ROO235" s="141"/>
      <c r="ROR235" s="242"/>
      <c r="ROS235" s="141"/>
      <c r="ROV235" s="242"/>
      <c r="ROW235" s="141"/>
      <c r="ROZ235" s="242"/>
      <c r="RPA235" s="141"/>
      <c r="RPD235" s="242"/>
      <c r="RPE235" s="141"/>
      <c r="RPH235" s="242"/>
      <c r="RPI235" s="141"/>
      <c r="RPL235" s="242"/>
      <c r="RPM235" s="141"/>
      <c r="RPP235" s="242"/>
      <c r="RPQ235" s="141"/>
      <c r="RPT235" s="242"/>
      <c r="RPU235" s="141"/>
      <c r="RPX235" s="242"/>
      <c r="RPY235" s="141"/>
      <c r="RQB235" s="242"/>
      <c r="RQC235" s="141"/>
      <c r="RQF235" s="242"/>
      <c r="RQG235" s="141"/>
      <c r="RQJ235" s="242"/>
      <c r="RQK235" s="141"/>
      <c r="RQN235" s="242"/>
      <c r="RQO235" s="141"/>
      <c r="RQR235" s="242"/>
      <c r="RQS235" s="141"/>
      <c r="RQV235" s="242"/>
      <c r="RQW235" s="141"/>
      <c r="RQZ235" s="242"/>
      <c r="RRA235" s="141"/>
      <c r="RRD235" s="242"/>
      <c r="RRE235" s="141"/>
      <c r="RRH235" s="242"/>
      <c r="RRI235" s="141"/>
      <c r="RRL235" s="242"/>
      <c r="RRM235" s="141"/>
      <c r="RRP235" s="242"/>
      <c r="RRQ235" s="141"/>
      <c r="RRT235" s="242"/>
      <c r="RRU235" s="141"/>
      <c r="RRX235" s="242"/>
      <c r="RRY235" s="141"/>
      <c r="RSB235" s="242"/>
      <c r="RSC235" s="141"/>
      <c r="RSF235" s="242"/>
      <c r="RSG235" s="141"/>
      <c r="RSJ235" s="242"/>
      <c r="RSK235" s="141"/>
      <c r="RSN235" s="242"/>
      <c r="RSO235" s="141"/>
      <c r="RSR235" s="242"/>
      <c r="RSS235" s="141"/>
      <c r="RSV235" s="242"/>
      <c r="RSW235" s="141"/>
      <c r="RSZ235" s="242"/>
      <c r="RTA235" s="141"/>
      <c r="RTD235" s="242"/>
      <c r="RTE235" s="141"/>
      <c r="RTH235" s="242"/>
      <c r="RTI235" s="141"/>
      <c r="RTL235" s="242"/>
      <c r="RTM235" s="141"/>
      <c r="RTP235" s="242"/>
      <c r="RTQ235" s="141"/>
      <c r="RTT235" s="242"/>
      <c r="RTU235" s="141"/>
      <c r="RTX235" s="242"/>
      <c r="RTY235" s="141"/>
      <c r="RUB235" s="242"/>
      <c r="RUC235" s="141"/>
      <c r="RUF235" s="242"/>
      <c r="RUG235" s="141"/>
      <c r="RUJ235" s="242"/>
      <c r="RUK235" s="141"/>
      <c r="RUN235" s="242"/>
      <c r="RUO235" s="141"/>
      <c r="RUR235" s="242"/>
      <c r="RUS235" s="141"/>
      <c r="RUV235" s="242"/>
      <c r="RUW235" s="141"/>
      <c r="RUZ235" s="242"/>
      <c r="RVA235" s="141"/>
      <c r="RVD235" s="242"/>
      <c r="RVE235" s="141"/>
      <c r="RVH235" s="242"/>
      <c r="RVI235" s="141"/>
      <c r="RVL235" s="242"/>
      <c r="RVM235" s="141"/>
      <c r="RVP235" s="242"/>
      <c r="RVQ235" s="141"/>
      <c r="RVT235" s="242"/>
      <c r="RVU235" s="141"/>
      <c r="RVX235" s="242"/>
      <c r="RVY235" s="141"/>
      <c r="RWB235" s="242"/>
      <c r="RWC235" s="141"/>
      <c r="RWF235" s="242"/>
      <c r="RWG235" s="141"/>
      <c r="RWJ235" s="242"/>
      <c r="RWK235" s="141"/>
      <c r="RWN235" s="242"/>
      <c r="RWO235" s="141"/>
      <c r="RWR235" s="242"/>
      <c r="RWS235" s="141"/>
      <c r="RWV235" s="242"/>
      <c r="RWW235" s="141"/>
      <c r="RWZ235" s="242"/>
      <c r="RXA235" s="141"/>
      <c r="RXD235" s="242"/>
      <c r="RXE235" s="141"/>
      <c r="RXH235" s="242"/>
      <c r="RXI235" s="141"/>
      <c r="RXL235" s="242"/>
      <c r="RXM235" s="141"/>
      <c r="RXP235" s="242"/>
      <c r="RXQ235" s="141"/>
      <c r="RXT235" s="242"/>
      <c r="RXU235" s="141"/>
      <c r="RXX235" s="242"/>
      <c r="RXY235" s="141"/>
      <c r="RYB235" s="242"/>
      <c r="RYC235" s="141"/>
      <c r="RYF235" s="242"/>
      <c r="RYG235" s="141"/>
      <c r="RYJ235" s="242"/>
      <c r="RYK235" s="141"/>
      <c r="RYN235" s="242"/>
      <c r="RYO235" s="141"/>
      <c r="RYR235" s="242"/>
      <c r="RYS235" s="141"/>
      <c r="RYV235" s="242"/>
      <c r="RYW235" s="141"/>
      <c r="RYZ235" s="242"/>
      <c r="RZA235" s="141"/>
      <c r="RZD235" s="242"/>
      <c r="RZE235" s="141"/>
      <c r="RZH235" s="242"/>
      <c r="RZI235" s="141"/>
      <c r="RZL235" s="242"/>
      <c r="RZM235" s="141"/>
      <c r="RZP235" s="242"/>
      <c r="RZQ235" s="141"/>
      <c r="RZT235" s="242"/>
      <c r="RZU235" s="141"/>
      <c r="RZX235" s="242"/>
      <c r="RZY235" s="141"/>
      <c r="SAB235" s="242"/>
      <c r="SAC235" s="141"/>
      <c r="SAF235" s="242"/>
      <c r="SAG235" s="141"/>
      <c r="SAJ235" s="242"/>
      <c r="SAK235" s="141"/>
      <c r="SAN235" s="242"/>
      <c r="SAO235" s="141"/>
      <c r="SAR235" s="242"/>
      <c r="SAS235" s="141"/>
      <c r="SAV235" s="242"/>
      <c r="SAW235" s="141"/>
      <c r="SAZ235" s="242"/>
      <c r="SBA235" s="141"/>
      <c r="SBD235" s="242"/>
      <c r="SBE235" s="141"/>
      <c r="SBH235" s="242"/>
      <c r="SBI235" s="141"/>
      <c r="SBL235" s="242"/>
      <c r="SBM235" s="141"/>
      <c r="SBP235" s="242"/>
      <c r="SBQ235" s="141"/>
      <c r="SBT235" s="242"/>
      <c r="SBU235" s="141"/>
      <c r="SBX235" s="242"/>
      <c r="SBY235" s="141"/>
      <c r="SCB235" s="242"/>
      <c r="SCC235" s="141"/>
      <c r="SCF235" s="242"/>
      <c r="SCG235" s="141"/>
      <c r="SCJ235" s="242"/>
      <c r="SCK235" s="141"/>
      <c r="SCN235" s="242"/>
      <c r="SCO235" s="141"/>
      <c r="SCR235" s="242"/>
      <c r="SCS235" s="141"/>
      <c r="SCV235" s="242"/>
      <c r="SCW235" s="141"/>
      <c r="SCZ235" s="242"/>
      <c r="SDA235" s="141"/>
      <c r="SDD235" s="242"/>
      <c r="SDE235" s="141"/>
      <c r="SDH235" s="242"/>
      <c r="SDI235" s="141"/>
      <c r="SDL235" s="242"/>
      <c r="SDM235" s="141"/>
      <c r="SDP235" s="242"/>
      <c r="SDQ235" s="141"/>
      <c r="SDT235" s="242"/>
      <c r="SDU235" s="141"/>
      <c r="SDX235" s="242"/>
      <c r="SDY235" s="141"/>
      <c r="SEB235" s="242"/>
      <c r="SEC235" s="141"/>
      <c r="SEF235" s="242"/>
      <c r="SEG235" s="141"/>
      <c r="SEJ235" s="242"/>
      <c r="SEK235" s="141"/>
      <c r="SEN235" s="242"/>
      <c r="SEO235" s="141"/>
      <c r="SER235" s="242"/>
      <c r="SES235" s="141"/>
      <c r="SEV235" s="242"/>
      <c r="SEW235" s="141"/>
      <c r="SEZ235" s="242"/>
      <c r="SFA235" s="141"/>
      <c r="SFD235" s="242"/>
      <c r="SFE235" s="141"/>
      <c r="SFH235" s="242"/>
      <c r="SFI235" s="141"/>
      <c r="SFL235" s="242"/>
      <c r="SFM235" s="141"/>
      <c r="SFP235" s="242"/>
      <c r="SFQ235" s="141"/>
      <c r="SFT235" s="242"/>
      <c r="SFU235" s="141"/>
      <c r="SFX235" s="242"/>
      <c r="SFY235" s="141"/>
      <c r="SGB235" s="242"/>
      <c r="SGC235" s="141"/>
      <c r="SGF235" s="242"/>
      <c r="SGG235" s="141"/>
      <c r="SGJ235" s="242"/>
      <c r="SGK235" s="141"/>
      <c r="SGN235" s="242"/>
      <c r="SGO235" s="141"/>
      <c r="SGR235" s="242"/>
      <c r="SGS235" s="141"/>
      <c r="SGV235" s="242"/>
      <c r="SGW235" s="141"/>
      <c r="SGZ235" s="242"/>
      <c r="SHA235" s="141"/>
      <c r="SHD235" s="242"/>
      <c r="SHE235" s="141"/>
      <c r="SHH235" s="242"/>
      <c r="SHI235" s="141"/>
      <c r="SHL235" s="242"/>
      <c r="SHM235" s="141"/>
      <c r="SHP235" s="242"/>
      <c r="SHQ235" s="141"/>
      <c r="SHT235" s="242"/>
      <c r="SHU235" s="141"/>
      <c r="SHX235" s="242"/>
      <c r="SHY235" s="141"/>
      <c r="SIB235" s="242"/>
      <c r="SIC235" s="141"/>
      <c r="SIF235" s="242"/>
      <c r="SIG235" s="141"/>
      <c r="SIJ235" s="242"/>
      <c r="SIK235" s="141"/>
      <c r="SIN235" s="242"/>
      <c r="SIO235" s="141"/>
      <c r="SIR235" s="242"/>
      <c r="SIS235" s="141"/>
      <c r="SIV235" s="242"/>
      <c r="SIW235" s="141"/>
      <c r="SIZ235" s="242"/>
      <c r="SJA235" s="141"/>
      <c r="SJD235" s="242"/>
      <c r="SJE235" s="141"/>
      <c r="SJH235" s="242"/>
      <c r="SJI235" s="141"/>
      <c r="SJL235" s="242"/>
      <c r="SJM235" s="141"/>
      <c r="SJP235" s="242"/>
      <c r="SJQ235" s="141"/>
      <c r="SJT235" s="242"/>
      <c r="SJU235" s="141"/>
      <c r="SJX235" s="242"/>
      <c r="SJY235" s="141"/>
      <c r="SKB235" s="242"/>
      <c r="SKC235" s="141"/>
      <c r="SKF235" s="242"/>
      <c r="SKG235" s="141"/>
      <c r="SKJ235" s="242"/>
      <c r="SKK235" s="141"/>
      <c r="SKN235" s="242"/>
      <c r="SKO235" s="141"/>
      <c r="SKR235" s="242"/>
      <c r="SKS235" s="141"/>
      <c r="SKV235" s="242"/>
      <c r="SKW235" s="141"/>
      <c r="SKZ235" s="242"/>
      <c r="SLA235" s="141"/>
      <c r="SLD235" s="242"/>
      <c r="SLE235" s="141"/>
      <c r="SLH235" s="242"/>
      <c r="SLI235" s="141"/>
      <c r="SLL235" s="242"/>
      <c r="SLM235" s="141"/>
      <c r="SLP235" s="242"/>
      <c r="SLQ235" s="141"/>
      <c r="SLT235" s="242"/>
      <c r="SLU235" s="141"/>
      <c r="SLX235" s="242"/>
      <c r="SLY235" s="141"/>
      <c r="SMB235" s="242"/>
      <c r="SMC235" s="141"/>
      <c r="SMF235" s="242"/>
      <c r="SMG235" s="141"/>
      <c r="SMJ235" s="242"/>
      <c r="SMK235" s="141"/>
      <c r="SMN235" s="242"/>
      <c r="SMO235" s="141"/>
      <c r="SMR235" s="242"/>
      <c r="SMS235" s="141"/>
      <c r="SMV235" s="242"/>
      <c r="SMW235" s="141"/>
      <c r="SMZ235" s="242"/>
      <c r="SNA235" s="141"/>
      <c r="SND235" s="242"/>
      <c r="SNE235" s="141"/>
      <c r="SNH235" s="242"/>
      <c r="SNI235" s="141"/>
      <c r="SNL235" s="242"/>
      <c r="SNM235" s="141"/>
      <c r="SNP235" s="242"/>
      <c r="SNQ235" s="141"/>
      <c r="SNT235" s="242"/>
      <c r="SNU235" s="141"/>
      <c r="SNX235" s="242"/>
      <c r="SNY235" s="141"/>
      <c r="SOB235" s="242"/>
      <c r="SOC235" s="141"/>
      <c r="SOF235" s="242"/>
      <c r="SOG235" s="141"/>
      <c r="SOJ235" s="242"/>
      <c r="SOK235" s="141"/>
      <c r="SON235" s="242"/>
      <c r="SOO235" s="141"/>
      <c r="SOR235" s="242"/>
      <c r="SOS235" s="141"/>
      <c r="SOV235" s="242"/>
      <c r="SOW235" s="141"/>
      <c r="SOZ235" s="242"/>
      <c r="SPA235" s="141"/>
      <c r="SPD235" s="242"/>
      <c r="SPE235" s="141"/>
      <c r="SPH235" s="242"/>
      <c r="SPI235" s="141"/>
      <c r="SPL235" s="242"/>
      <c r="SPM235" s="141"/>
      <c r="SPP235" s="242"/>
      <c r="SPQ235" s="141"/>
      <c r="SPT235" s="242"/>
      <c r="SPU235" s="141"/>
      <c r="SPX235" s="242"/>
      <c r="SPY235" s="141"/>
      <c r="SQB235" s="242"/>
      <c r="SQC235" s="141"/>
      <c r="SQF235" s="242"/>
      <c r="SQG235" s="141"/>
      <c r="SQJ235" s="242"/>
      <c r="SQK235" s="141"/>
      <c r="SQN235" s="242"/>
      <c r="SQO235" s="141"/>
      <c r="SQR235" s="242"/>
      <c r="SQS235" s="141"/>
      <c r="SQV235" s="242"/>
      <c r="SQW235" s="141"/>
      <c r="SQZ235" s="242"/>
      <c r="SRA235" s="141"/>
      <c r="SRD235" s="242"/>
      <c r="SRE235" s="141"/>
      <c r="SRH235" s="242"/>
      <c r="SRI235" s="141"/>
      <c r="SRL235" s="242"/>
      <c r="SRM235" s="141"/>
      <c r="SRP235" s="242"/>
      <c r="SRQ235" s="141"/>
      <c r="SRT235" s="242"/>
      <c r="SRU235" s="141"/>
      <c r="SRX235" s="242"/>
      <c r="SRY235" s="141"/>
      <c r="SSB235" s="242"/>
      <c r="SSC235" s="141"/>
      <c r="SSF235" s="242"/>
      <c r="SSG235" s="141"/>
      <c r="SSJ235" s="242"/>
      <c r="SSK235" s="141"/>
      <c r="SSN235" s="242"/>
      <c r="SSO235" s="141"/>
      <c r="SSR235" s="242"/>
      <c r="SSS235" s="141"/>
      <c r="SSV235" s="242"/>
      <c r="SSW235" s="141"/>
      <c r="SSZ235" s="242"/>
      <c r="STA235" s="141"/>
      <c r="STD235" s="242"/>
      <c r="STE235" s="141"/>
      <c r="STH235" s="242"/>
      <c r="STI235" s="141"/>
      <c r="STL235" s="242"/>
      <c r="STM235" s="141"/>
      <c r="STP235" s="242"/>
      <c r="STQ235" s="141"/>
      <c r="STT235" s="242"/>
      <c r="STU235" s="141"/>
      <c r="STX235" s="242"/>
      <c r="STY235" s="141"/>
      <c r="SUB235" s="242"/>
      <c r="SUC235" s="141"/>
      <c r="SUF235" s="242"/>
      <c r="SUG235" s="141"/>
      <c r="SUJ235" s="242"/>
      <c r="SUK235" s="141"/>
      <c r="SUN235" s="242"/>
      <c r="SUO235" s="141"/>
      <c r="SUR235" s="242"/>
      <c r="SUS235" s="141"/>
      <c r="SUV235" s="242"/>
      <c r="SUW235" s="141"/>
      <c r="SUZ235" s="242"/>
      <c r="SVA235" s="141"/>
      <c r="SVD235" s="242"/>
      <c r="SVE235" s="141"/>
      <c r="SVH235" s="242"/>
      <c r="SVI235" s="141"/>
      <c r="SVL235" s="242"/>
      <c r="SVM235" s="141"/>
      <c r="SVP235" s="242"/>
      <c r="SVQ235" s="141"/>
      <c r="SVT235" s="242"/>
      <c r="SVU235" s="141"/>
      <c r="SVX235" s="242"/>
      <c r="SVY235" s="141"/>
      <c r="SWB235" s="242"/>
      <c r="SWC235" s="141"/>
      <c r="SWF235" s="242"/>
      <c r="SWG235" s="141"/>
      <c r="SWJ235" s="242"/>
      <c r="SWK235" s="141"/>
      <c r="SWN235" s="242"/>
      <c r="SWO235" s="141"/>
      <c r="SWR235" s="242"/>
      <c r="SWS235" s="141"/>
      <c r="SWV235" s="242"/>
      <c r="SWW235" s="141"/>
      <c r="SWZ235" s="242"/>
      <c r="SXA235" s="141"/>
      <c r="SXD235" s="242"/>
      <c r="SXE235" s="141"/>
      <c r="SXH235" s="242"/>
      <c r="SXI235" s="141"/>
      <c r="SXL235" s="242"/>
      <c r="SXM235" s="141"/>
      <c r="SXP235" s="242"/>
      <c r="SXQ235" s="141"/>
      <c r="SXT235" s="242"/>
      <c r="SXU235" s="141"/>
      <c r="SXX235" s="242"/>
      <c r="SXY235" s="141"/>
      <c r="SYB235" s="242"/>
      <c r="SYC235" s="141"/>
      <c r="SYF235" s="242"/>
      <c r="SYG235" s="141"/>
      <c r="SYJ235" s="242"/>
      <c r="SYK235" s="141"/>
      <c r="SYN235" s="242"/>
      <c r="SYO235" s="141"/>
      <c r="SYR235" s="242"/>
      <c r="SYS235" s="141"/>
      <c r="SYV235" s="242"/>
      <c r="SYW235" s="141"/>
      <c r="SYZ235" s="242"/>
      <c r="SZA235" s="141"/>
      <c r="SZD235" s="242"/>
      <c r="SZE235" s="141"/>
      <c r="SZH235" s="242"/>
      <c r="SZI235" s="141"/>
      <c r="SZL235" s="242"/>
      <c r="SZM235" s="141"/>
      <c r="SZP235" s="242"/>
      <c r="SZQ235" s="141"/>
      <c r="SZT235" s="242"/>
      <c r="SZU235" s="141"/>
      <c r="SZX235" s="242"/>
      <c r="SZY235" s="141"/>
      <c r="TAB235" s="242"/>
      <c r="TAC235" s="141"/>
      <c r="TAF235" s="242"/>
      <c r="TAG235" s="141"/>
      <c r="TAJ235" s="242"/>
      <c r="TAK235" s="141"/>
      <c r="TAN235" s="242"/>
      <c r="TAO235" s="141"/>
      <c r="TAR235" s="242"/>
      <c r="TAS235" s="141"/>
      <c r="TAV235" s="242"/>
      <c r="TAW235" s="141"/>
      <c r="TAZ235" s="242"/>
      <c r="TBA235" s="141"/>
      <c r="TBD235" s="242"/>
      <c r="TBE235" s="141"/>
      <c r="TBH235" s="242"/>
      <c r="TBI235" s="141"/>
      <c r="TBL235" s="242"/>
      <c r="TBM235" s="141"/>
      <c r="TBP235" s="242"/>
      <c r="TBQ235" s="141"/>
      <c r="TBT235" s="242"/>
      <c r="TBU235" s="141"/>
      <c r="TBX235" s="242"/>
      <c r="TBY235" s="141"/>
      <c r="TCB235" s="242"/>
      <c r="TCC235" s="141"/>
      <c r="TCF235" s="242"/>
      <c r="TCG235" s="141"/>
      <c r="TCJ235" s="242"/>
      <c r="TCK235" s="141"/>
      <c r="TCN235" s="242"/>
      <c r="TCO235" s="141"/>
      <c r="TCR235" s="242"/>
      <c r="TCS235" s="141"/>
      <c r="TCV235" s="242"/>
      <c r="TCW235" s="141"/>
      <c r="TCZ235" s="242"/>
      <c r="TDA235" s="141"/>
      <c r="TDD235" s="242"/>
      <c r="TDE235" s="141"/>
      <c r="TDH235" s="242"/>
      <c r="TDI235" s="141"/>
      <c r="TDL235" s="242"/>
      <c r="TDM235" s="141"/>
      <c r="TDP235" s="242"/>
      <c r="TDQ235" s="141"/>
      <c r="TDT235" s="242"/>
      <c r="TDU235" s="141"/>
      <c r="TDX235" s="242"/>
      <c r="TDY235" s="141"/>
      <c r="TEB235" s="242"/>
      <c r="TEC235" s="141"/>
      <c r="TEF235" s="242"/>
      <c r="TEG235" s="141"/>
      <c r="TEJ235" s="242"/>
      <c r="TEK235" s="141"/>
      <c r="TEN235" s="242"/>
      <c r="TEO235" s="141"/>
      <c r="TER235" s="242"/>
      <c r="TES235" s="141"/>
      <c r="TEV235" s="242"/>
      <c r="TEW235" s="141"/>
      <c r="TEZ235" s="242"/>
      <c r="TFA235" s="141"/>
      <c r="TFD235" s="242"/>
      <c r="TFE235" s="141"/>
      <c r="TFH235" s="242"/>
      <c r="TFI235" s="141"/>
      <c r="TFL235" s="242"/>
      <c r="TFM235" s="141"/>
      <c r="TFP235" s="242"/>
      <c r="TFQ235" s="141"/>
      <c r="TFT235" s="242"/>
      <c r="TFU235" s="141"/>
      <c r="TFX235" s="242"/>
      <c r="TFY235" s="141"/>
      <c r="TGB235" s="242"/>
      <c r="TGC235" s="141"/>
      <c r="TGF235" s="242"/>
      <c r="TGG235" s="141"/>
      <c r="TGJ235" s="242"/>
      <c r="TGK235" s="141"/>
      <c r="TGN235" s="242"/>
      <c r="TGO235" s="141"/>
      <c r="TGR235" s="242"/>
      <c r="TGS235" s="141"/>
      <c r="TGV235" s="242"/>
      <c r="TGW235" s="141"/>
      <c r="TGZ235" s="242"/>
      <c r="THA235" s="141"/>
      <c r="THD235" s="242"/>
      <c r="THE235" s="141"/>
      <c r="THH235" s="242"/>
      <c r="THI235" s="141"/>
      <c r="THL235" s="242"/>
      <c r="THM235" s="141"/>
      <c r="THP235" s="242"/>
      <c r="THQ235" s="141"/>
      <c r="THT235" s="242"/>
      <c r="THU235" s="141"/>
      <c r="THX235" s="242"/>
      <c r="THY235" s="141"/>
      <c r="TIB235" s="242"/>
      <c r="TIC235" s="141"/>
      <c r="TIF235" s="242"/>
      <c r="TIG235" s="141"/>
      <c r="TIJ235" s="242"/>
      <c r="TIK235" s="141"/>
      <c r="TIN235" s="242"/>
      <c r="TIO235" s="141"/>
      <c r="TIR235" s="242"/>
      <c r="TIS235" s="141"/>
      <c r="TIV235" s="242"/>
      <c r="TIW235" s="141"/>
      <c r="TIZ235" s="242"/>
      <c r="TJA235" s="141"/>
      <c r="TJD235" s="242"/>
      <c r="TJE235" s="141"/>
      <c r="TJH235" s="242"/>
      <c r="TJI235" s="141"/>
      <c r="TJL235" s="242"/>
      <c r="TJM235" s="141"/>
      <c r="TJP235" s="242"/>
      <c r="TJQ235" s="141"/>
      <c r="TJT235" s="242"/>
      <c r="TJU235" s="141"/>
      <c r="TJX235" s="242"/>
      <c r="TJY235" s="141"/>
      <c r="TKB235" s="242"/>
      <c r="TKC235" s="141"/>
      <c r="TKF235" s="242"/>
      <c r="TKG235" s="141"/>
      <c r="TKJ235" s="242"/>
      <c r="TKK235" s="141"/>
      <c r="TKN235" s="242"/>
      <c r="TKO235" s="141"/>
      <c r="TKR235" s="242"/>
      <c r="TKS235" s="141"/>
      <c r="TKV235" s="242"/>
      <c r="TKW235" s="141"/>
      <c r="TKZ235" s="242"/>
      <c r="TLA235" s="141"/>
      <c r="TLD235" s="242"/>
      <c r="TLE235" s="141"/>
      <c r="TLH235" s="242"/>
      <c r="TLI235" s="141"/>
      <c r="TLL235" s="242"/>
      <c r="TLM235" s="141"/>
      <c r="TLP235" s="242"/>
      <c r="TLQ235" s="141"/>
      <c r="TLT235" s="242"/>
      <c r="TLU235" s="141"/>
      <c r="TLX235" s="242"/>
      <c r="TLY235" s="141"/>
      <c r="TMB235" s="242"/>
      <c r="TMC235" s="141"/>
      <c r="TMF235" s="242"/>
      <c r="TMG235" s="141"/>
      <c r="TMJ235" s="242"/>
      <c r="TMK235" s="141"/>
      <c r="TMN235" s="242"/>
      <c r="TMO235" s="141"/>
      <c r="TMR235" s="242"/>
      <c r="TMS235" s="141"/>
      <c r="TMV235" s="242"/>
      <c r="TMW235" s="141"/>
      <c r="TMZ235" s="242"/>
      <c r="TNA235" s="141"/>
      <c r="TND235" s="242"/>
      <c r="TNE235" s="141"/>
      <c r="TNH235" s="242"/>
      <c r="TNI235" s="141"/>
      <c r="TNL235" s="242"/>
      <c r="TNM235" s="141"/>
      <c r="TNP235" s="242"/>
      <c r="TNQ235" s="141"/>
      <c r="TNT235" s="242"/>
      <c r="TNU235" s="141"/>
      <c r="TNX235" s="242"/>
      <c r="TNY235" s="141"/>
      <c r="TOB235" s="242"/>
      <c r="TOC235" s="141"/>
      <c r="TOF235" s="242"/>
      <c r="TOG235" s="141"/>
      <c r="TOJ235" s="242"/>
      <c r="TOK235" s="141"/>
      <c r="TON235" s="242"/>
      <c r="TOO235" s="141"/>
      <c r="TOR235" s="242"/>
      <c r="TOS235" s="141"/>
      <c r="TOV235" s="242"/>
      <c r="TOW235" s="141"/>
      <c r="TOZ235" s="242"/>
      <c r="TPA235" s="141"/>
      <c r="TPD235" s="242"/>
      <c r="TPE235" s="141"/>
      <c r="TPH235" s="242"/>
      <c r="TPI235" s="141"/>
      <c r="TPL235" s="242"/>
      <c r="TPM235" s="141"/>
      <c r="TPP235" s="242"/>
      <c r="TPQ235" s="141"/>
      <c r="TPT235" s="242"/>
      <c r="TPU235" s="141"/>
      <c r="TPX235" s="242"/>
      <c r="TPY235" s="141"/>
      <c r="TQB235" s="242"/>
      <c r="TQC235" s="141"/>
      <c r="TQF235" s="242"/>
      <c r="TQG235" s="141"/>
      <c r="TQJ235" s="242"/>
      <c r="TQK235" s="141"/>
      <c r="TQN235" s="242"/>
      <c r="TQO235" s="141"/>
      <c r="TQR235" s="242"/>
      <c r="TQS235" s="141"/>
      <c r="TQV235" s="242"/>
      <c r="TQW235" s="141"/>
      <c r="TQZ235" s="242"/>
      <c r="TRA235" s="141"/>
      <c r="TRD235" s="242"/>
      <c r="TRE235" s="141"/>
      <c r="TRH235" s="242"/>
      <c r="TRI235" s="141"/>
      <c r="TRL235" s="242"/>
      <c r="TRM235" s="141"/>
      <c r="TRP235" s="242"/>
      <c r="TRQ235" s="141"/>
      <c r="TRT235" s="242"/>
      <c r="TRU235" s="141"/>
      <c r="TRX235" s="242"/>
      <c r="TRY235" s="141"/>
      <c r="TSB235" s="242"/>
      <c r="TSC235" s="141"/>
      <c r="TSF235" s="242"/>
      <c r="TSG235" s="141"/>
      <c r="TSJ235" s="242"/>
      <c r="TSK235" s="141"/>
      <c r="TSN235" s="242"/>
      <c r="TSO235" s="141"/>
      <c r="TSR235" s="242"/>
      <c r="TSS235" s="141"/>
      <c r="TSV235" s="242"/>
      <c r="TSW235" s="141"/>
      <c r="TSZ235" s="242"/>
      <c r="TTA235" s="141"/>
      <c r="TTD235" s="242"/>
      <c r="TTE235" s="141"/>
      <c r="TTH235" s="242"/>
      <c r="TTI235" s="141"/>
      <c r="TTL235" s="242"/>
      <c r="TTM235" s="141"/>
      <c r="TTP235" s="242"/>
      <c r="TTQ235" s="141"/>
      <c r="TTT235" s="242"/>
      <c r="TTU235" s="141"/>
      <c r="TTX235" s="242"/>
      <c r="TTY235" s="141"/>
      <c r="TUB235" s="242"/>
      <c r="TUC235" s="141"/>
      <c r="TUF235" s="242"/>
      <c r="TUG235" s="141"/>
      <c r="TUJ235" s="242"/>
      <c r="TUK235" s="141"/>
      <c r="TUN235" s="242"/>
      <c r="TUO235" s="141"/>
      <c r="TUR235" s="242"/>
      <c r="TUS235" s="141"/>
      <c r="TUV235" s="242"/>
      <c r="TUW235" s="141"/>
      <c r="TUZ235" s="242"/>
      <c r="TVA235" s="141"/>
      <c r="TVD235" s="242"/>
      <c r="TVE235" s="141"/>
      <c r="TVH235" s="242"/>
      <c r="TVI235" s="141"/>
      <c r="TVL235" s="242"/>
      <c r="TVM235" s="141"/>
      <c r="TVP235" s="242"/>
      <c r="TVQ235" s="141"/>
      <c r="TVT235" s="242"/>
      <c r="TVU235" s="141"/>
      <c r="TVX235" s="242"/>
      <c r="TVY235" s="141"/>
      <c r="TWB235" s="242"/>
      <c r="TWC235" s="141"/>
      <c r="TWF235" s="242"/>
      <c r="TWG235" s="141"/>
      <c r="TWJ235" s="242"/>
      <c r="TWK235" s="141"/>
      <c r="TWN235" s="242"/>
      <c r="TWO235" s="141"/>
      <c r="TWR235" s="242"/>
      <c r="TWS235" s="141"/>
      <c r="TWV235" s="242"/>
      <c r="TWW235" s="141"/>
      <c r="TWZ235" s="242"/>
      <c r="TXA235" s="141"/>
      <c r="TXD235" s="242"/>
      <c r="TXE235" s="141"/>
      <c r="TXH235" s="242"/>
      <c r="TXI235" s="141"/>
      <c r="TXL235" s="242"/>
      <c r="TXM235" s="141"/>
      <c r="TXP235" s="242"/>
      <c r="TXQ235" s="141"/>
      <c r="TXT235" s="242"/>
      <c r="TXU235" s="141"/>
      <c r="TXX235" s="242"/>
      <c r="TXY235" s="141"/>
      <c r="TYB235" s="242"/>
      <c r="TYC235" s="141"/>
      <c r="TYF235" s="242"/>
      <c r="TYG235" s="141"/>
      <c r="TYJ235" s="242"/>
      <c r="TYK235" s="141"/>
      <c r="TYN235" s="242"/>
      <c r="TYO235" s="141"/>
      <c r="TYR235" s="242"/>
      <c r="TYS235" s="141"/>
      <c r="TYV235" s="242"/>
      <c r="TYW235" s="141"/>
      <c r="TYZ235" s="242"/>
      <c r="TZA235" s="141"/>
      <c r="TZD235" s="242"/>
      <c r="TZE235" s="141"/>
      <c r="TZH235" s="242"/>
      <c r="TZI235" s="141"/>
      <c r="TZL235" s="242"/>
      <c r="TZM235" s="141"/>
      <c r="TZP235" s="242"/>
      <c r="TZQ235" s="141"/>
      <c r="TZT235" s="242"/>
      <c r="TZU235" s="141"/>
      <c r="TZX235" s="242"/>
      <c r="TZY235" s="141"/>
      <c r="UAB235" s="242"/>
      <c r="UAC235" s="141"/>
      <c r="UAF235" s="242"/>
      <c r="UAG235" s="141"/>
      <c r="UAJ235" s="242"/>
      <c r="UAK235" s="141"/>
      <c r="UAN235" s="242"/>
      <c r="UAO235" s="141"/>
      <c r="UAR235" s="242"/>
      <c r="UAS235" s="141"/>
      <c r="UAV235" s="242"/>
      <c r="UAW235" s="141"/>
      <c r="UAZ235" s="242"/>
      <c r="UBA235" s="141"/>
      <c r="UBD235" s="242"/>
      <c r="UBE235" s="141"/>
      <c r="UBH235" s="242"/>
      <c r="UBI235" s="141"/>
      <c r="UBL235" s="242"/>
      <c r="UBM235" s="141"/>
      <c r="UBP235" s="242"/>
      <c r="UBQ235" s="141"/>
      <c r="UBT235" s="242"/>
      <c r="UBU235" s="141"/>
      <c r="UBX235" s="242"/>
      <c r="UBY235" s="141"/>
      <c r="UCB235" s="242"/>
      <c r="UCC235" s="141"/>
      <c r="UCF235" s="242"/>
      <c r="UCG235" s="141"/>
      <c r="UCJ235" s="242"/>
      <c r="UCK235" s="141"/>
      <c r="UCN235" s="242"/>
      <c r="UCO235" s="141"/>
      <c r="UCR235" s="242"/>
      <c r="UCS235" s="141"/>
      <c r="UCV235" s="242"/>
      <c r="UCW235" s="141"/>
      <c r="UCZ235" s="242"/>
      <c r="UDA235" s="141"/>
      <c r="UDD235" s="242"/>
      <c r="UDE235" s="141"/>
      <c r="UDH235" s="242"/>
      <c r="UDI235" s="141"/>
      <c r="UDL235" s="242"/>
      <c r="UDM235" s="141"/>
      <c r="UDP235" s="242"/>
      <c r="UDQ235" s="141"/>
      <c r="UDT235" s="242"/>
      <c r="UDU235" s="141"/>
      <c r="UDX235" s="242"/>
      <c r="UDY235" s="141"/>
      <c r="UEB235" s="242"/>
      <c r="UEC235" s="141"/>
      <c r="UEF235" s="242"/>
      <c r="UEG235" s="141"/>
      <c r="UEJ235" s="242"/>
      <c r="UEK235" s="141"/>
      <c r="UEN235" s="242"/>
      <c r="UEO235" s="141"/>
      <c r="UER235" s="242"/>
      <c r="UES235" s="141"/>
      <c r="UEV235" s="242"/>
      <c r="UEW235" s="141"/>
      <c r="UEZ235" s="242"/>
      <c r="UFA235" s="141"/>
      <c r="UFD235" s="242"/>
      <c r="UFE235" s="141"/>
      <c r="UFH235" s="242"/>
      <c r="UFI235" s="141"/>
      <c r="UFL235" s="242"/>
      <c r="UFM235" s="141"/>
      <c r="UFP235" s="242"/>
      <c r="UFQ235" s="141"/>
      <c r="UFT235" s="242"/>
      <c r="UFU235" s="141"/>
      <c r="UFX235" s="242"/>
      <c r="UFY235" s="141"/>
      <c r="UGB235" s="242"/>
      <c r="UGC235" s="141"/>
      <c r="UGF235" s="242"/>
      <c r="UGG235" s="141"/>
      <c r="UGJ235" s="242"/>
      <c r="UGK235" s="141"/>
      <c r="UGN235" s="242"/>
      <c r="UGO235" s="141"/>
      <c r="UGR235" s="242"/>
      <c r="UGS235" s="141"/>
      <c r="UGV235" s="242"/>
      <c r="UGW235" s="141"/>
      <c r="UGZ235" s="242"/>
      <c r="UHA235" s="141"/>
      <c r="UHD235" s="242"/>
      <c r="UHE235" s="141"/>
      <c r="UHH235" s="242"/>
      <c r="UHI235" s="141"/>
      <c r="UHL235" s="242"/>
      <c r="UHM235" s="141"/>
      <c r="UHP235" s="242"/>
      <c r="UHQ235" s="141"/>
      <c r="UHT235" s="242"/>
      <c r="UHU235" s="141"/>
      <c r="UHX235" s="242"/>
      <c r="UHY235" s="141"/>
      <c r="UIB235" s="242"/>
      <c r="UIC235" s="141"/>
      <c r="UIF235" s="242"/>
      <c r="UIG235" s="141"/>
      <c r="UIJ235" s="242"/>
      <c r="UIK235" s="141"/>
      <c r="UIN235" s="242"/>
      <c r="UIO235" s="141"/>
      <c r="UIR235" s="242"/>
      <c r="UIS235" s="141"/>
      <c r="UIV235" s="242"/>
      <c r="UIW235" s="141"/>
      <c r="UIZ235" s="242"/>
      <c r="UJA235" s="141"/>
      <c r="UJD235" s="242"/>
      <c r="UJE235" s="141"/>
      <c r="UJH235" s="242"/>
      <c r="UJI235" s="141"/>
      <c r="UJL235" s="242"/>
      <c r="UJM235" s="141"/>
      <c r="UJP235" s="242"/>
      <c r="UJQ235" s="141"/>
      <c r="UJT235" s="242"/>
      <c r="UJU235" s="141"/>
      <c r="UJX235" s="242"/>
      <c r="UJY235" s="141"/>
      <c r="UKB235" s="242"/>
      <c r="UKC235" s="141"/>
      <c r="UKF235" s="242"/>
      <c r="UKG235" s="141"/>
      <c r="UKJ235" s="242"/>
      <c r="UKK235" s="141"/>
      <c r="UKN235" s="242"/>
      <c r="UKO235" s="141"/>
      <c r="UKR235" s="242"/>
      <c r="UKS235" s="141"/>
      <c r="UKV235" s="242"/>
      <c r="UKW235" s="141"/>
      <c r="UKZ235" s="242"/>
      <c r="ULA235" s="141"/>
      <c r="ULD235" s="242"/>
      <c r="ULE235" s="141"/>
      <c r="ULH235" s="242"/>
      <c r="ULI235" s="141"/>
      <c r="ULL235" s="242"/>
      <c r="ULM235" s="141"/>
      <c r="ULP235" s="242"/>
      <c r="ULQ235" s="141"/>
      <c r="ULT235" s="242"/>
      <c r="ULU235" s="141"/>
      <c r="ULX235" s="242"/>
      <c r="ULY235" s="141"/>
      <c r="UMB235" s="242"/>
      <c r="UMC235" s="141"/>
      <c r="UMF235" s="242"/>
      <c r="UMG235" s="141"/>
      <c r="UMJ235" s="242"/>
      <c r="UMK235" s="141"/>
      <c r="UMN235" s="242"/>
      <c r="UMO235" s="141"/>
      <c r="UMR235" s="242"/>
      <c r="UMS235" s="141"/>
      <c r="UMV235" s="242"/>
      <c r="UMW235" s="141"/>
      <c r="UMZ235" s="242"/>
      <c r="UNA235" s="141"/>
      <c r="UND235" s="242"/>
      <c r="UNE235" s="141"/>
      <c r="UNH235" s="242"/>
      <c r="UNI235" s="141"/>
      <c r="UNL235" s="242"/>
      <c r="UNM235" s="141"/>
      <c r="UNP235" s="242"/>
      <c r="UNQ235" s="141"/>
      <c r="UNT235" s="242"/>
      <c r="UNU235" s="141"/>
      <c r="UNX235" s="242"/>
      <c r="UNY235" s="141"/>
      <c r="UOB235" s="242"/>
      <c r="UOC235" s="141"/>
      <c r="UOF235" s="242"/>
      <c r="UOG235" s="141"/>
      <c r="UOJ235" s="242"/>
      <c r="UOK235" s="141"/>
      <c r="UON235" s="242"/>
      <c r="UOO235" s="141"/>
      <c r="UOR235" s="242"/>
      <c r="UOS235" s="141"/>
      <c r="UOV235" s="242"/>
      <c r="UOW235" s="141"/>
      <c r="UOZ235" s="242"/>
      <c r="UPA235" s="141"/>
      <c r="UPD235" s="242"/>
      <c r="UPE235" s="141"/>
      <c r="UPH235" s="242"/>
      <c r="UPI235" s="141"/>
      <c r="UPL235" s="242"/>
      <c r="UPM235" s="141"/>
      <c r="UPP235" s="242"/>
      <c r="UPQ235" s="141"/>
      <c r="UPT235" s="242"/>
      <c r="UPU235" s="141"/>
      <c r="UPX235" s="242"/>
      <c r="UPY235" s="141"/>
      <c r="UQB235" s="242"/>
      <c r="UQC235" s="141"/>
      <c r="UQF235" s="242"/>
      <c r="UQG235" s="141"/>
      <c r="UQJ235" s="242"/>
      <c r="UQK235" s="141"/>
      <c r="UQN235" s="242"/>
      <c r="UQO235" s="141"/>
      <c r="UQR235" s="242"/>
      <c r="UQS235" s="141"/>
      <c r="UQV235" s="242"/>
      <c r="UQW235" s="141"/>
      <c r="UQZ235" s="242"/>
      <c r="URA235" s="141"/>
      <c r="URD235" s="242"/>
      <c r="URE235" s="141"/>
      <c r="URH235" s="242"/>
      <c r="URI235" s="141"/>
      <c r="URL235" s="242"/>
      <c r="URM235" s="141"/>
      <c r="URP235" s="242"/>
      <c r="URQ235" s="141"/>
      <c r="URT235" s="242"/>
      <c r="URU235" s="141"/>
      <c r="URX235" s="242"/>
      <c r="URY235" s="141"/>
      <c r="USB235" s="242"/>
      <c r="USC235" s="141"/>
      <c r="USF235" s="242"/>
      <c r="USG235" s="141"/>
      <c r="USJ235" s="242"/>
      <c r="USK235" s="141"/>
      <c r="USN235" s="242"/>
      <c r="USO235" s="141"/>
      <c r="USR235" s="242"/>
      <c r="USS235" s="141"/>
      <c r="USV235" s="242"/>
      <c r="USW235" s="141"/>
      <c r="USZ235" s="242"/>
      <c r="UTA235" s="141"/>
      <c r="UTD235" s="242"/>
      <c r="UTE235" s="141"/>
      <c r="UTH235" s="242"/>
      <c r="UTI235" s="141"/>
      <c r="UTL235" s="242"/>
      <c r="UTM235" s="141"/>
      <c r="UTP235" s="242"/>
      <c r="UTQ235" s="141"/>
      <c r="UTT235" s="242"/>
      <c r="UTU235" s="141"/>
      <c r="UTX235" s="242"/>
      <c r="UTY235" s="141"/>
      <c r="UUB235" s="242"/>
      <c r="UUC235" s="141"/>
      <c r="UUF235" s="242"/>
      <c r="UUG235" s="141"/>
      <c r="UUJ235" s="242"/>
      <c r="UUK235" s="141"/>
      <c r="UUN235" s="242"/>
      <c r="UUO235" s="141"/>
      <c r="UUR235" s="242"/>
      <c r="UUS235" s="141"/>
      <c r="UUV235" s="242"/>
      <c r="UUW235" s="141"/>
      <c r="UUZ235" s="242"/>
      <c r="UVA235" s="141"/>
      <c r="UVD235" s="242"/>
      <c r="UVE235" s="141"/>
      <c r="UVH235" s="242"/>
      <c r="UVI235" s="141"/>
      <c r="UVL235" s="242"/>
      <c r="UVM235" s="141"/>
      <c r="UVP235" s="242"/>
      <c r="UVQ235" s="141"/>
      <c r="UVT235" s="242"/>
      <c r="UVU235" s="141"/>
      <c r="UVX235" s="242"/>
      <c r="UVY235" s="141"/>
      <c r="UWB235" s="242"/>
      <c r="UWC235" s="141"/>
      <c r="UWF235" s="242"/>
      <c r="UWG235" s="141"/>
      <c r="UWJ235" s="242"/>
      <c r="UWK235" s="141"/>
      <c r="UWN235" s="242"/>
      <c r="UWO235" s="141"/>
      <c r="UWR235" s="242"/>
      <c r="UWS235" s="141"/>
      <c r="UWV235" s="242"/>
      <c r="UWW235" s="141"/>
      <c r="UWZ235" s="242"/>
      <c r="UXA235" s="141"/>
      <c r="UXD235" s="242"/>
      <c r="UXE235" s="141"/>
      <c r="UXH235" s="242"/>
      <c r="UXI235" s="141"/>
      <c r="UXL235" s="242"/>
      <c r="UXM235" s="141"/>
      <c r="UXP235" s="242"/>
      <c r="UXQ235" s="141"/>
      <c r="UXT235" s="242"/>
      <c r="UXU235" s="141"/>
      <c r="UXX235" s="242"/>
      <c r="UXY235" s="141"/>
      <c r="UYB235" s="242"/>
      <c r="UYC235" s="141"/>
      <c r="UYF235" s="242"/>
      <c r="UYG235" s="141"/>
      <c r="UYJ235" s="242"/>
      <c r="UYK235" s="141"/>
      <c r="UYN235" s="242"/>
      <c r="UYO235" s="141"/>
      <c r="UYR235" s="242"/>
      <c r="UYS235" s="141"/>
      <c r="UYV235" s="242"/>
      <c r="UYW235" s="141"/>
      <c r="UYZ235" s="242"/>
      <c r="UZA235" s="141"/>
      <c r="UZD235" s="242"/>
      <c r="UZE235" s="141"/>
      <c r="UZH235" s="242"/>
      <c r="UZI235" s="141"/>
      <c r="UZL235" s="242"/>
      <c r="UZM235" s="141"/>
      <c r="UZP235" s="242"/>
      <c r="UZQ235" s="141"/>
      <c r="UZT235" s="242"/>
      <c r="UZU235" s="141"/>
      <c r="UZX235" s="242"/>
      <c r="UZY235" s="141"/>
      <c r="VAB235" s="242"/>
      <c r="VAC235" s="141"/>
      <c r="VAF235" s="242"/>
      <c r="VAG235" s="141"/>
      <c r="VAJ235" s="242"/>
      <c r="VAK235" s="141"/>
      <c r="VAN235" s="242"/>
      <c r="VAO235" s="141"/>
      <c r="VAR235" s="242"/>
      <c r="VAS235" s="141"/>
      <c r="VAV235" s="242"/>
      <c r="VAW235" s="141"/>
      <c r="VAZ235" s="242"/>
      <c r="VBA235" s="141"/>
      <c r="VBD235" s="242"/>
      <c r="VBE235" s="141"/>
      <c r="VBH235" s="242"/>
      <c r="VBI235" s="141"/>
      <c r="VBL235" s="242"/>
      <c r="VBM235" s="141"/>
      <c r="VBP235" s="242"/>
      <c r="VBQ235" s="141"/>
      <c r="VBT235" s="242"/>
      <c r="VBU235" s="141"/>
      <c r="VBX235" s="242"/>
      <c r="VBY235" s="141"/>
      <c r="VCB235" s="242"/>
      <c r="VCC235" s="141"/>
      <c r="VCF235" s="242"/>
      <c r="VCG235" s="141"/>
      <c r="VCJ235" s="242"/>
      <c r="VCK235" s="141"/>
      <c r="VCN235" s="242"/>
      <c r="VCO235" s="141"/>
      <c r="VCR235" s="242"/>
      <c r="VCS235" s="141"/>
      <c r="VCV235" s="242"/>
      <c r="VCW235" s="141"/>
      <c r="VCZ235" s="242"/>
      <c r="VDA235" s="141"/>
      <c r="VDD235" s="242"/>
      <c r="VDE235" s="141"/>
      <c r="VDH235" s="242"/>
      <c r="VDI235" s="141"/>
      <c r="VDL235" s="242"/>
      <c r="VDM235" s="141"/>
      <c r="VDP235" s="242"/>
      <c r="VDQ235" s="141"/>
      <c r="VDT235" s="242"/>
      <c r="VDU235" s="141"/>
      <c r="VDX235" s="242"/>
      <c r="VDY235" s="141"/>
      <c r="VEB235" s="242"/>
      <c r="VEC235" s="141"/>
      <c r="VEF235" s="242"/>
      <c r="VEG235" s="141"/>
      <c r="VEJ235" s="242"/>
      <c r="VEK235" s="141"/>
      <c r="VEN235" s="242"/>
      <c r="VEO235" s="141"/>
      <c r="VER235" s="242"/>
      <c r="VES235" s="141"/>
      <c r="VEV235" s="242"/>
      <c r="VEW235" s="141"/>
      <c r="VEZ235" s="242"/>
      <c r="VFA235" s="141"/>
      <c r="VFD235" s="242"/>
      <c r="VFE235" s="141"/>
      <c r="VFH235" s="242"/>
      <c r="VFI235" s="141"/>
      <c r="VFL235" s="242"/>
      <c r="VFM235" s="141"/>
      <c r="VFP235" s="242"/>
      <c r="VFQ235" s="141"/>
      <c r="VFT235" s="242"/>
      <c r="VFU235" s="141"/>
      <c r="VFX235" s="242"/>
      <c r="VFY235" s="141"/>
      <c r="VGB235" s="242"/>
      <c r="VGC235" s="141"/>
      <c r="VGF235" s="242"/>
      <c r="VGG235" s="141"/>
      <c r="VGJ235" s="242"/>
      <c r="VGK235" s="141"/>
      <c r="VGN235" s="242"/>
      <c r="VGO235" s="141"/>
      <c r="VGR235" s="242"/>
      <c r="VGS235" s="141"/>
      <c r="VGV235" s="242"/>
      <c r="VGW235" s="141"/>
      <c r="VGZ235" s="242"/>
      <c r="VHA235" s="141"/>
      <c r="VHD235" s="242"/>
      <c r="VHE235" s="141"/>
      <c r="VHH235" s="242"/>
      <c r="VHI235" s="141"/>
      <c r="VHL235" s="242"/>
      <c r="VHM235" s="141"/>
      <c r="VHP235" s="242"/>
      <c r="VHQ235" s="141"/>
      <c r="VHT235" s="242"/>
      <c r="VHU235" s="141"/>
      <c r="VHX235" s="242"/>
      <c r="VHY235" s="141"/>
      <c r="VIB235" s="242"/>
      <c r="VIC235" s="141"/>
      <c r="VIF235" s="242"/>
      <c r="VIG235" s="141"/>
      <c r="VIJ235" s="242"/>
      <c r="VIK235" s="141"/>
      <c r="VIN235" s="242"/>
      <c r="VIO235" s="141"/>
      <c r="VIR235" s="242"/>
      <c r="VIS235" s="141"/>
      <c r="VIV235" s="242"/>
      <c r="VIW235" s="141"/>
      <c r="VIZ235" s="242"/>
      <c r="VJA235" s="141"/>
      <c r="VJD235" s="242"/>
      <c r="VJE235" s="141"/>
      <c r="VJH235" s="242"/>
      <c r="VJI235" s="141"/>
      <c r="VJL235" s="242"/>
      <c r="VJM235" s="141"/>
      <c r="VJP235" s="242"/>
      <c r="VJQ235" s="141"/>
      <c r="VJT235" s="242"/>
      <c r="VJU235" s="141"/>
      <c r="VJX235" s="242"/>
      <c r="VJY235" s="141"/>
      <c r="VKB235" s="242"/>
      <c r="VKC235" s="141"/>
      <c r="VKF235" s="242"/>
      <c r="VKG235" s="141"/>
      <c r="VKJ235" s="242"/>
      <c r="VKK235" s="141"/>
      <c r="VKN235" s="242"/>
      <c r="VKO235" s="141"/>
      <c r="VKR235" s="242"/>
      <c r="VKS235" s="141"/>
      <c r="VKV235" s="242"/>
      <c r="VKW235" s="141"/>
      <c r="VKZ235" s="242"/>
      <c r="VLA235" s="141"/>
      <c r="VLD235" s="242"/>
      <c r="VLE235" s="141"/>
      <c r="VLH235" s="242"/>
      <c r="VLI235" s="141"/>
      <c r="VLL235" s="242"/>
      <c r="VLM235" s="141"/>
      <c r="VLP235" s="242"/>
      <c r="VLQ235" s="141"/>
      <c r="VLT235" s="242"/>
      <c r="VLU235" s="141"/>
      <c r="VLX235" s="242"/>
      <c r="VLY235" s="141"/>
      <c r="VMB235" s="242"/>
      <c r="VMC235" s="141"/>
      <c r="VMF235" s="242"/>
      <c r="VMG235" s="141"/>
      <c r="VMJ235" s="242"/>
      <c r="VMK235" s="141"/>
      <c r="VMN235" s="242"/>
      <c r="VMO235" s="141"/>
      <c r="VMR235" s="242"/>
      <c r="VMS235" s="141"/>
      <c r="VMV235" s="242"/>
      <c r="VMW235" s="141"/>
      <c r="VMZ235" s="242"/>
      <c r="VNA235" s="141"/>
      <c r="VND235" s="242"/>
      <c r="VNE235" s="141"/>
      <c r="VNH235" s="242"/>
      <c r="VNI235" s="141"/>
      <c r="VNL235" s="242"/>
      <c r="VNM235" s="141"/>
      <c r="VNP235" s="242"/>
      <c r="VNQ235" s="141"/>
      <c r="VNT235" s="242"/>
      <c r="VNU235" s="141"/>
      <c r="VNX235" s="242"/>
      <c r="VNY235" s="141"/>
      <c r="VOB235" s="242"/>
      <c r="VOC235" s="141"/>
      <c r="VOF235" s="242"/>
      <c r="VOG235" s="141"/>
      <c r="VOJ235" s="242"/>
      <c r="VOK235" s="141"/>
      <c r="VON235" s="242"/>
      <c r="VOO235" s="141"/>
      <c r="VOR235" s="242"/>
      <c r="VOS235" s="141"/>
      <c r="VOV235" s="242"/>
      <c r="VOW235" s="141"/>
      <c r="VOZ235" s="242"/>
      <c r="VPA235" s="141"/>
      <c r="VPD235" s="242"/>
      <c r="VPE235" s="141"/>
      <c r="VPH235" s="242"/>
      <c r="VPI235" s="141"/>
      <c r="VPL235" s="242"/>
      <c r="VPM235" s="141"/>
      <c r="VPP235" s="242"/>
      <c r="VPQ235" s="141"/>
      <c r="VPT235" s="242"/>
      <c r="VPU235" s="141"/>
      <c r="VPX235" s="242"/>
      <c r="VPY235" s="141"/>
      <c r="VQB235" s="242"/>
      <c r="VQC235" s="141"/>
      <c r="VQF235" s="242"/>
      <c r="VQG235" s="141"/>
      <c r="VQJ235" s="242"/>
      <c r="VQK235" s="141"/>
      <c r="VQN235" s="242"/>
      <c r="VQO235" s="141"/>
      <c r="VQR235" s="242"/>
      <c r="VQS235" s="141"/>
      <c r="VQV235" s="242"/>
      <c r="VQW235" s="141"/>
      <c r="VQZ235" s="242"/>
      <c r="VRA235" s="141"/>
      <c r="VRD235" s="242"/>
      <c r="VRE235" s="141"/>
      <c r="VRH235" s="242"/>
      <c r="VRI235" s="141"/>
      <c r="VRL235" s="242"/>
      <c r="VRM235" s="141"/>
      <c r="VRP235" s="242"/>
      <c r="VRQ235" s="141"/>
      <c r="VRT235" s="242"/>
      <c r="VRU235" s="141"/>
      <c r="VRX235" s="242"/>
      <c r="VRY235" s="141"/>
      <c r="VSB235" s="242"/>
      <c r="VSC235" s="141"/>
      <c r="VSF235" s="242"/>
      <c r="VSG235" s="141"/>
      <c r="VSJ235" s="242"/>
      <c r="VSK235" s="141"/>
      <c r="VSN235" s="242"/>
      <c r="VSO235" s="141"/>
      <c r="VSR235" s="242"/>
      <c r="VSS235" s="141"/>
      <c r="VSV235" s="242"/>
      <c r="VSW235" s="141"/>
      <c r="VSZ235" s="242"/>
      <c r="VTA235" s="141"/>
      <c r="VTD235" s="242"/>
      <c r="VTE235" s="141"/>
      <c r="VTH235" s="242"/>
      <c r="VTI235" s="141"/>
      <c r="VTL235" s="242"/>
      <c r="VTM235" s="141"/>
      <c r="VTP235" s="242"/>
      <c r="VTQ235" s="141"/>
      <c r="VTT235" s="242"/>
      <c r="VTU235" s="141"/>
      <c r="VTX235" s="242"/>
      <c r="VTY235" s="141"/>
      <c r="VUB235" s="242"/>
      <c r="VUC235" s="141"/>
      <c r="VUF235" s="242"/>
      <c r="VUG235" s="141"/>
      <c r="VUJ235" s="242"/>
      <c r="VUK235" s="141"/>
      <c r="VUN235" s="242"/>
      <c r="VUO235" s="141"/>
      <c r="VUR235" s="242"/>
      <c r="VUS235" s="141"/>
      <c r="VUV235" s="242"/>
      <c r="VUW235" s="141"/>
      <c r="VUZ235" s="242"/>
      <c r="VVA235" s="141"/>
      <c r="VVD235" s="242"/>
      <c r="VVE235" s="141"/>
      <c r="VVH235" s="242"/>
      <c r="VVI235" s="141"/>
      <c r="VVL235" s="242"/>
      <c r="VVM235" s="141"/>
      <c r="VVP235" s="242"/>
      <c r="VVQ235" s="141"/>
      <c r="VVT235" s="242"/>
      <c r="VVU235" s="141"/>
      <c r="VVX235" s="242"/>
      <c r="VVY235" s="141"/>
      <c r="VWB235" s="242"/>
      <c r="VWC235" s="141"/>
      <c r="VWF235" s="242"/>
      <c r="VWG235" s="141"/>
      <c r="VWJ235" s="242"/>
      <c r="VWK235" s="141"/>
      <c r="VWN235" s="242"/>
      <c r="VWO235" s="141"/>
      <c r="VWR235" s="242"/>
      <c r="VWS235" s="141"/>
      <c r="VWV235" s="242"/>
      <c r="VWW235" s="141"/>
      <c r="VWZ235" s="242"/>
      <c r="VXA235" s="141"/>
      <c r="VXD235" s="242"/>
      <c r="VXE235" s="141"/>
      <c r="VXH235" s="242"/>
      <c r="VXI235" s="141"/>
      <c r="VXL235" s="242"/>
      <c r="VXM235" s="141"/>
      <c r="VXP235" s="242"/>
      <c r="VXQ235" s="141"/>
      <c r="VXT235" s="242"/>
      <c r="VXU235" s="141"/>
      <c r="VXX235" s="242"/>
      <c r="VXY235" s="141"/>
      <c r="VYB235" s="242"/>
      <c r="VYC235" s="141"/>
      <c r="VYF235" s="242"/>
      <c r="VYG235" s="141"/>
      <c r="VYJ235" s="242"/>
      <c r="VYK235" s="141"/>
      <c r="VYN235" s="242"/>
      <c r="VYO235" s="141"/>
      <c r="VYR235" s="242"/>
      <c r="VYS235" s="141"/>
      <c r="VYV235" s="242"/>
      <c r="VYW235" s="141"/>
      <c r="VYZ235" s="242"/>
      <c r="VZA235" s="141"/>
      <c r="VZD235" s="242"/>
      <c r="VZE235" s="141"/>
      <c r="VZH235" s="242"/>
      <c r="VZI235" s="141"/>
      <c r="VZL235" s="242"/>
      <c r="VZM235" s="141"/>
      <c r="VZP235" s="242"/>
      <c r="VZQ235" s="141"/>
      <c r="VZT235" s="242"/>
      <c r="VZU235" s="141"/>
      <c r="VZX235" s="242"/>
      <c r="VZY235" s="141"/>
      <c r="WAB235" s="242"/>
      <c r="WAC235" s="141"/>
      <c r="WAF235" s="242"/>
      <c r="WAG235" s="141"/>
      <c r="WAJ235" s="242"/>
      <c r="WAK235" s="141"/>
      <c r="WAN235" s="242"/>
      <c r="WAO235" s="141"/>
      <c r="WAR235" s="242"/>
      <c r="WAS235" s="141"/>
      <c r="WAV235" s="242"/>
      <c r="WAW235" s="141"/>
      <c r="WAZ235" s="242"/>
      <c r="WBA235" s="141"/>
      <c r="WBD235" s="242"/>
      <c r="WBE235" s="141"/>
      <c r="WBH235" s="242"/>
      <c r="WBI235" s="141"/>
      <c r="WBL235" s="242"/>
      <c r="WBM235" s="141"/>
      <c r="WBP235" s="242"/>
      <c r="WBQ235" s="141"/>
      <c r="WBT235" s="242"/>
      <c r="WBU235" s="141"/>
      <c r="WBX235" s="242"/>
      <c r="WBY235" s="141"/>
      <c r="WCB235" s="242"/>
      <c r="WCC235" s="141"/>
      <c r="WCF235" s="242"/>
      <c r="WCG235" s="141"/>
      <c r="WCJ235" s="242"/>
      <c r="WCK235" s="141"/>
      <c r="WCN235" s="242"/>
      <c r="WCO235" s="141"/>
      <c r="WCR235" s="242"/>
      <c r="WCS235" s="141"/>
      <c r="WCV235" s="242"/>
      <c r="WCW235" s="141"/>
      <c r="WCZ235" s="242"/>
      <c r="WDA235" s="141"/>
      <c r="WDD235" s="242"/>
      <c r="WDE235" s="141"/>
      <c r="WDH235" s="242"/>
      <c r="WDI235" s="141"/>
      <c r="WDL235" s="242"/>
      <c r="WDM235" s="141"/>
      <c r="WDP235" s="242"/>
      <c r="WDQ235" s="141"/>
      <c r="WDT235" s="242"/>
      <c r="WDU235" s="141"/>
      <c r="WDX235" s="242"/>
      <c r="WDY235" s="141"/>
      <c r="WEB235" s="242"/>
      <c r="WEC235" s="141"/>
      <c r="WEF235" s="242"/>
      <c r="WEG235" s="141"/>
      <c r="WEJ235" s="242"/>
      <c r="WEK235" s="141"/>
      <c r="WEN235" s="242"/>
      <c r="WEO235" s="141"/>
      <c r="WER235" s="242"/>
      <c r="WES235" s="141"/>
      <c r="WEV235" s="242"/>
      <c r="WEW235" s="141"/>
      <c r="WEZ235" s="242"/>
      <c r="WFA235" s="141"/>
      <c r="WFD235" s="242"/>
      <c r="WFE235" s="141"/>
      <c r="WFH235" s="242"/>
      <c r="WFI235" s="141"/>
      <c r="WFL235" s="242"/>
      <c r="WFM235" s="141"/>
      <c r="WFP235" s="242"/>
      <c r="WFQ235" s="141"/>
      <c r="WFT235" s="242"/>
      <c r="WFU235" s="141"/>
      <c r="WFX235" s="242"/>
      <c r="WFY235" s="141"/>
      <c r="WGB235" s="242"/>
      <c r="WGC235" s="141"/>
      <c r="WGF235" s="242"/>
      <c r="WGG235" s="141"/>
      <c r="WGJ235" s="242"/>
      <c r="WGK235" s="141"/>
      <c r="WGN235" s="242"/>
      <c r="WGO235" s="141"/>
      <c r="WGR235" s="242"/>
      <c r="WGS235" s="141"/>
      <c r="WGV235" s="242"/>
      <c r="WGW235" s="141"/>
      <c r="WGZ235" s="242"/>
      <c r="WHA235" s="141"/>
      <c r="WHD235" s="242"/>
      <c r="WHE235" s="141"/>
      <c r="WHH235" s="242"/>
      <c r="WHI235" s="141"/>
      <c r="WHL235" s="242"/>
      <c r="WHM235" s="141"/>
      <c r="WHP235" s="242"/>
      <c r="WHQ235" s="141"/>
      <c r="WHT235" s="242"/>
      <c r="WHU235" s="141"/>
      <c r="WHX235" s="242"/>
      <c r="WHY235" s="141"/>
      <c r="WIB235" s="242"/>
      <c r="WIC235" s="141"/>
      <c r="WIF235" s="242"/>
      <c r="WIG235" s="141"/>
      <c r="WIJ235" s="242"/>
      <c r="WIK235" s="141"/>
      <c r="WIN235" s="242"/>
      <c r="WIO235" s="141"/>
      <c r="WIR235" s="242"/>
      <c r="WIS235" s="141"/>
      <c r="WIV235" s="242"/>
      <c r="WIW235" s="141"/>
      <c r="WIZ235" s="242"/>
      <c r="WJA235" s="141"/>
      <c r="WJD235" s="242"/>
      <c r="WJE235" s="141"/>
      <c r="WJH235" s="242"/>
      <c r="WJI235" s="141"/>
      <c r="WJL235" s="242"/>
      <c r="WJM235" s="141"/>
      <c r="WJP235" s="242"/>
      <c r="WJQ235" s="141"/>
      <c r="WJT235" s="242"/>
      <c r="WJU235" s="141"/>
      <c r="WJX235" s="242"/>
      <c r="WJY235" s="141"/>
      <c r="WKB235" s="242"/>
      <c r="WKC235" s="141"/>
      <c r="WKF235" s="242"/>
      <c r="WKG235" s="141"/>
      <c r="WKJ235" s="242"/>
      <c r="WKK235" s="141"/>
      <c r="WKN235" s="242"/>
      <c r="WKO235" s="141"/>
      <c r="WKR235" s="242"/>
      <c r="WKS235" s="141"/>
      <c r="WKV235" s="242"/>
      <c r="WKW235" s="141"/>
      <c r="WKZ235" s="242"/>
      <c r="WLA235" s="141"/>
      <c r="WLD235" s="242"/>
      <c r="WLE235" s="141"/>
      <c r="WLH235" s="242"/>
      <c r="WLI235" s="141"/>
      <c r="WLL235" s="242"/>
      <c r="WLM235" s="141"/>
      <c r="WLP235" s="242"/>
      <c r="WLQ235" s="141"/>
      <c r="WLT235" s="242"/>
      <c r="WLU235" s="141"/>
      <c r="WLX235" s="242"/>
      <c r="WLY235" s="141"/>
      <c r="WMB235" s="242"/>
      <c r="WMC235" s="141"/>
      <c r="WMF235" s="242"/>
      <c r="WMG235" s="141"/>
      <c r="WMJ235" s="242"/>
      <c r="WMK235" s="141"/>
      <c r="WMN235" s="242"/>
      <c r="WMO235" s="141"/>
      <c r="WMR235" s="242"/>
      <c r="WMS235" s="141"/>
      <c r="WMV235" s="242"/>
      <c r="WMW235" s="141"/>
      <c r="WMZ235" s="242"/>
      <c r="WNA235" s="141"/>
      <c r="WND235" s="242"/>
      <c r="WNE235" s="141"/>
      <c r="WNH235" s="242"/>
      <c r="WNI235" s="141"/>
      <c r="WNL235" s="242"/>
      <c r="WNM235" s="141"/>
      <c r="WNP235" s="242"/>
      <c r="WNQ235" s="141"/>
      <c r="WNT235" s="242"/>
      <c r="WNU235" s="141"/>
      <c r="WNX235" s="242"/>
      <c r="WNY235" s="141"/>
      <c r="WOB235" s="242"/>
      <c r="WOC235" s="141"/>
      <c r="WOF235" s="242"/>
      <c r="WOG235" s="141"/>
      <c r="WOJ235" s="242"/>
      <c r="WOK235" s="141"/>
      <c r="WON235" s="242"/>
      <c r="WOO235" s="141"/>
      <c r="WOR235" s="242"/>
      <c r="WOS235" s="141"/>
      <c r="WOV235" s="242"/>
      <c r="WOW235" s="141"/>
      <c r="WOZ235" s="242"/>
      <c r="WPA235" s="141"/>
      <c r="WPD235" s="242"/>
      <c r="WPE235" s="141"/>
      <c r="WPH235" s="242"/>
      <c r="WPI235" s="141"/>
      <c r="WPL235" s="242"/>
      <c r="WPM235" s="141"/>
      <c r="WPP235" s="242"/>
      <c r="WPQ235" s="141"/>
      <c r="WPT235" s="242"/>
      <c r="WPU235" s="141"/>
      <c r="WPX235" s="242"/>
      <c r="WPY235" s="141"/>
      <c r="WQB235" s="242"/>
      <c r="WQC235" s="141"/>
      <c r="WQF235" s="242"/>
      <c r="WQG235" s="141"/>
      <c r="WQJ235" s="242"/>
      <c r="WQK235" s="141"/>
      <c r="WQN235" s="242"/>
      <c r="WQO235" s="141"/>
      <c r="WQR235" s="242"/>
      <c r="WQS235" s="141"/>
      <c r="WQV235" s="242"/>
      <c r="WQW235" s="141"/>
      <c r="WQZ235" s="242"/>
      <c r="WRA235" s="141"/>
      <c r="WRD235" s="242"/>
      <c r="WRE235" s="141"/>
      <c r="WRH235" s="242"/>
      <c r="WRI235" s="141"/>
      <c r="WRL235" s="242"/>
      <c r="WRM235" s="141"/>
      <c r="WRP235" s="242"/>
      <c r="WRQ235" s="141"/>
      <c r="WRT235" s="242"/>
      <c r="WRU235" s="141"/>
      <c r="WRX235" s="242"/>
      <c r="WRY235" s="141"/>
      <c r="WSB235" s="242"/>
      <c r="WSC235" s="141"/>
      <c r="WSF235" s="242"/>
      <c r="WSG235" s="141"/>
      <c r="WSJ235" s="242"/>
      <c r="WSK235" s="141"/>
      <c r="WSN235" s="242"/>
      <c r="WSO235" s="141"/>
      <c r="WSR235" s="242"/>
      <c r="WSS235" s="141"/>
      <c r="WSV235" s="242"/>
      <c r="WSW235" s="141"/>
      <c r="WSZ235" s="242"/>
      <c r="WTA235" s="141"/>
      <c r="WTD235" s="242"/>
      <c r="WTE235" s="141"/>
      <c r="WTH235" s="242"/>
      <c r="WTI235" s="141"/>
      <c r="WTL235" s="242"/>
      <c r="WTM235" s="141"/>
      <c r="WTP235" s="242"/>
      <c r="WTQ235" s="141"/>
      <c r="WTT235" s="242"/>
      <c r="WTU235" s="141"/>
      <c r="WTX235" s="242"/>
      <c r="WTY235" s="141"/>
      <c r="WUB235" s="242"/>
      <c r="WUC235" s="141"/>
      <c r="WUF235" s="242"/>
      <c r="WUG235" s="141"/>
      <c r="WUJ235" s="242"/>
      <c r="WUK235" s="141"/>
      <c r="WUN235" s="242"/>
      <c r="WUO235" s="141"/>
      <c r="WUR235" s="242"/>
      <c r="WUS235" s="141"/>
      <c r="WUV235" s="242"/>
      <c r="WUW235" s="141"/>
      <c r="WUZ235" s="242"/>
      <c r="WVA235" s="141"/>
      <c r="WVD235" s="242"/>
      <c r="WVE235" s="141"/>
      <c r="WVH235" s="242"/>
      <c r="WVI235" s="141"/>
      <c r="WVL235" s="242"/>
      <c r="WVM235" s="141"/>
      <c r="WVP235" s="242"/>
      <c r="WVQ235" s="141"/>
      <c r="WVT235" s="242"/>
      <c r="WVU235" s="141"/>
      <c r="WVX235" s="242"/>
      <c r="WVY235" s="141"/>
      <c r="WWB235" s="242"/>
      <c r="WWC235" s="141"/>
      <c r="WWF235" s="242"/>
      <c r="WWG235" s="141"/>
      <c r="WWJ235" s="242"/>
      <c r="WWK235" s="141"/>
      <c r="WWN235" s="242"/>
      <c r="WWO235" s="141"/>
      <c r="WWR235" s="242"/>
      <c r="WWS235" s="141"/>
      <c r="WWV235" s="242"/>
      <c r="WWW235" s="141"/>
      <c r="WWZ235" s="242"/>
      <c r="WXA235" s="141"/>
      <c r="WXD235" s="242"/>
      <c r="WXE235" s="141"/>
      <c r="WXH235" s="242"/>
      <c r="WXI235" s="141"/>
      <c r="WXL235" s="242"/>
      <c r="WXM235" s="141"/>
      <c r="WXP235" s="242"/>
      <c r="WXQ235" s="141"/>
      <c r="WXT235" s="242"/>
      <c r="WXU235" s="141"/>
      <c r="WXX235" s="242"/>
      <c r="WXY235" s="141"/>
      <c r="WYB235" s="242"/>
      <c r="WYC235" s="141"/>
      <c r="WYF235" s="242"/>
      <c r="WYG235" s="141"/>
      <c r="WYJ235" s="242"/>
      <c r="WYK235" s="141"/>
      <c r="WYN235" s="242"/>
      <c r="WYO235" s="141"/>
      <c r="WYR235" s="242"/>
      <c r="WYS235" s="141"/>
      <c r="WYV235" s="242"/>
      <c r="WYW235" s="141"/>
      <c r="WYZ235" s="242"/>
      <c r="WZA235" s="141"/>
      <c r="WZD235" s="242"/>
      <c r="WZE235" s="141"/>
      <c r="WZH235" s="242"/>
      <c r="WZI235" s="141"/>
      <c r="WZL235" s="242"/>
      <c r="WZM235" s="141"/>
      <c r="WZP235" s="242"/>
      <c r="WZQ235" s="141"/>
      <c r="WZT235" s="242"/>
      <c r="WZU235" s="141"/>
      <c r="WZX235" s="242"/>
      <c r="WZY235" s="141"/>
      <c r="XAB235" s="242"/>
      <c r="XAC235" s="141"/>
      <c r="XAF235" s="242"/>
      <c r="XAG235" s="141"/>
      <c r="XAJ235" s="242"/>
      <c r="XAK235" s="141"/>
      <c r="XAN235" s="242"/>
      <c r="XAO235" s="141"/>
      <c r="XAR235" s="242"/>
      <c r="XAS235" s="141"/>
      <c r="XAV235" s="242"/>
      <c r="XAW235" s="141"/>
      <c r="XAZ235" s="242"/>
      <c r="XBA235" s="141"/>
      <c r="XBD235" s="242"/>
      <c r="XBE235" s="141"/>
      <c r="XBH235" s="242"/>
      <c r="XBI235" s="141"/>
      <c r="XBL235" s="242"/>
      <c r="XBM235" s="141"/>
      <c r="XBP235" s="242"/>
      <c r="XBQ235" s="141"/>
      <c r="XBT235" s="242"/>
      <c r="XBU235" s="141"/>
      <c r="XBX235" s="242"/>
      <c r="XBY235" s="141"/>
      <c r="XCB235" s="242"/>
      <c r="XCC235" s="141"/>
      <c r="XCF235" s="242"/>
      <c r="XCG235" s="141"/>
      <c r="XCJ235" s="242"/>
      <c r="XCK235" s="141"/>
      <c r="XCN235" s="242"/>
      <c r="XCO235" s="141"/>
      <c r="XCR235" s="242"/>
      <c r="XCS235" s="141"/>
      <c r="XCV235" s="242"/>
      <c r="XCW235" s="141"/>
      <c r="XCZ235" s="242"/>
      <c r="XDA235" s="141"/>
      <c r="XDD235" s="242"/>
      <c r="XDE235" s="141"/>
      <c r="XDH235" s="242"/>
      <c r="XDI235" s="141"/>
      <c r="XDL235" s="242"/>
      <c r="XDM235" s="141"/>
      <c r="XDP235" s="242"/>
      <c r="XDQ235" s="141"/>
      <c r="XDT235" s="242"/>
      <c r="XDU235" s="141"/>
      <c r="XDX235" s="242"/>
      <c r="XDY235" s="141"/>
      <c r="XEB235" s="242"/>
      <c r="XEC235" s="141"/>
      <c r="XEF235" s="242"/>
      <c r="XEG235" s="141"/>
      <c r="XEJ235" s="242"/>
      <c r="XEK235" s="141"/>
      <c r="XEN235" s="242"/>
      <c r="XEO235" s="141"/>
      <c r="XER235" s="242"/>
      <c r="XES235" s="141"/>
      <c r="XEV235" s="242"/>
      <c r="XEW235" s="141"/>
      <c r="XEZ235" s="242"/>
      <c r="XFA235" s="141"/>
      <c r="XFD235" s="242"/>
    </row>
    <row r="236" spans="1:16384" ht="23.1" customHeight="1" x14ac:dyDescent="0.3">
      <c r="A236" s="290">
        <v>493555942</v>
      </c>
      <c r="B236" s="133" t="s">
        <v>26</v>
      </c>
      <c r="C236" s="133" t="s">
        <v>26</v>
      </c>
      <c r="D236" s="140">
        <f>A236</f>
        <v>493555942</v>
      </c>
      <c r="E236" s="116" t="s">
        <v>577</v>
      </c>
    </row>
    <row r="237" spans="1:16384" ht="23.1" customHeight="1" x14ac:dyDescent="0.3">
      <c r="A237" s="131">
        <f>A238+A240+A242</f>
        <v>0</v>
      </c>
      <c r="B237" s="183" t="str">
        <f>C237</f>
        <v>　     (4) 무형자산수탁자산</v>
      </c>
      <c r="C237" s="166" t="s">
        <v>222</v>
      </c>
      <c r="D237" s="165">
        <f>D238+D240+D242</f>
        <v>0</v>
      </c>
      <c r="E237" s="116" t="s">
        <v>577</v>
      </c>
    </row>
    <row r="238" spans="1:16384" ht="23.1" customHeight="1" x14ac:dyDescent="0.3">
      <c r="A238" s="131">
        <f>A239</f>
        <v>1095416912</v>
      </c>
      <c r="B238" s="183" t="str">
        <f>C238</f>
        <v>　        ① 무형자산수탁자산</v>
      </c>
      <c r="C238" s="166" t="s">
        <v>220</v>
      </c>
      <c r="D238" s="165">
        <f>D239</f>
        <v>1095416912</v>
      </c>
      <c r="E238" s="116" t="s">
        <v>577</v>
      </c>
      <c r="G238" s="116" t="s">
        <v>500</v>
      </c>
      <c r="I238" s="116" t="s">
        <v>561</v>
      </c>
    </row>
    <row r="239" spans="1:16384" ht="23.1" customHeight="1" x14ac:dyDescent="0.3">
      <c r="A239" s="292">
        <v>1095416912</v>
      </c>
      <c r="B239" s="133" t="s">
        <v>53</v>
      </c>
      <c r="C239" s="116" t="s">
        <v>53</v>
      </c>
      <c r="D239" s="140">
        <f>A239</f>
        <v>1095416912</v>
      </c>
      <c r="E239" s="116" t="s">
        <v>577</v>
      </c>
      <c r="G239" s="174" t="s">
        <v>169</v>
      </c>
      <c r="H239" s="117" t="s">
        <v>383</v>
      </c>
      <c r="I239" s="190" t="s">
        <v>384</v>
      </c>
      <c r="J239" s="189" t="s">
        <v>385</v>
      </c>
    </row>
    <row r="240" spans="1:16384" ht="23.1" customHeight="1" x14ac:dyDescent="0.3">
      <c r="A240" s="131">
        <f>A241</f>
        <v>-1019362797</v>
      </c>
      <c r="B240" s="183" t="str">
        <f>C240</f>
        <v>　        ② (감가상각누계액)</v>
      </c>
      <c r="C240" s="166" t="s">
        <v>31</v>
      </c>
      <c r="D240" s="165">
        <f>D241</f>
        <v>-1019362797</v>
      </c>
      <c r="E240" s="116" t="s">
        <v>577</v>
      </c>
      <c r="G240" s="174" t="s">
        <v>451</v>
      </c>
      <c r="H240" s="188">
        <v>975417866</v>
      </c>
      <c r="I240" s="187">
        <v>970494967</v>
      </c>
      <c r="J240" s="186">
        <v>4922899</v>
      </c>
    </row>
    <row r="241" spans="1:10" ht="23.1" customHeight="1" x14ac:dyDescent="0.3">
      <c r="A241" s="292">
        <v>-1019362797</v>
      </c>
      <c r="B241" s="133" t="s">
        <v>368</v>
      </c>
      <c r="C241" s="116" t="s">
        <v>368</v>
      </c>
      <c r="D241" s="140">
        <f>A241</f>
        <v>-1019362797</v>
      </c>
      <c r="E241" s="116" t="s">
        <v>577</v>
      </c>
      <c r="G241" s="175"/>
    </row>
    <row r="242" spans="1:10" ht="23.1" customHeight="1" x14ac:dyDescent="0.3">
      <c r="A242" s="131">
        <f>A243</f>
        <v>-76054115</v>
      </c>
      <c r="B242" s="183" t="str">
        <f>C242</f>
        <v>　        ③ (수탁자산보조금)</v>
      </c>
      <c r="C242" s="166" t="s">
        <v>27</v>
      </c>
      <c r="D242" s="165">
        <f>D243</f>
        <v>-76054115</v>
      </c>
      <c r="E242" s="116" t="s">
        <v>577</v>
      </c>
      <c r="G242" s="175"/>
    </row>
    <row r="243" spans="1:10" ht="23.1" customHeight="1" x14ac:dyDescent="0.3">
      <c r="A243" s="292">
        <v>-76054115</v>
      </c>
      <c r="B243" s="133" t="s">
        <v>366</v>
      </c>
      <c r="C243" s="116" t="s">
        <v>366</v>
      </c>
      <c r="D243" s="140">
        <f>A243</f>
        <v>-76054115</v>
      </c>
      <c r="E243" s="116" t="s">
        <v>577</v>
      </c>
    </row>
    <row r="244" spans="1:10" ht="23.1" customHeight="1" x14ac:dyDescent="0.3">
      <c r="A244" s="131">
        <f>A245+A250+A255</f>
        <v>18918372829</v>
      </c>
      <c r="B244" s="183" t="str">
        <f>C244</f>
        <v>　  4. 기타의비유동자산</v>
      </c>
      <c r="C244" s="166" t="s">
        <v>116</v>
      </c>
      <c r="D244" s="165">
        <f>D245+D250+D255</f>
        <v>18918372829</v>
      </c>
      <c r="E244" s="116" t="s">
        <v>577</v>
      </c>
      <c r="G244" s="116" t="s">
        <v>551</v>
      </c>
      <c r="I244" s="116" t="s">
        <v>556</v>
      </c>
    </row>
    <row r="245" spans="1:10" ht="23.1" customHeight="1" x14ac:dyDescent="0.3">
      <c r="A245" s="131">
        <f>SUM(A246:A249)</f>
        <v>2721396500</v>
      </c>
      <c r="B245" s="183" t="str">
        <f>C245</f>
        <v>　     (1) 보증금</v>
      </c>
      <c r="C245" s="166" t="s">
        <v>105</v>
      </c>
      <c r="D245" s="165">
        <f>SUM(D246:D249)</f>
        <v>2721396500</v>
      </c>
      <c r="E245" s="116" t="s">
        <v>577</v>
      </c>
      <c r="G245" s="116" t="s">
        <v>169</v>
      </c>
      <c r="H245" s="117" t="s">
        <v>383</v>
      </c>
      <c r="I245" s="116" t="s">
        <v>384</v>
      </c>
      <c r="J245" s="116" t="s">
        <v>385</v>
      </c>
    </row>
    <row r="246" spans="1:10" ht="23.1" customHeight="1" x14ac:dyDescent="0.3">
      <c r="A246" s="255"/>
      <c r="B246" s="265" t="s">
        <v>114</v>
      </c>
      <c r="C246" s="407" t="s">
        <v>227</v>
      </c>
      <c r="D246" s="167">
        <f>A246</f>
        <v>0</v>
      </c>
      <c r="E246" s="116" t="s">
        <v>577</v>
      </c>
      <c r="G246" s="116" t="s">
        <v>451</v>
      </c>
      <c r="H246" s="117">
        <v>975417866</v>
      </c>
      <c r="I246" s="116">
        <v>931969471</v>
      </c>
      <c r="J246" s="116">
        <v>43448395</v>
      </c>
    </row>
    <row r="247" spans="1:10" ht="23.1" customHeight="1" x14ac:dyDescent="0.3">
      <c r="A247" s="305">
        <v>2146000</v>
      </c>
      <c r="B247" s="265" t="s">
        <v>37</v>
      </c>
      <c r="C247" s="408"/>
      <c r="D247" s="167">
        <f>A247</f>
        <v>2146000</v>
      </c>
      <c r="E247" s="116" t="s">
        <v>577</v>
      </c>
    </row>
    <row r="248" spans="1:10" ht="23.1" customHeight="1" x14ac:dyDescent="0.3">
      <c r="A248" s="290">
        <v>2697692000</v>
      </c>
      <c r="B248" s="265" t="s">
        <v>50</v>
      </c>
      <c r="C248" s="408"/>
      <c r="D248" s="167">
        <f>A248</f>
        <v>2697692000</v>
      </c>
      <c r="E248" s="116" t="s">
        <v>577</v>
      </c>
      <c r="I248" s="119">
        <f>I240-I246</f>
        <v>38525496</v>
      </c>
    </row>
    <row r="249" spans="1:10" ht="23.1" customHeight="1" x14ac:dyDescent="0.3">
      <c r="A249" s="290">
        <v>21558500</v>
      </c>
      <c r="B249" s="265" t="s">
        <v>217</v>
      </c>
      <c r="C249" s="408"/>
      <c r="D249" s="167">
        <f>A249</f>
        <v>21558500</v>
      </c>
      <c r="E249" s="116" t="s">
        <v>577</v>
      </c>
    </row>
    <row r="250" spans="1:10" ht="23.1" customHeight="1" x14ac:dyDescent="0.3">
      <c r="A250" s="131">
        <f>A251+A253</f>
        <v>61563646</v>
      </c>
      <c r="B250" s="183" t="str">
        <f>C250</f>
        <v>　     (2) 장기미수금</v>
      </c>
      <c r="C250" s="166" t="s">
        <v>106</v>
      </c>
      <c r="D250" s="165">
        <f>D251+D253</f>
        <v>61563646</v>
      </c>
      <c r="E250" s="116" t="s">
        <v>577</v>
      </c>
    </row>
    <row r="251" spans="1:10" ht="23.1" customHeight="1" x14ac:dyDescent="0.3">
      <c r="A251" s="131">
        <f>A252</f>
        <v>1241309884</v>
      </c>
      <c r="B251" s="183" t="str">
        <f>C251</f>
        <v>　         장기미수금</v>
      </c>
      <c r="C251" s="166" t="s">
        <v>107</v>
      </c>
      <c r="D251" s="165">
        <f>D252</f>
        <v>1241309884</v>
      </c>
      <c r="E251" s="116" t="s">
        <v>577</v>
      </c>
    </row>
    <row r="252" spans="1:10" ht="23.1" customHeight="1" x14ac:dyDescent="0.3">
      <c r="A252" s="299">
        <v>1241309884</v>
      </c>
      <c r="B252" s="133" t="s">
        <v>34</v>
      </c>
      <c r="C252" s="184" t="s">
        <v>34</v>
      </c>
      <c r="D252" s="140">
        <f>A252</f>
        <v>1241309884</v>
      </c>
      <c r="E252" s="116" t="s">
        <v>577</v>
      </c>
    </row>
    <row r="253" spans="1:10" ht="23.1" customHeight="1" x14ac:dyDescent="0.3">
      <c r="A253" s="131">
        <f>A254</f>
        <v>-1179746238</v>
      </c>
      <c r="B253" s="183" t="str">
        <f>C253</f>
        <v>　         (대손충당금)</v>
      </c>
      <c r="C253" s="166" t="s">
        <v>216</v>
      </c>
      <c r="D253" s="165">
        <f>D254</f>
        <v>-1179746238</v>
      </c>
      <c r="E253" s="116" t="s">
        <v>577</v>
      </c>
    </row>
    <row r="254" spans="1:10" ht="23.1" customHeight="1" x14ac:dyDescent="0.3">
      <c r="A254" s="299">
        <v>-1179746238</v>
      </c>
      <c r="B254" s="133" t="s">
        <v>47</v>
      </c>
      <c r="C254" s="184" t="s">
        <v>47</v>
      </c>
      <c r="D254" s="140">
        <f>A254</f>
        <v>-1179746238</v>
      </c>
      <c r="E254" s="116" t="s">
        <v>577</v>
      </c>
    </row>
    <row r="255" spans="1:10" ht="23.1" customHeight="1" x14ac:dyDescent="0.3">
      <c r="A255" s="131">
        <f>A256+A258+A257</f>
        <v>16135412683</v>
      </c>
      <c r="B255" s="183" t="str">
        <f>C255</f>
        <v>　     (3) 기타비유동자산</v>
      </c>
      <c r="C255" s="166" t="s">
        <v>223</v>
      </c>
      <c r="D255" s="165">
        <f>SUM(D256:D258)</f>
        <v>16135412683</v>
      </c>
      <c r="E255" s="116" t="s">
        <v>577</v>
      </c>
    </row>
    <row r="256" spans="1:10" ht="22.5" customHeight="1" x14ac:dyDescent="0.3">
      <c r="A256" s="290">
        <v>6572391373</v>
      </c>
      <c r="B256" s="265" t="s">
        <v>28</v>
      </c>
      <c r="C256" s="405" t="s">
        <v>224</v>
      </c>
      <c r="D256" s="167">
        <f>A256</f>
        <v>6572391373</v>
      </c>
      <c r="E256" s="116" t="s">
        <v>577</v>
      </c>
    </row>
    <row r="257" spans="1:8" ht="22.5" customHeight="1" x14ac:dyDescent="0.3">
      <c r="A257" s="290">
        <v>9518021310</v>
      </c>
      <c r="B257" s="265" t="s">
        <v>367</v>
      </c>
      <c r="C257" s="410"/>
      <c r="D257" s="167">
        <f>A257</f>
        <v>9518021310</v>
      </c>
      <c r="E257" s="116" t="s">
        <v>577</v>
      </c>
    </row>
    <row r="258" spans="1:8" ht="23.1" customHeight="1" thickBot="1" x14ac:dyDescent="0.35">
      <c r="A258" s="290">
        <v>45000000</v>
      </c>
      <c r="B258" s="266" t="s">
        <v>52</v>
      </c>
      <c r="C258" s="412"/>
      <c r="D258" s="182">
        <f>A258</f>
        <v>45000000</v>
      </c>
      <c r="E258" s="116" t="s">
        <v>577</v>
      </c>
      <c r="F258" s="281" t="s">
        <v>615</v>
      </c>
      <c r="G258" s="281" t="s">
        <v>614</v>
      </c>
      <c r="H258" s="147" t="s">
        <v>558</v>
      </c>
    </row>
    <row r="259" spans="1:8" ht="23.1" customHeight="1" thickBot="1" x14ac:dyDescent="0.35">
      <c r="A259" s="179"/>
      <c r="B259" s="178"/>
      <c r="C259" s="181" t="s">
        <v>464</v>
      </c>
      <c r="D259" s="180">
        <f>D3+D86</f>
        <v>15667575253119</v>
      </c>
      <c r="E259" s="116" t="s">
        <v>577</v>
      </c>
      <c r="F259" s="282">
        <v>15626858739615</v>
      </c>
      <c r="G259" s="148">
        <f>F259-D259</f>
        <v>-40716513504</v>
      </c>
      <c r="H259" s="147" t="b">
        <f>H18=G259</f>
        <v>0</v>
      </c>
    </row>
    <row r="260" spans="1:8" ht="23.1" customHeight="1" x14ac:dyDescent="0.3">
      <c r="A260" s="179"/>
      <c r="B260" s="178"/>
      <c r="C260" s="178" t="s">
        <v>264</v>
      </c>
      <c r="D260" s="177"/>
      <c r="E260" s="116" t="s">
        <v>579</v>
      </c>
      <c r="F260" s="255"/>
    </row>
    <row r="261" spans="1:8" ht="23.1" customHeight="1" x14ac:dyDescent="0.3">
      <c r="A261" s="138">
        <f>A262+A264+A274+A283+A285+A287+A291+A295+A297+A303+A301</f>
        <v>966877695951</v>
      </c>
      <c r="B261" s="176" t="str">
        <f>C261</f>
        <v>　Ⅰ. 유동부채</v>
      </c>
      <c r="C261" s="143" t="s">
        <v>311</v>
      </c>
      <c r="D261" s="136">
        <f>D262+D264+D274+D283+D285+D287+D291+D295+D297+D303+D301</f>
        <v>966877695951</v>
      </c>
      <c r="E261" s="116" t="s">
        <v>579</v>
      </c>
    </row>
    <row r="262" spans="1:8" ht="23.1" customHeight="1" x14ac:dyDescent="0.3">
      <c r="A262" s="131">
        <f>A263</f>
        <v>0</v>
      </c>
      <c r="B262" s="130" t="str">
        <f>C262</f>
        <v>　  1. 단기차입금</v>
      </c>
      <c r="C262" s="129" t="s">
        <v>314</v>
      </c>
      <c r="D262" s="128">
        <f>D263</f>
        <v>0</v>
      </c>
      <c r="E262" s="116" t="s">
        <v>579</v>
      </c>
      <c r="F262" s="119"/>
    </row>
    <row r="263" spans="1:8" ht="23.1" customHeight="1" x14ac:dyDescent="0.3">
      <c r="A263" s="290">
        <v>0</v>
      </c>
      <c r="B263" s="134" t="s">
        <v>205</v>
      </c>
      <c r="C263" s="134" t="s">
        <v>205</v>
      </c>
      <c r="D263" s="139">
        <f>A263</f>
        <v>0</v>
      </c>
      <c r="E263" s="116" t="s">
        <v>579</v>
      </c>
    </row>
    <row r="264" spans="1:8" ht="22.5" customHeight="1" x14ac:dyDescent="0.3">
      <c r="A264" s="131">
        <f>SUM(A265:A273)</f>
        <v>292859450303</v>
      </c>
      <c r="B264" s="130" t="str">
        <f>C264</f>
        <v>　  2. 미지급금</v>
      </c>
      <c r="C264" s="129" t="s">
        <v>316</v>
      </c>
      <c r="D264" s="128">
        <f>SUM(D265:D273)</f>
        <v>292859450303</v>
      </c>
      <c r="E264" s="116" t="s">
        <v>579</v>
      </c>
    </row>
    <row r="265" spans="1:8" ht="23.1" customHeight="1" thickBot="1" x14ac:dyDescent="0.35">
      <c r="A265" s="258">
        <v>218709041163</v>
      </c>
      <c r="B265" s="266" t="s">
        <v>208</v>
      </c>
      <c r="C265" s="133" t="s">
        <v>208</v>
      </c>
      <c r="D265" s="139">
        <f>A265</f>
        <v>218709041163</v>
      </c>
      <c r="E265" s="116" t="s">
        <v>579</v>
      </c>
      <c r="F265" s="116" t="s">
        <v>576</v>
      </c>
      <c r="G265" s="175">
        <v>100928512</v>
      </c>
      <c r="H265" s="117">
        <v>102248512</v>
      </c>
    </row>
    <row r="266" spans="1:8" ht="23.1" customHeight="1" x14ac:dyDescent="0.3">
      <c r="A266" s="290">
        <v>46228160</v>
      </c>
      <c r="B266" s="133" t="s">
        <v>51</v>
      </c>
      <c r="C266" s="133" t="s">
        <v>51</v>
      </c>
      <c r="D266" s="139">
        <f>A266</f>
        <v>46228160</v>
      </c>
      <c r="E266" s="116" t="s">
        <v>579</v>
      </c>
      <c r="G266" s="119">
        <f>G265-H265</f>
        <v>-1320000</v>
      </c>
    </row>
    <row r="267" spans="1:8" ht="23.1" customHeight="1" x14ac:dyDescent="0.3">
      <c r="A267" s="290">
        <v>8444357</v>
      </c>
      <c r="B267" s="133" t="s">
        <v>25</v>
      </c>
      <c r="C267" s="133" t="s">
        <v>25</v>
      </c>
      <c r="D267" s="139">
        <f>A267</f>
        <v>8444357</v>
      </c>
      <c r="E267" s="116" t="s">
        <v>579</v>
      </c>
    </row>
    <row r="268" spans="1:8" ht="23.1" customHeight="1" x14ac:dyDescent="0.3">
      <c r="A268" s="290">
        <v>70227126742</v>
      </c>
      <c r="B268" s="133" t="s">
        <v>39</v>
      </c>
      <c r="C268" s="133" t="s">
        <v>39</v>
      </c>
      <c r="D268" s="139">
        <f>A268+F270+F271</f>
        <v>70227126742</v>
      </c>
      <c r="E268" s="116" t="s">
        <v>579</v>
      </c>
    </row>
    <row r="269" spans="1:8" ht="23.1" customHeight="1" x14ac:dyDescent="0.3">
      <c r="A269" s="290">
        <v>32984740</v>
      </c>
      <c r="B269" s="133" t="s">
        <v>40</v>
      </c>
      <c r="C269" s="133" t="s">
        <v>39</v>
      </c>
      <c r="D269" s="139">
        <f>A269+F271+F272</f>
        <v>32984740</v>
      </c>
      <c r="E269" s="116" t="s">
        <v>579</v>
      </c>
    </row>
    <row r="270" spans="1:8" ht="23.1" customHeight="1" x14ac:dyDescent="0.3">
      <c r="A270" s="290">
        <v>2571147753</v>
      </c>
      <c r="B270" s="133" t="s">
        <v>369</v>
      </c>
      <c r="C270" s="413" t="s">
        <v>202</v>
      </c>
      <c r="D270" s="139">
        <f>A270</f>
        <v>2571147753</v>
      </c>
      <c r="E270" s="116" t="s">
        <v>579</v>
      </c>
    </row>
    <row r="271" spans="1:8" ht="23.1" customHeight="1" x14ac:dyDescent="0.3">
      <c r="A271" s="290">
        <v>997472765</v>
      </c>
      <c r="B271" s="133" t="s">
        <v>30</v>
      </c>
      <c r="C271" s="414"/>
      <c r="D271" s="139">
        <f>A271</f>
        <v>997472765</v>
      </c>
      <c r="E271" s="116" t="s">
        <v>579</v>
      </c>
    </row>
    <row r="272" spans="1:8" ht="23.1" customHeight="1" x14ac:dyDescent="0.3">
      <c r="A272" s="308">
        <v>267004623</v>
      </c>
      <c r="B272" s="133" t="s">
        <v>370</v>
      </c>
      <c r="C272" s="415"/>
      <c r="D272" s="139">
        <f>A272</f>
        <v>267004623</v>
      </c>
      <c r="E272" s="116" t="s">
        <v>579</v>
      </c>
    </row>
    <row r="273" spans="1:5" ht="23.1" customHeight="1" x14ac:dyDescent="0.3">
      <c r="A273" s="298">
        <v>0</v>
      </c>
      <c r="B273" s="133" t="s">
        <v>161</v>
      </c>
      <c r="C273" s="133" t="s">
        <v>161</v>
      </c>
      <c r="D273" s="139">
        <f>A273</f>
        <v>0</v>
      </c>
      <c r="E273" s="116" t="s">
        <v>579</v>
      </c>
    </row>
    <row r="274" spans="1:5" ht="23.1" customHeight="1" x14ac:dyDescent="0.3">
      <c r="A274" s="131">
        <f>SUM(A275:A282)</f>
        <v>76742186981</v>
      </c>
      <c r="B274" s="130" t="str">
        <f>C274</f>
        <v>　  3. 미지급비용</v>
      </c>
      <c r="C274" s="129" t="s">
        <v>313</v>
      </c>
      <c r="D274" s="128">
        <f>SUM(D275:D282)</f>
        <v>76742186981</v>
      </c>
      <c r="E274" s="116" t="s">
        <v>579</v>
      </c>
    </row>
    <row r="275" spans="1:5" ht="23.1" customHeight="1" x14ac:dyDescent="0.3">
      <c r="A275" s="290">
        <v>15668050773</v>
      </c>
      <c r="B275" s="133" t="s">
        <v>218</v>
      </c>
      <c r="C275" s="133" t="s">
        <v>218</v>
      </c>
      <c r="D275" s="139">
        <f t="shared" ref="D275:D282" si="15">A275</f>
        <v>15668050773</v>
      </c>
      <c r="E275" s="116" t="s">
        <v>579</v>
      </c>
    </row>
    <row r="276" spans="1:5" ht="23.1" customHeight="1" x14ac:dyDescent="0.3">
      <c r="A276" s="290">
        <v>4189176465</v>
      </c>
      <c r="B276" s="133" t="s">
        <v>29</v>
      </c>
      <c r="C276" s="133" t="s">
        <v>29</v>
      </c>
      <c r="D276" s="139">
        <f t="shared" si="15"/>
        <v>4189176465</v>
      </c>
      <c r="E276" s="116" t="s">
        <v>579</v>
      </c>
    </row>
    <row r="277" spans="1:5" ht="23.1" customHeight="1" x14ac:dyDescent="0.3">
      <c r="A277" s="305">
        <v>0</v>
      </c>
      <c r="B277" s="133" t="s">
        <v>32</v>
      </c>
      <c r="C277" s="133" t="s">
        <v>32</v>
      </c>
      <c r="D277" s="139">
        <f t="shared" si="15"/>
        <v>0</v>
      </c>
      <c r="E277" s="116" t="s">
        <v>579</v>
      </c>
    </row>
    <row r="278" spans="1:5" ht="22.5" customHeight="1" x14ac:dyDescent="0.3">
      <c r="A278" s="305">
        <v>12572549450</v>
      </c>
      <c r="B278" s="133" t="s">
        <v>33</v>
      </c>
      <c r="C278" s="133" t="s">
        <v>33</v>
      </c>
      <c r="D278" s="139">
        <f t="shared" si="15"/>
        <v>12572549450</v>
      </c>
      <c r="E278" s="116" t="s">
        <v>579</v>
      </c>
    </row>
    <row r="279" spans="1:5" ht="23.1" customHeight="1" x14ac:dyDescent="0.3">
      <c r="A279" s="305">
        <v>0</v>
      </c>
      <c r="B279" s="133" t="s">
        <v>36</v>
      </c>
      <c r="C279" s="133" t="s">
        <v>36</v>
      </c>
      <c r="D279" s="139">
        <f t="shared" si="15"/>
        <v>0</v>
      </c>
      <c r="E279" s="116" t="s">
        <v>579</v>
      </c>
    </row>
    <row r="280" spans="1:5" ht="23.1" customHeight="1" x14ac:dyDescent="0.3">
      <c r="A280" s="306">
        <v>44312410293</v>
      </c>
      <c r="B280" s="133" t="s">
        <v>35</v>
      </c>
      <c r="C280" s="133" t="s">
        <v>35</v>
      </c>
      <c r="D280" s="139">
        <f t="shared" si="15"/>
        <v>44312410293</v>
      </c>
      <c r="E280" s="116" t="s">
        <v>579</v>
      </c>
    </row>
    <row r="281" spans="1:5" ht="23.1" customHeight="1" x14ac:dyDescent="0.3">
      <c r="A281" s="305">
        <v>0</v>
      </c>
      <c r="B281" s="133" t="s">
        <v>521</v>
      </c>
      <c r="C281" s="133"/>
      <c r="D281" s="139">
        <f t="shared" si="15"/>
        <v>0</v>
      </c>
      <c r="E281" s="116" t="s">
        <v>579</v>
      </c>
    </row>
    <row r="282" spans="1:5" ht="22.5" customHeight="1" x14ac:dyDescent="0.3">
      <c r="A282" s="305">
        <v>0</v>
      </c>
      <c r="B282" s="133" t="s">
        <v>41</v>
      </c>
      <c r="C282" s="133" t="s">
        <v>41</v>
      </c>
      <c r="D282" s="139">
        <f t="shared" si="15"/>
        <v>0</v>
      </c>
      <c r="E282" s="116" t="s">
        <v>579</v>
      </c>
    </row>
    <row r="283" spans="1:5" ht="23.1" customHeight="1" x14ac:dyDescent="0.3">
      <c r="A283" s="131">
        <f>SUM(A284:A284)</f>
        <v>3822369213</v>
      </c>
      <c r="B283" s="130" t="str">
        <f>C283</f>
        <v>　  4. 선수금</v>
      </c>
      <c r="C283" s="129" t="s">
        <v>312</v>
      </c>
      <c r="D283" s="128">
        <f>SUM(D284:D284)</f>
        <v>3822369213</v>
      </c>
      <c r="E283" s="116" t="s">
        <v>579</v>
      </c>
    </row>
    <row r="284" spans="1:5" ht="23.1" customHeight="1" x14ac:dyDescent="0.3">
      <c r="A284" s="290">
        <v>3822369213</v>
      </c>
      <c r="B284" s="133" t="s">
        <v>117</v>
      </c>
      <c r="C284" s="133" t="s">
        <v>117</v>
      </c>
      <c r="D284" s="132">
        <f>A284</f>
        <v>3822369213</v>
      </c>
      <c r="E284" s="116" t="s">
        <v>579</v>
      </c>
    </row>
    <row r="285" spans="1:5" ht="23.1" customHeight="1" x14ac:dyDescent="0.3">
      <c r="A285" s="131">
        <f>SUM(A286:A286)</f>
        <v>48354481842</v>
      </c>
      <c r="B285" s="130" t="str">
        <f>C285</f>
        <v>　  5. 예수금</v>
      </c>
      <c r="C285" s="129" t="s">
        <v>315</v>
      </c>
      <c r="D285" s="128">
        <f>SUM(D286:D286)</f>
        <v>48354481842</v>
      </c>
      <c r="E285" s="116" t="s">
        <v>579</v>
      </c>
    </row>
    <row r="286" spans="1:5" ht="23.1" customHeight="1" x14ac:dyDescent="0.3">
      <c r="A286" s="290">
        <v>48354481842</v>
      </c>
      <c r="B286" s="133" t="s">
        <v>118</v>
      </c>
      <c r="C286" s="133" t="s">
        <v>118</v>
      </c>
      <c r="D286" s="139">
        <f>A286</f>
        <v>48354481842</v>
      </c>
      <c r="E286" s="116" t="s">
        <v>579</v>
      </c>
    </row>
    <row r="287" spans="1:5" ht="23.1" customHeight="1" x14ac:dyDescent="0.3">
      <c r="A287" s="131">
        <f>SUM(A288:A290)</f>
        <v>440000000000</v>
      </c>
      <c r="B287" s="130" t="str">
        <f>C287</f>
        <v>　  6. 유동성장기부채</v>
      </c>
      <c r="C287" s="129" t="s">
        <v>120</v>
      </c>
      <c r="D287" s="128">
        <f>SUM(D288:D290)</f>
        <v>440000000000</v>
      </c>
      <c r="E287" s="116" t="s">
        <v>579</v>
      </c>
    </row>
    <row r="288" spans="1:5" ht="23.1" customHeight="1" x14ac:dyDescent="0.3">
      <c r="A288" s="296">
        <v>440000000000</v>
      </c>
      <c r="B288" s="133" t="s">
        <v>38</v>
      </c>
      <c r="C288" s="133" t="s">
        <v>38</v>
      </c>
      <c r="D288" s="139">
        <f t="shared" ref="D288:D294" si="16">A288</f>
        <v>440000000000</v>
      </c>
      <c r="E288" s="116" t="s">
        <v>579</v>
      </c>
    </row>
    <row r="289" spans="1:8" ht="23.1" customHeight="1" x14ac:dyDescent="0.3">
      <c r="A289" s="296">
        <v>0</v>
      </c>
      <c r="B289" s="133" t="s">
        <v>44</v>
      </c>
      <c r="C289" s="133" t="s">
        <v>44</v>
      </c>
      <c r="D289" s="139">
        <f t="shared" si="16"/>
        <v>0</v>
      </c>
      <c r="E289" s="116" t="s">
        <v>579</v>
      </c>
    </row>
    <row r="290" spans="1:8" ht="23.1" customHeight="1" x14ac:dyDescent="0.3">
      <c r="A290" s="297">
        <v>0</v>
      </c>
      <c r="B290" s="133" t="s">
        <v>371</v>
      </c>
      <c r="C290" s="133" t="s">
        <v>371</v>
      </c>
      <c r="D290" s="139">
        <f t="shared" si="16"/>
        <v>0</v>
      </c>
      <c r="E290" s="116" t="s">
        <v>579</v>
      </c>
    </row>
    <row r="291" spans="1:8" ht="23.1" customHeight="1" x14ac:dyDescent="0.3">
      <c r="A291" s="131">
        <f>A292+A293+A294-H292</f>
        <v>1017174</v>
      </c>
      <c r="B291" s="130" t="str">
        <f>C291</f>
        <v>　  7. 예수부가세</v>
      </c>
      <c r="C291" s="129" t="s">
        <v>322</v>
      </c>
      <c r="D291" s="128">
        <f t="shared" si="16"/>
        <v>1017174</v>
      </c>
      <c r="E291" s="116" t="s">
        <v>579</v>
      </c>
    </row>
    <row r="292" spans="1:8" ht="23.1" customHeight="1" x14ac:dyDescent="0.3">
      <c r="A292" s="290">
        <v>306453958446</v>
      </c>
      <c r="B292" s="133" t="s">
        <v>226</v>
      </c>
      <c r="C292" s="413" t="s">
        <v>226</v>
      </c>
      <c r="D292" s="132">
        <f t="shared" si="16"/>
        <v>306453958446</v>
      </c>
      <c r="E292" s="116" t="s">
        <v>579</v>
      </c>
      <c r="G292" s="174" t="s">
        <v>499</v>
      </c>
      <c r="H292" s="117">
        <v>0</v>
      </c>
    </row>
    <row r="293" spans="1:8" ht="23.1" customHeight="1" x14ac:dyDescent="0.3">
      <c r="A293" s="290">
        <v>1999817188</v>
      </c>
      <c r="B293" s="133" t="s">
        <v>43</v>
      </c>
      <c r="C293" s="414"/>
      <c r="D293" s="132">
        <f t="shared" si="16"/>
        <v>1999817188</v>
      </c>
      <c r="E293" s="116" t="s">
        <v>579</v>
      </c>
    </row>
    <row r="294" spans="1:8" ht="23.1" customHeight="1" x14ac:dyDescent="0.3">
      <c r="A294" s="290">
        <v>-308452758460</v>
      </c>
      <c r="B294" s="134" t="s">
        <v>45</v>
      </c>
      <c r="C294" s="415"/>
      <c r="D294" s="132">
        <f t="shared" si="16"/>
        <v>-308452758460</v>
      </c>
      <c r="E294" s="116" t="s">
        <v>579</v>
      </c>
    </row>
    <row r="295" spans="1:8" ht="23.1" customHeight="1" x14ac:dyDescent="0.3">
      <c r="A295" s="131">
        <f>A296</f>
        <v>17980333140</v>
      </c>
      <c r="B295" s="130" t="str">
        <f>C295</f>
        <v>　  8. 선수수익</v>
      </c>
      <c r="C295" s="129" t="s">
        <v>319</v>
      </c>
      <c r="D295" s="128">
        <f>D296</f>
        <v>17980333140</v>
      </c>
      <c r="E295" s="116" t="s">
        <v>579</v>
      </c>
    </row>
    <row r="296" spans="1:8" ht="23.1" customHeight="1" x14ac:dyDescent="0.3">
      <c r="A296" s="290">
        <v>17980333140</v>
      </c>
      <c r="B296" s="133" t="s">
        <v>121</v>
      </c>
      <c r="C296" s="133" t="s">
        <v>121</v>
      </c>
      <c r="D296" s="139">
        <f>A296</f>
        <v>17980333140</v>
      </c>
      <c r="E296" s="116" t="s">
        <v>579</v>
      </c>
    </row>
    <row r="297" spans="1:8" ht="23.1" customHeight="1" x14ac:dyDescent="0.3">
      <c r="A297" s="131">
        <f>A298+A299+A300</f>
        <v>2369517069</v>
      </c>
      <c r="B297" s="130" t="str">
        <f>C297</f>
        <v>　  9. 예수보증금</v>
      </c>
      <c r="C297" s="129" t="s">
        <v>320</v>
      </c>
      <c r="D297" s="128">
        <f>SUM(D298:D300)</f>
        <v>2369517069</v>
      </c>
      <c r="E297" s="116" t="s">
        <v>579</v>
      </c>
    </row>
    <row r="298" spans="1:8" ht="23.1" customHeight="1" x14ac:dyDescent="0.3">
      <c r="A298" s="290">
        <v>284651735</v>
      </c>
      <c r="B298" s="133" t="s">
        <v>48</v>
      </c>
      <c r="C298" s="413" t="s">
        <v>214</v>
      </c>
      <c r="D298" s="132">
        <f>A298</f>
        <v>284651735</v>
      </c>
      <c r="E298" s="116" t="s">
        <v>579</v>
      </c>
    </row>
    <row r="299" spans="1:8" ht="23.1" customHeight="1" x14ac:dyDescent="0.3">
      <c r="A299" s="290">
        <v>1055526879</v>
      </c>
      <c r="B299" s="133" t="s">
        <v>57</v>
      </c>
      <c r="C299" s="414"/>
      <c r="D299" s="132">
        <f>A299</f>
        <v>1055526879</v>
      </c>
      <c r="E299" s="116" t="s">
        <v>579</v>
      </c>
    </row>
    <row r="300" spans="1:8" ht="23.1" customHeight="1" x14ac:dyDescent="0.3">
      <c r="A300" s="290">
        <v>1029338455</v>
      </c>
      <c r="B300" s="134" t="s">
        <v>372</v>
      </c>
      <c r="C300" s="415"/>
      <c r="D300" s="132">
        <f>A300</f>
        <v>1029338455</v>
      </c>
      <c r="E300" s="116" t="s">
        <v>579</v>
      </c>
    </row>
    <row r="301" spans="1:8" ht="23.1" customHeight="1" x14ac:dyDescent="0.3">
      <c r="A301" s="131">
        <f>A302</f>
        <v>58683173526</v>
      </c>
      <c r="B301" s="130" t="str">
        <f>C301</f>
        <v>　  10. 소송충당부채</v>
      </c>
      <c r="C301" s="129" t="s">
        <v>122</v>
      </c>
      <c r="D301" s="128">
        <f>D302</f>
        <v>58683173526</v>
      </c>
      <c r="E301" s="116" t="s">
        <v>579</v>
      </c>
    </row>
    <row r="302" spans="1:8" ht="23.1" customHeight="1" x14ac:dyDescent="0.3">
      <c r="A302" s="290">
        <v>58683173526</v>
      </c>
      <c r="B302" s="134" t="s">
        <v>219</v>
      </c>
      <c r="C302" s="134" t="s">
        <v>229</v>
      </c>
      <c r="D302" s="132">
        <f>A302</f>
        <v>58683173526</v>
      </c>
      <c r="E302" s="116" t="s">
        <v>579</v>
      </c>
    </row>
    <row r="303" spans="1:8" ht="23.1" customHeight="1" x14ac:dyDescent="0.3">
      <c r="A303" s="131">
        <f>A304</f>
        <v>26065166703</v>
      </c>
      <c r="B303" s="130" t="str">
        <f>C303</f>
        <v>　  11. 기타유동부채</v>
      </c>
      <c r="C303" s="129" t="s">
        <v>112</v>
      </c>
      <c r="D303" s="128">
        <f>D304</f>
        <v>26065166703</v>
      </c>
      <c r="E303" s="116" t="s">
        <v>579</v>
      </c>
    </row>
    <row r="304" spans="1:8" ht="23.1" customHeight="1" thickBot="1" x14ac:dyDescent="0.35">
      <c r="A304" s="270">
        <v>26065166703</v>
      </c>
      <c r="B304" s="173" t="s">
        <v>504</v>
      </c>
      <c r="C304" s="126" t="str">
        <f>B304</f>
        <v>　           기타유동부채/보증금(계약기간 1년미만)</v>
      </c>
      <c r="D304" s="172">
        <f>A304</f>
        <v>26065166703</v>
      </c>
      <c r="E304" s="116" t="s">
        <v>579</v>
      </c>
    </row>
    <row r="305" spans="1:5" ht="23.1" customHeight="1" x14ac:dyDescent="0.3">
      <c r="A305" s="152">
        <f>A306+A311+A313+A315+A321+A323+A337+A339+A341</f>
        <v>5865286702007</v>
      </c>
      <c r="B305" s="151" t="str">
        <f>C305</f>
        <v xml:space="preserve"> 　II. 비유동부채</v>
      </c>
      <c r="C305" s="171" t="s">
        <v>317</v>
      </c>
      <c r="D305" s="170">
        <f>D306+D311+D313+D315+D321+D323+D337+D339+D341</f>
        <v>5865286702007</v>
      </c>
      <c r="E305" s="116" t="s">
        <v>579</v>
      </c>
    </row>
    <row r="306" spans="1:5" ht="23.1" customHeight="1" x14ac:dyDescent="0.3">
      <c r="A306" s="131">
        <f>A307+A309</f>
        <v>3367388805384</v>
      </c>
      <c r="B306" s="130" t="str">
        <f>C306</f>
        <v>　  1. 사채</v>
      </c>
      <c r="C306" s="166" t="s">
        <v>321</v>
      </c>
      <c r="D306" s="165">
        <f>D307+D309</f>
        <v>3367388805384</v>
      </c>
      <c r="E306" s="116" t="s">
        <v>579</v>
      </c>
    </row>
    <row r="307" spans="1:5" ht="23.1" customHeight="1" x14ac:dyDescent="0.3">
      <c r="A307" s="131">
        <f>A308</f>
        <v>3368000000000</v>
      </c>
      <c r="B307" s="130" t="str">
        <f>C307</f>
        <v>　         사채</v>
      </c>
      <c r="C307" s="166" t="s">
        <v>123</v>
      </c>
      <c r="D307" s="165">
        <f>D308</f>
        <v>3368000000000</v>
      </c>
      <c r="E307" s="116" t="s">
        <v>579</v>
      </c>
    </row>
    <row r="308" spans="1:5" ht="23.1" customHeight="1" x14ac:dyDescent="0.3">
      <c r="A308" s="290">
        <v>3368000000000</v>
      </c>
      <c r="B308" s="134" t="s">
        <v>103</v>
      </c>
      <c r="C308" s="116" t="s">
        <v>103</v>
      </c>
      <c r="D308" s="140">
        <f>A308</f>
        <v>3368000000000</v>
      </c>
      <c r="E308" s="116" t="s">
        <v>579</v>
      </c>
    </row>
    <row r="309" spans="1:5" ht="23.1" customHeight="1" x14ac:dyDescent="0.3">
      <c r="A309" s="131">
        <f>A310</f>
        <v>-611194616</v>
      </c>
      <c r="B309" s="130" t="str">
        <f>C309</f>
        <v>　        (사채할인발행차금)</v>
      </c>
      <c r="C309" s="166" t="s">
        <v>206</v>
      </c>
      <c r="D309" s="165">
        <f>D310</f>
        <v>-611194616</v>
      </c>
      <c r="E309" s="116" t="s">
        <v>579</v>
      </c>
    </row>
    <row r="310" spans="1:5" ht="23.1" customHeight="1" x14ac:dyDescent="0.3">
      <c r="A310" s="290">
        <v>-611194616</v>
      </c>
      <c r="B310" s="134" t="s">
        <v>215</v>
      </c>
      <c r="C310" s="116" t="s">
        <v>215</v>
      </c>
      <c r="D310" s="140">
        <f>A310</f>
        <v>-611194616</v>
      </c>
      <c r="E310" s="116" t="s">
        <v>579</v>
      </c>
    </row>
    <row r="311" spans="1:5" ht="23.1" customHeight="1" x14ac:dyDescent="0.3">
      <c r="A311" s="131">
        <f>A312</f>
        <v>0</v>
      </c>
      <c r="B311" s="130" t="str">
        <f>C311</f>
        <v>　  2. 공채</v>
      </c>
      <c r="C311" s="166" t="s">
        <v>318</v>
      </c>
      <c r="D311" s="165">
        <f>D312</f>
        <v>0</v>
      </c>
      <c r="E311" s="116" t="s">
        <v>579</v>
      </c>
    </row>
    <row r="312" spans="1:5" ht="23.1" customHeight="1" x14ac:dyDescent="0.3">
      <c r="A312" s="140"/>
      <c r="B312" s="134" t="s">
        <v>131</v>
      </c>
      <c r="C312" s="169" t="s">
        <v>60</v>
      </c>
      <c r="D312" s="140">
        <f>A312</f>
        <v>0</v>
      </c>
      <c r="E312" s="116" t="s">
        <v>579</v>
      </c>
    </row>
    <row r="313" spans="1:5" ht="23.1" customHeight="1" x14ac:dyDescent="0.3">
      <c r="A313" s="131">
        <f>A314</f>
        <v>150000000000</v>
      </c>
      <c r="B313" s="130" t="str">
        <f>C313</f>
        <v>　  3. 장기차입금</v>
      </c>
      <c r="C313" s="166" t="s">
        <v>323</v>
      </c>
      <c r="D313" s="165">
        <f>D314</f>
        <v>150000000000</v>
      </c>
      <c r="E313" s="116" t="s">
        <v>579</v>
      </c>
    </row>
    <row r="314" spans="1:5" ht="23.1" customHeight="1" x14ac:dyDescent="0.3">
      <c r="A314" s="140">
        <v>150000000000</v>
      </c>
      <c r="B314" s="134" t="s">
        <v>137</v>
      </c>
      <c r="C314" s="169" t="s">
        <v>373</v>
      </c>
      <c r="D314" s="140">
        <f>A314</f>
        <v>150000000000</v>
      </c>
      <c r="E314" s="116" t="s">
        <v>579</v>
      </c>
    </row>
    <row r="315" spans="1:5" ht="23.1" customHeight="1" x14ac:dyDescent="0.3">
      <c r="A315" s="131">
        <f>A316+A319</f>
        <v>157070000</v>
      </c>
      <c r="B315" s="130" t="str">
        <f>C315</f>
        <v>　  4. 장기미지급금</v>
      </c>
      <c r="C315" s="166" t="s">
        <v>126</v>
      </c>
      <c r="D315" s="165">
        <f>D316+D319</f>
        <v>157070000</v>
      </c>
      <c r="E315" s="116" t="s">
        <v>579</v>
      </c>
    </row>
    <row r="316" spans="1:5" ht="23.1" customHeight="1" x14ac:dyDescent="0.3">
      <c r="A316" s="131">
        <f>A317+A318</f>
        <v>157070000</v>
      </c>
      <c r="B316" s="130" t="str">
        <f>C316</f>
        <v>　        장기미지급금</v>
      </c>
      <c r="C316" s="166" t="s">
        <v>134</v>
      </c>
      <c r="D316" s="165">
        <f>SUM(D317:D318)</f>
        <v>157070000</v>
      </c>
      <c r="E316" s="116" t="s">
        <v>579</v>
      </c>
    </row>
    <row r="317" spans="1:5" ht="23.1" customHeight="1" x14ac:dyDescent="0.3">
      <c r="A317" s="290">
        <v>157070000</v>
      </c>
      <c r="B317" s="133" t="s">
        <v>56</v>
      </c>
      <c r="C317" s="405" t="s">
        <v>375</v>
      </c>
      <c r="D317" s="167">
        <f>A317</f>
        <v>157070000</v>
      </c>
      <c r="E317" s="116" t="s">
        <v>579</v>
      </c>
    </row>
    <row r="318" spans="1:5" ht="23.1" customHeight="1" x14ac:dyDescent="0.3">
      <c r="A318" s="168">
        <v>0</v>
      </c>
      <c r="B318" s="134" t="s">
        <v>61</v>
      </c>
      <c r="C318" s="406"/>
      <c r="D318" s="167">
        <f>A318</f>
        <v>0</v>
      </c>
      <c r="E318" s="116" t="s">
        <v>579</v>
      </c>
    </row>
    <row r="319" spans="1:5" ht="23.1" customHeight="1" x14ac:dyDescent="0.3">
      <c r="A319" s="131">
        <f>A320</f>
        <v>0</v>
      </c>
      <c r="B319" s="130" t="str">
        <f>C319</f>
        <v>　        (현재가치할인차금)</v>
      </c>
      <c r="C319" s="166" t="s">
        <v>207</v>
      </c>
      <c r="D319" s="165">
        <f>D320</f>
        <v>0</v>
      </c>
      <c r="E319" s="116" t="s">
        <v>579</v>
      </c>
    </row>
    <row r="320" spans="1:5" ht="23.1" customHeight="1" x14ac:dyDescent="0.3">
      <c r="A320" s="255">
        <v>0</v>
      </c>
      <c r="B320" s="134" t="s">
        <v>62</v>
      </c>
      <c r="C320" s="116" t="s">
        <v>62</v>
      </c>
      <c r="D320" s="140">
        <f>A320</f>
        <v>0</v>
      </c>
      <c r="E320" s="116" t="s">
        <v>579</v>
      </c>
    </row>
    <row r="321" spans="1:7" ht="23.1" customHeight="1" x14ac:dyDescent="0.3">
      <c r="A321" s="131">
        <f>A322</f>
        <v>0</v>
      </c>
      <c r="B321" s="130" t="str">
        <f>C321</f>
        <v>　  5. 장기미지급비용</v>
      </c>
      <c r="C321" s="166" t="s">
        <v>130</v>
      </c>
      <c r="D321" s="165">
        <f>D322</f>
        <v>0</v>
      </c>
      <c r="E321" s="116" t="s">
        <v>579</v>
      </c>
    </row>
    <row r="322" spans="1:7" ht="23.1" customHeight="1" x14ac:dyDescent="0.3">
      <c r="A322" s="255">
        <v>0</v>
      </c>
      <c r="B322" s="134" t="s">
        <v>198</v>
      </c>
      <c r="C322" s="116" t="s">
        <v>198</v>
      </c>
      <c r="D322" s="140">
        <f>A322</f>
        <v>0</v>
      </c>
      <c r="E322" s="116" t="s">
        <v>579</v>
      </c>
    </row>
    <row r="323" spans="1:7" ht="23.1" customHeight="1" x14ac:dyDescent="0.3">
      <c r="A323" s="131">
        <f>A324+A335</f>
        <v>1313730307701</v>
      </c>
      <c r="B323" s="130" t="str">
        <f>C323</f>
        <v>　  6. 퇴직급여충당부채</v>
      </c>
      <c r="C323" s="166" t="s">
        <v>129</v>
      </c>
      <c r="D323" s="165">
        <f>D324+D335</f>
        <v>1313730307701</v>
      </c>
      <c r="E323" s="116" t="s">
        <v>579</v>
      </c>
    </row>
    <row r="324" spans="1:7" ht="23.1" customHeight="1" x14ac:dyDescent="0.3">
      <c r="A324" s="131">
        <f>SUM(A325:A334)</f>
        <v>1313993652471</v>
      </c>
      <c r="B324" s="130" t="str">
        <f>C324</f>
        <v>　        퇴직급여충당부채</v>
      </c>
      <c r="C324" s="166" t="s">
        <v>209</v>
      </c>
      <c r="D324" s="165">
        <f>SUM(D325:D334)</f>
        <v>1313993652471</v>
      </c>
      <c r="E324" s="116" t="s">
        <v>579</v>
      </c>
    </row>
    <row r="325" spans="1:7" ht="23.1" customHeight="1" x14ac:dyDescent="0.3">
      <c r="A325" s="290">
        <v>27013155870</v>
      </c>
      <c r="B325" s="133" t="s">
        <v>374</v>
      </c>
      <c r="C325" s="407" t="s">
        <v>54</v>
      </c>
      <c r="D325" s="167">
        <f t="shared" ref="D325:D334" si="17">A325</f>
        <v>27013155870</v>
      </c>
      <c r="E325" s="116" t="s">
        <v>579</v>
      </c>
    </row>
    <row r="326" spans="1:7" ht="23.1" customHeight="1" x14ac:dyDescent="0.3">
      <c r="A326" s="290">
        <v>1203362920370</v>
      </c>
      <c r="B326" s="133" t="s">
        <v>377</v>
      </c>
      <c r="C326" s="408"/>
      <c r="D326" s="167">
        <f t="shared" si="17"/>
        <v>1203362920370</v>
      </c>
      <c r="E326" s="116" t="s">
        <v>579</v>
      </c>
    </row>
    <row r="327" spans="1:7" ht="23.1" customHeight="1" x14ac:dyDescent="0.3">
      <c r="A327" s="290">
        <v>0</v>
      </c>
      <c r="B327" s="133" t="s">
        <v>376</v>
      </c>
      <c r="C327" s="408"/>
      <c r="D327" s="167">
        <f t="shared" si="17"/>
        <v>0</v>
      </c>
      <c r="E327" s="116" t="s">
        <v>579</v>
      </c>
    </row>
    <row r="328" spans="1:7" ht="23.1" customHeight="1" x14ac:dyDescent="0.3">
      <c r="A328" s="290">
        <v>34667960</v>
      </c>
      <c r="B328" s="133" t="s">
        <v>531</v>
      </c>
      <c r="C328" s="408"/>
      <c r="D328" s="167">
        <f t="shared" si="17"/>
        <v>34667960</v>
      </c>
      <c r="E328" s="116" t="s">
        <v>579</v>
      </c>
    </row>
    <row r="329" spans="1:7" ht="23.1" customHeight="1" x14ac:dyDescent="0.3">
      <c r="A329" s="290">
        <v>5651254941</v>
      </c>
      <c r="B329" s="133" t="s">
        <v>151</v>
      </c>
      <c r="C329" s="409"/>
      <c r="D329" s="167">
        <f t="shared" si="17"/>
        <v>5651254941</v>
      </c>
      <c r="E329" s="116" t="s">
        <v>579</v>
      </c>
    </row>
    <row r="330" spans="1:7" ht="23.1" customHeight="1" x14ac:dyDescent="0.3">
      <c r="A330" s="290">
        <v>16435107210</v>
      </c>
      <c r="B330" s="133" t="s">
        <v>378</v>
      </c>
      <c r="C330" s="405" t="s">
        <v>58</v>
      </c>
      <c r="D330" s="167">
        <f t="shared" si="17"/>
        <v>16435107210</v>
      </c>
      <c r="E330" s="116" t="s">
        <v>579</v>
      </c>
      <c r="G330" s="135"/>
    </row>
    <row r="331" spans="1:7" ht="23.1" customHeight="1" x14ac:dyDescent="0.3">
      <c r="A331" s="290">
        <v>60814359680</v>
      </c>
      <c r="B331" s="133" t="s">
        <v>379</v>
      </c>
      <c r="C331" s="410"/>
      <c r="D331" s="167">
        <f t="shared" si="17"/>
        <v>60814359680</v>
      </c>
      <c r="E331" s="116" t="s">
        <v>579</v>
      </c>
    </row>
    <row r="332" spans="1:7" ht="23.1" customHeight="1" x14ac:dyDescent="0.3">
      <c r="A332" s="290">
        <v>603738730</v>
      </c>
      <c r="B332" s="133" t="s">
        <v>380</v>
      </c>
      <c r="C332" s="410"/>
      <c r="D332" s="167">
        <f t="shared" si="17"/>
        <v>603738730</v>
      </c>
      <c r="E332" s="116" t="s">
        <v>579</v>
      </c>
    </row>
    <row r="333" spans="1:7" ht="23.1" customHeight="1" x14ac:dyDescent="0.3">
      <c r="A333" s="290">
        <v>78447710</v>
      </c>
      <c r="B333" s="133" t="s">
        <v>532</v>
      </c>
      <c r="C333" s="410"/>
      <c r="D333" s="167">
        <f t="shared" si="17"/>
        <v>78447710</v>
      </c>
      <c r="E333" s="116" t="s">
        <v>579</v>
      </c>
    </row>
    <row r="334" spans="1:7" ht="23.1" customHeight="1" x14ac:dyDescent="0.3">
      <c r="A334" s="255" t="s">
        <v>283</v>
      </c>
      <c r="B334" s="133" t="s">
        <v>152</v>
      </c>
      <c r="C334" s="406"/>
      <c r="D334" s="167" t="str">
        <f t="shared" si="17"/>
        <v>-</v>
      </c>
      <c r="E334" s="116" t="s">
        <v>579</v>
      </c>
    </row>
    <row r="335" spans="1:7" ht="23.1" customHeight="1" x14ac:dyDescent="0.3">
      <c r="A335" s="131">
        <f>A336</f>
        <v>-263344770</v>
      </c>
      <c r="B335" s="130" t="str">
        <f>C335</f>
        <v>　        (국민연금전환금)</v>
      </c>
      <c r="C335" s="166" t="s">
        <v>199</v>
      </c>
      <c r="D335" s="165">
        <f>D336</f>
        <v>-263344770</v>
      </c>
      <c r="E335" s="116" t="s">
        <v>579</v>
      </c>
      <c r="G335" s="135"/>
    </row>
    <row r="336" spans="1:7" ht="23.1" customHeight="1" x14ac:dyDescent="0.3">
      <c r="A336" s="290">
        <v>-263344770</v>
      </c>
      <c r="B336" s="134" t="s">
        <v>210</v>
      </c>
      <c r="C336" s="116" t="s">
        <v>210</v>
      </c>
      <c r="D336" s="140">
        <f>A336</f>
        <v>-263344770</v>
      </c>
      <c r="E336" s="116" t="s">
        <v>579</v>
      </c>
    </row>
    <row r="337" spans="1:8" ht="23.1" customHeight="1" x14ac:dyDescent="0.3">
      <c r="A337" s="131">
        <f>A338</f>
        <v>12097703986</v>
      </c>
      <c r="B337" s="130" t="str">
        <f>C337</f>
        <v>　  7. 장기선수수익</v>
      </c>
      <c r="C337" s="166" t="s">
        <v>138</v>
      </c>
      <c r="D337" s="165">
        <f>D338</f>
        <v>12097703986</v>
      </c>
      <c r="E337" s="116" t="s">
        <v>579</v>
      </c>
    </row>
    <row r="338" spans="1:8" ht="23.1" customHeight="1" x14ac:dyDescent="0.3">
      <c r="A338" s="299">
        <v>12097703986</v>
      </c>
      <c r="B338" s="134" t="s">
        <v>201</v>
      </c>
      <c r="C338" s="116" t="s">
        <v>201</v>
      </c>
      <c r="D338" s="140">
        <f>A338</f>
        <v>12097703986</v>
      </c>
      <c r="E338" s="116" t="s">
        <v>579</v>
      </c>
      <c r="G338" s="135"/>
    </row>
    <row r="339" spans="1:8" ht="23.1" customHeight="1" x14ac:dyDescent="0.3">
      <c r="A339" s="131">
        <f>A340</f>
        <v>59636557644</v>
      </c>
      <c r="B339" s="130" t="str">
        <f>C339</f>
        <v>　  8. 기타비유동부채</v>
      </c>
      <c r="C339" s="166" t="s">
        <v>128</v>
      </c>
      <c r="D339" s="165">
        <f>D340</f>
        <v>59636557644</v>
      </c>
      <c r="E339" s="116" t="s">
        <v>579</v>
      </c>
      <c r="F339" s="119"/>
    </row>
    <row r="340" spans="1:8" ht="23.1" customHeight="1" x14ac:dyDescent="0.3">
      <c r="A340" s="290">
        <v>59636557644</v>
      </c>
      <c r="B340" s="134" t="s">
        <v>55</v>
      </c>
      <c r="C340" s="116" t="s">
        <v>55</v>
      </c>
      <c r="D340" s="140">
        <f>A340</f>
        <v>59636557644</v>
      </c>
      <c r="E340" s="116" t="s">
        <v>579</v>
      </c>
      <c r="F340" s="255"/>
    </row>
    <row r="341" spans="1:8" ht="23.1" customHeight="1" x14ac:dyDescent="0.3">
      <c r="A341" s="131">
        <f>A342</f>
        <v>962276257292</v>
      </c>
      <c r="B341" s="130" t="str">
        <f>C341</f>
        <v>　  9. 이연법인세부채</v>
      </c>
      <c r="C341" s="166" t="s">
        <v>135</v>
      </c>
      <c r="D341" s="165">
        <f>D342</f>
        <v>962276257292</v>
      </c>
      <c r="E341" s="116" t="s">
        <v>579</v>
      </c>
    </row>
    <row r="342" spans="1:8" ht="23.1" customHeight="1" x14ac:dyDescent="0.3">
      <c r="A342" s="307">
        <v>962276257292</v>
      </c>
      <c r="B342" s="134" t="s">
        <v>233</v>
      </c>
      <c r="C342" s="116" t="s">
        <v>233</v>
      </c>
      <c r="D342" s="140">
        <f>A342</f>
        <v>962276257292</v>
      </c>
      <c r="E342" s="116" t="s">
        <v>579</v>
      </c>
      <c r="F342" s="164"/>
      <c r="G342" s="163" t="s">
        <v>505</v>
      </c>
      <c r="H342" s="157" t="s">
        <v>506</v>
      </c>
    </row>
    <row r="343" spans="1:8" ht="23.1" customHeight="1" thickBot="1" x14ac:dyDescent="0.35">
      <c r="A343" s="162"/>
      <c r="B343" s="161"/>
      <c r="C343" s="160" t="s">
        <v>468</v>
      </c>
      <c r="D343" s="159">
        <f>D261+D305</f>
        <v>6832164397958</v>
      </c>
      <c r="E343" s="116" t="s">
        <v>579</v>
      </c>
      <c r="F343" s="116" t="s">
        <v>507</v>
      </c>
      <c r="G343" s="158">
        <f>H343</f>
        <v>2146143481967</v>
      </c>
      <c r="H343" s="157">
        <v>2146143481967</v>
      </c>
    </row>
    <row r="344" spans="1:8" ht="23.1" customHeight="1" thickBot="1" x14ac:dyDescent="0.35">
      <c r="A344" s="156"/>
      <c r="B344" s="155"/>
      <c r="C344" s="154" t="s">
        <v>256</v>
      </c>
      <c r="D344" s="153"/>
      <c r="E344" s="116" t="s">
        <v>580</v>
      </c>
      <c r="F344" s="116" t="s">
        <v>508</v>
      </c>
      <c r="G344" s="147">
        <f>H344</f>
        <v>685180372871</v>
      </c>
      <c r="H344" s="147">
        <v>685180372871</v>
      </c>
    </row>
    <row r="345" spans="1:8" ht="23.1" customHeight="1" x14ac:dyDescent="0.3">
      <c r="A345" s="152">
        <f>A346+A348</f>
        <v>23829918901094</v>
      </c>
      <c r="B345" s="151" t="str">
        <f>C345</f>
        <v>　Ⅰ. 자본금</v>
      </c>
      <c r="C345" s="150" t="s">
        <v>444</v>
      </c>
      <c r="D345" s="149">
        <f>D346+D348</f>
        <v>23829918901094</v>
      </c>
      <c r="E345" s="116" t="s">
        <v>580</v>
      </c>
      <c r="F345" s="116" t="s">
        <v>509</v>
      </c>
      <c r="G345" s="148">
        <f>1802025127</f>
        <v>1802025127</v>
      </c>
      <c r="H345" s="147"/>
    </row>
    <row r="346" spans="1:8" ht="23.1" customHeight="1" x14ac:dyDescent="0.3">
      <c r="A346" s="131">
        <f>A347</f>
        <v>23828112234754</v>
      </c>
      <c r="B346" s="130" t="str">
        <f>C346</f>
        <v>　  1. 납입자본금</v>
      </c>
      <c r="C346" s="129" t="s">
        <v>326</v>
      </c>
      <c r="D346" s="128">
        <f>D347</f>
        <v>23828112234754</v>
      </c>
      <c r="E346" s="116" t="s">
        <v>580</v>
      </c>
      <c r="F346" s="116" t="s">
        <v>511</v>
      </c>
      <c r="G346" s="148">
        <v>575316729</v>
      </c>
      <c r="H346" s="147"/>
    </row>
    <row r="347" spans="1:8" s="135" customFormat="1" ht="23.1" customHeight="1" x14ac:dyDescent="0.3">
      <c r="A347" s="290">
        <v>23828112234754</v>
      </c>
      <c r="B347" s="134" t="s">
        <v>136</v>
      </c>
      <c r="C347" s="133" t="s">
        <v>136</v>
      </c>
      <c r="D347" s="139">
        <f>A347</f>
        <v>23828112234754</v>
      </c>
      <c r="E347" s="116" t="s">
        <v>580</v>
      </c>
      <c r="F347" s="135" t="s">
        <v>512</v>
      </c>
      <c r="G347" s="146">
        <f>G343-G345</f>
        <v>2144341456840</v>
      </c>
      <c r="H347" s="145"/>
    </row>
    <row r="348" spans="1:8" ht="23.1" customHeight="1" x14ac:dyDescent="0.3">
      <c r="A348" s="131">
        <f>A349</f>
        <v>1806666340</v>
      </c>
      <c r="B348" s="130" t="str">
        <f>C348</f>
        <v>　  2. 출자준비금</v>
      </c>
      <c r="C348" s="129" t="s">
        <v>325</v>
      </c>
      <c r="D348" s="128">
        <f>D349</f>
        <v>1806666340</v>
      </c>
      <c r="E348" s="116" t="s">
        <v>580</v>
      </c>
      <c r="F348" s="135" t="s">
        <v>510</v>
      </c>
      <c r="G348" s="146">
        <f>G344-G346</f>
        <v>684605056142</v>
      </c>
      <c r="H348" s="145"/>
    </row>
    <row r="349" spans="1:8" ht="23.1" customHeight="1" x14ac:dyDescent="0.3">
      <c r="A349" s="270">
        <v>1806666340</v>
      </c>
      <c r="B349" s="134" t="s">
        <v>125</v>
      </c>
      <c r="C349" s="133" t="s">
        <v>125</v>
      </c>
      <c r="D349" s="139">
        <f>A349</f>
        <v>1806666340</v>
      </c>
      <c r="E349" s="116" t="s">
        <v>580</v>
      </c>
    </row>
    <row r="350" spans="1:8" ht="23.1" customHeight="1" x14ac:dyDescent="0.3">
      <c r="A350" s="144">
        <f>A353+A351+A355</f>
        <v>3203545469685</v>
      </c>
      <c r="B350" s="130" t="str">
        <f>C350</f>
        <v>　II. 기타포괄손익누계액</v>
      </c>
      <c r="C350" s="143" t="s">
        <v>133</v>
      </c>
      <c r="D350" s="136">
        <f>D353+D351+D355</f>
        <v>3203545469685</v>
      </c>
      <c r="E350" s="116" t="s">
        <v>580</v>
      </c>
      <c r="F350" s="116" t="s">
        <v>516</v>
      </c>
      <c r="G350" s="117">
        <v>2377341856</v>
      </c>
    </row>
    <row r="351" spans="1:8" ht="23.1" customHeight="1" x14ac:dyDescent="0.3">
      <c r="A351" s="138">
        <f>A352</f>
        <v>122713500</v>
      </c>
      <c r="B351" s="130" t="s">
        <v>170</v>
      </c>
      <c r="C351" s="142" t="str">
        <f>B351</f>
        <v>　  1. 매도가능증권평가차손익</v>
      </c>
      <c r="D351" s="136">
        <f>D352</f>
        <v>122713500</v>
      </c>
      <c r="E351" s="116" t="s">
        <v>580</v>
      </c>
      <c r="G351" s="116" t="b">
        <f>SUM(G345:G346)=G350</f>
        <v>1</v>
      </c>
    </row>
    <row r="352" spans="1:8" s="135" customFormat="1" ht="23.1" customHeight="1" x14ac:dyDescent="0.3">
      <c r="A352" s="299">
        <v>122713500</v>
      </c>
      <c r="B352" s="134" t="s">
        <v>65</v>
      </c>
      <c r="C352" s="134" t="str">
        <f>B352</f>
        <v>　         매도가능증권평가차손익</v>
      </c>
      <c r="D352" s="139">
        <f>A352</f>
        <v>122713500</v>
      </c>
      <c r="E352" s="116" t="s">
        <v>580</v>
      </c>
      <c r="G352" s="116"/>
      <c r="H352" s="117"/>
    </row>
    <row r="353" spans="1:10" ht="23.1" customHeight="1" x14ac:dyDescent="0.3">
      <c r="A353" s="131">
        <f>A354</f>
        <v>3203421826251</v>
      </c>
      <c r="B353" s="130" t="str">
        <f>C353</f>
        <v>　  2. 재평가잉여금</v>
      </c>
      <c r="C353" s="129" t="s">
        <v>139</v>
      </c>
      <c r="D353" s="128">
        <f>D354</f>
        <v>3203421826251</v>
      </c>
      <c r="E353" s="116" t="s">
        <v>580</v>
      </c>
    </row>
    <row r="354" spans="1:10" s="135" customFormat="1" ht="22.5" customHeight="1" x14ac:dyDescent="0.3">
      <c r="A354" s="290">
        <v>3203421826251</v>
      </c>
      <c r="B354" s="134" t="s">
        <v>234</v>
      </c>
      <c r="C354" s="134" t="s">
        <v>234</v>
      </c>
      <c r="D354" s="139">
        <f>A354</f>
        <v>3203421826251</v>
      </c>
      <c r="E354" s="116" t="s">
        <v>580</v>
      </c>
      <c r="F354" s="135" t="s">
        <v>520</v>
      </c>
      <c r="G354" s="117">
        <v>10001029745</v>
      </c>
      <c r="H354" s="117"/>
    </row>
    <row r="355" spans="1:10" s="135" customFormat="1" ht="23.1" customHeight="1" x14ac:dyDescent="0.3">
      <c r="A355" s="131">
        <f>A356</f>
        <v>929934</v>
      </c>
      <c r="B355" s="130" t="str">
        <f>C355</f>
        <v>　  3. 지분법자본변동</v>
      </c>
      <c r="C355" s="129" t="s">
        <v>514</v>
      </c>
      <c r="D355" s="128">
        <f>D356</f>
        <v>929934</v>
      </c>
      <c r="E355" s="116" t="s">
        <v>580</v>
      </c>
      <c r="F355" s="135" t="s">
        <v>520</v>
      </c>
      <c r="G355" s="117">
        <f>G354</f>
        <v>10001029745</v>
      </c>
      <c r="H355" s="117"/>
    </row>
    <row r="356" spans="1:10" s="135" customFormat="1" ht="23.1" customHeight="1" x14ac:dyDescent="0.3">
      <c r="A356" s="299">
        <v>929934</v>
      </c>
      <c r="B356" s="134" t="s">
        <v>513</v>
      </c>
      <c r="C356" s="134" t="s">
        <v>513</v>
      </c>
      <c r="D356" s="139">
        <f>A356</f>
        <v>929934</v>
      </c>
      <c r="E356" s="116" t="s">
        <v>580</v>
      </c>
      <c r="G356" s="116"/>
      <c r="H356" s="117"/>
    </row>
    <row r="357" spans="1:10" ht="23.1" customHeight="1" x14ac:dyDescent="0.3">
      <c r="A357" s="138" t="e">
        <f>A358</f>
        <v>#REF!</v>
      </c>
      <c r="B357" s="130" t="str">
        <f>C357</f>
        <v>　III. 이익잉여금</v>
      </c>
      <c r="C357" s="137" t="s">
        <v>324</v>
      </c>
      <c r="D357" s="136" t="e">
        <f>D358</f>
        <v>#REF!</v>
      </c>
      <c r="E357" s="116" t="s">
        <v>580</v>
      </c>
    </row>
    <row r="358" spans="1:10" ht="23.1" customHeight="1" x14ac:dyDescent="0.3">
      <c r="A358" s="131" t="e">
        <f>A359+A365+A363+A362</f>
        <v>#REF!</v>
      </c>
      <c r="B358" s="130" t="str">
        <f>C358</f>
        <v>　  1. 미처분이익잉여금</v>
      </c>
      <c r="C358" s="129" t="s">
        <v>132</v>
      </c>
      <c r="D358" s="128" t="e">
        <f>D359+D365+D363+D361</f>
        <v>#REF!</v>
      </c>
      <c r="E358" s="116" t="s">
        <v>580</v>
      </c>
    </row>
    <row r="359" spans="1:10" s="135" customFormat="1" ht="23.1" customHeight="1" x14ac:dyDescent="0.3">
      <c r="A359" s="131">
        <f>SUM(A360:A360)</f>
        <v>-17674838927141</v>
      </c>
      <c r="B359" s="130" t="str">
        <f>C359</f>
        <v>　        전기이월결손금</v>
      </c>
      <c r="C359" s="129" t="s">
        <v>235</v>
      </c>
      <c r="D359" s="128">
        <f>SUM(D360:D360)</f>
        <v>-17674838927141</v>
      </c>
      <c r="E359" s="116" t="s">
        <v>580</v>
      </c>
      <c r="G359" s="116"/>
      <c r="H359" s="117"/>
    </row>
    <row r="360" spans="1:10" ht="22.5" customHeight="1" x14ac:dyDescent="0.3">
      <c r="A360" s="292">
        <v>-17674838927141</v>
      </c>
      <c r="B360" s="134" t="s">
        <v>230</v>
      </c>
      <c r="C360" s="133" t="s">
        <v>230</v>
      </c>
      <c r="D360" s="132">
        <f>A360</f>
        <v>-17674838927141</v>
      </c>
      <c r="E360" s="116" t="s">
        <v>580</v>
      </c>
    </row>
    <row r="361" spans="1:10" ht="23.1" customHeight="1" x14ac:dyDescent="0.3">
      <c r="A361" s="131">
        <f>SUM(A362:A362)</f>
        <v>337110</v>
      </c>
      <c r="B361" s="130" t="s">
        <v>563</v>
      </c>
      <c r="C361" s="129" t="s">
        <v>560</v>
      </c>
      <c r="D361" s="128">
        <f>SUM(D362:D362)</f>
        <v>337110</v>
      </c>
      <c r="E361" s="116" t="s">
        <v>580</v>
      </c>
    </row>
    <row r="362" spans="1:10" ht="23.1" customHeight="1" x14ac:dyDescent="0.3">
      <c r="A362" s="292">
        <v>337110</v>
      </c>
      <c r="B362" s="134" t="s">
        <v>564</v>
      </c>
      <c r="C362" s="134" t="s">
        <v>564</v>
      </c>
      <c r="D362" s="132">
        <f>A362</f>
        <v>337110</v>
      </c>
      <c r="E362" s="116" t="s">
        <v>580</v>
      </c>
    </row>
    <row r="363" spans="1:10" ht="23.1" customHeight="1" x14ac:dyDescent="0.3">
      <c r="A363" s="131">
        <f>SUM(A364:A364)</f>
        <v>-5927683908</v>
      </c>
      <c r="B363" s="130" t="str">
        <f>C363</f>
        <v>　        전기오류수정손실</v>
      </c>
      <c r="C363" s="129" t="s">
        <v>560</v>
      </c>
      <c r="D363" s="128">
        <f>SUM(D364:D364)</f>
        <v>-5927683908</v>
      </c>
      <c r="E363" s="116" t="s">
        <v>580</v>
      </c>
    </row>
    <row r="364" spans="1:10" ht="23.1" customHeight="1" x14ac:dyDescent="0.3">
      <c r="A364" s="292">
        <v>-5927683908</v>
      </c>
      <c r="B364" s="134" t="s">
        <v>230</v>
      </c>
      <c r="C364" s="133" t="s">
        <v>230</v>
      </c>
      <c r="D364" s="132">
        <f>A364</f>
        <v>-5927683908</v>
      </c>
      <c r="E364" s="116" t="s">
        <v>580</v>
      </c>
      <c r="G364" s="255">
        <v>738025151157</v>
      </c>
    </row>
    <row r="365" spans="1:10" ht="23.1" customHeight="1" x14ac:dyDescent="0.3">
      <c r="A365" s="131" t="e">
        <f>A366</f>
        <v>#REF!</v>
      </c>
      <c r="B365" s="130" t="str">
        <f>C365</f>
        <v>　        당기순이익(손실)</v>
      </c>
      <c r="C365" s="129" t="s">
        <v>232</v>
      </c>
      <c r="D365" s="128" t="e">
        <f>D366</f>
        <v>#REF!</v>
      </c>
      <c r="E365" s="116" t="s">
        <v>580</v>
      </c>
      <c r="G365" s="255">
        <v>135066110295</v>
      </c>
      <c r="H365" s="117">
        <f>G364+G365</f>
        <v>873091261452</v>
      </c>
    </row>
    <row r="366" spans="1:10" ht="23.1" customHeight="1" thickBot="1" x14ac:dyDescent="0.35">
      <c r="A366" s="127" t="e">
        <f>#REF!</f>
        <v>#REF!</v>
      </c>
      <c r="B366" s="126" t="s">
        <v>231</v>
      </c>
      <c r="C366" s="126" t="s">
        <v>231</v>
      </c>
      <c r="D366" s="125" t="e">
        <f>A366</f>
        <v>#REF!</v>
      </c>
      <c r="E366" s="116" t="s">
        <v>580</v>
      </c>
      <c r="J366" s="116" t="s">
        <v>265</v>
      </c>
    </row>
    <row r="367" spans="1:10" ht="23.1" customHeight="1" thickBot="1" x14ac:dyDescent="0.35">
      <c r="A367" s="124"/>
      <c r="B367" s="123"/>
      <c r="C367" s="122" t="s">
        <v>461</v>
      </c>
      <c r="D367" s="121" t="e">
        <f>D345+D350+D357</f>
        <v>#REF!</v>
      </c>
      <c r="E367" s="116" t="s">
        <v>580</v>
      </c>
      <c r="G367" s="255">
        <v>1017620623144</v>
      </c>
    </row>
    <row r="368" spans="1:10" ht="23.1" customHeight="1" x14ac:dyDescent="0.3">
      <c r="A368" s="117"/>
      <c r="D368" s="120" t="e">
        <f>D259=D343+D367</f>
        <v>#REF!</v>
      </c>
      <c r="G368" s="255">
        <v>40635488877</v>
      </c>
      <c r="H368" s="117">
        <f>G367+G368+G369</f>
        <v>1102656331221</v>
      </c>
    </row>
    <row r="369" spans="1:8" ht="23.1" customHeight="1" x14ac:dyDescent="0.3">
      <c r="A369" s="255"/>
      <c r="C369" s="119"/>
      <c r="D369" s="119" t="e">
        <f>D259-D343-D367</f>
        <v>#REF!</v>
      </c>
      <c r="G369" s="255">
        <v>44400219200</v>
      </c>
      <c r="H369" s="117">
        <f>H365-H368</f>
        <v>-229565069769</v>
      </c>
    </row>
    <row r="370" spans="1:8" ht="23.1" customHeight="1" x14ac:dyDescent="0.3"/>
    <row r="371" spans="1:8" x14ac:dyDescent="0.3">
      <c r="D371" s="118" t="e">
        <f>D343/(D367-D353)</f>
        <v>#REF!</v>
      </c>
    </row>
  </sheetData>
  <autoFilter ref="A2:E369"/>
  <mergeCells count="9">
    <mergeCell ref="C317:C318"/>
    <mergeCell ref="C325:C329"/>
    <mergeCell ref="C330:C334"/>
    <mergeCell ref="A1:D1"/>
    <mergeCell ref="C246:C249"/>
    <mergeCell ref="C256:C258"/>
    <mergeCell ref="C270:C272"/>
    <mergeCell ref="C292:C294"/>
    <mergeCell ref="C298:C300"/>
  </mergeCells>
  <phoneticPr fontId="109" type="noConversion"/>
  <pageMargins left="0.69999998807907104" right="0.69999998807907104" top="0.75" bottom="0.75" header="0.30000001192092896" footer="0.30000001192092896"/>
  <pageSetup paperSize="9" scale="10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A1:S199"/>
  <sheetViews>
    <sheetView tabSelected="1" view="pageBreakPreview" zoomScale="55" zoomScaleNormal="100" zoomScaleSheetLayoutView="55" workbookViewId="0">
      <selection sqref="A1:I1"/>
    </sheetView>
  </sheetViews>
  <sheetFormatPr defaultColWidth="9" defaultRowHeight="20.25" x14ac:dyDescent="0.3"/>
  <cols>
    <col min="1" max="1" width="3.625" style="209" bestFit="1" customWidth="1"/>
    <col min="2" max="2" width="5" style="209" customWidth="1"/>
    <col min="3" max="3" width="3.5" style="210" bestFit="1" customWidth="1"/>
    <col min="4" max="4" width="33.75" style="209" customWidth="1"/>
    <col min="5" max="5" width="7.625" style="116" customWidth="1"/>
    <col min="6" max="9" width="30.625" style="116" customWidth="1"/>
    <col min="10" max="10" width="9" style="116" customWidth="1"/>
    <col min="11" max="11" width="40.5" style="116" customWidth="1"/>
    <col min="12" max="12" width="21.5" style="116" hidden="1" customWidth="1"/>
    <col min="13" max="13" width="16.875" style="116" hidden="1" customWidth="1"/>
    <col min="14" max="14" width="9" style="116" hidden="1" customWidth="1"/>
    <col min="15" max="15" width="16.875" style="116" hidden="1" customWidth="1"/>
    <col min="16" max="16" width="9" style="116" hidden="1" customWidth="1"/>
    <col min="17" max="17" width="15.375" style="116" hidden="1" customWidth="1"/>
    <col min="18" max="18" width="9" style="116"/>
    <col min="19" max="19" width="18.375" style="116" bestFit="1" customWidth="1"/>
    <col min="20" max="16384" width="9" style="116"/>
  </cols>
  <sheetData>
    <row r="1" spans="1:17" s="230" customFormat="1" ht="56.25" customHeight="1" x14ac:dyDescent="0.3">
      <c r="A1" s="428" t="s">
        <v>527</v>
      </c>
      <c r="B1" s="428"/>
      <c r="C1" s="428"/>
      <c r="D1" s="428"/>
      <c r="E1" s="428"/>
      <c r="F1" s="428"/>
      <c r="G1" s="428"/>
      <c r="H1" s="428"/>
      <c r="I1" s="428"/>
    </row>
    <row r="2" spans="1:17" ht="30" customHeight="1" x14ac:dyDescent="0.3">
      <c r="A2" s="429" t="s">
        <v>671</v>
      </c>
      <c r="B2" s="429"/>
      <c r="C2" s="429"/>
      <c r="D2" s="429"/>
      <c r="E2" s="429"/>
      <c r="F2" s="429"/>
      <c r="G2" s="429"/>
      <c r="H2" s="429"/>
      <c r="I2" s="429"/>
    </row>
    <row r="3" spans="1:17" ht="30" customHeight="1" x14ac:dyDescent="0.3">
      <c r="A3" s="429" t="s">
        <v>672</v>
      </c>
      <c r="B3" s="429"/>
      <c r="C3" s="429"/>
      <c r="D3" s="429"/>
      <c r="E3" s="429"/>
      <c r="F3" s="429"/>
      <c r="G3" s="429"/>
      <c r="H3" s="429"/>
      <c r="I3" s="429"/>
    </row>
    <row r="4" spans="1:17" ht="30" customHeight="1" x14ac:dyDescent="0.3">
      <c r="A4" s="345"/>
      <c r="B4" s="345"/>
      <c r="C4" s="345"/>
      <c r="D4" s="345"/>
      <c r="E4" s="345"/>
      <c r="F4" s="345"/>
      <c r="G4" s="345"/>
      <c r="H4" s="345"/>
      <c r="I4" s="345"/>
    </row>
    <row r="5" spans="1:17" ht="30" customHeight="1" thickBot="1" x14ac:dyDescent="0.2">
      <c r="A5" s="433" t="s">
        <v>436</v>
      </c>
      <c r="B5" s="433"/>
      <c r="C5" s="433"/>
      <c r="D5" s="433"/>
      <c r="E5" s="55"/>
      <c r="F5" s="54"/>
      <c r="H5" s="22"/>
      <c r="I5" s="229" t="s">
        <v>295</v>
      </c>
    </row>
    <row r="6" spans="1:17" ht="51" customHeight="1" x14ac:dyDescent="0.3">
      <c r="A6" s="53" t="s">
        <v>268</v>
      </c>
      <c r="B6" s="432" t="s">
        <v>297</v>
      </c>
      <c r="C6" s="432"/>
      <c r="D6" s="432"/>
      <c r="E6" s="343"/>
      <c r="F6" s="430" t="s">
        <v>619</v>
      </c>
      <c r="G6" s="431"/>
      <c r="H6" s="430" t="s">
        <v>562</v>
      </c>
      <c r="I6" s="431"/>
    </row>
    <row r="7" spans="1:17" ht="30" customHeight="1" x14ac:dyDescent="0.3">
      <c r="A7" s="417" t="s">
        <v>158</v>
      </c>
      <c r="B7" s="418"/>
      <c r="C7" s="418"/>
      <c r="D7" s="418"/>
      <c r="E7" s="310"/>
      <c r="F7" s="49"/>
      <c r="G7" s="44"/>
      <c r="H7" s="49"/>
      <c r="I7" s="44"/>
    </row>
    <row r="8" spans="1:17" ht="30" customHeight="1" x14ac:dyDescent="0.3">
      <c r="A8" s="43" t="s">
        <v>262</v>
      </c>
      <c r="B8" s="427" t="s">
        <v>480</v>
      </c>
      <c r="C8" s="427"/>
      <c r="D8" s="427"/>
      <c r="E8" s="311"/>
      <c r="F8" s="45"/>
      <c r="G8" s="44">
        <v>634283639310</v>
      </c>
      <c r="H8" s="45"/>
      <c r="I8" s="44">
        <v>572239512108</v>
      </c>
      <c r="L8" s="214">
        <v>0</v>
      </c>
      <c r="M8" s="221">
        <v>6342836393.1000004</v>
      </c>
      <c r="N8" s="221"/>
      <c r="O8" s="221">
        <v>5722395121.0799999</v>
      </c>
      <c r="P8" s="221"/>
      <c r="Q8" s="221">
        <v>620441272.02000046</v>
      </c>
    </row>
    <row r="9" spans="1:17" ht="30" customHeight="1" x14ac:dyDescent="0.3">
      <c r="A9" s="422" t="s">
        <v>267</v>
      </c>
      <c r="B9" s="423"/>
      <c r="C9" s="419" t="s">
        <v>488</v>
      </c>
      <c r="D9" s="419"/>
      <c r="E9" s="312"/>
      <c r="F9" s="45"/>
      <c r="G9" s="44">
        <v>550079047284</v>
      </c>
      <c r="H9" s="45"/>
      <c r="I9" s="44">
        <v>499873073490</v>
      </c>
      <c r="L9" s="214">
        <v>0</v>
      </c>
      <c r="M9" s="214">
        <v>5500790472.8400002</v>
      </c>
      <c r="N9" s="214">
        <v>0</v>
      </c>
      <c r="O9" s="214">
        <v>4998730734.8999996</v>
      </c>
      <c r="P9" s="214">
        <v>0</v>
      </c>
      <c r="Q9" s="214">
        <v>502059737.94000053</v>
      </c>
    </row>
    <row r="10" spans="1:17" ht="30" customHeight="1" x14ac:dyDescent="0.3">
      <c r="A10" s="43"/>
      <c r="B10" s="313"/>
      <c r="C10" s="314"/>
      <c r="D10" s="339" t="s">
        <v>340</v>
      </c>
      <c r="E10" s="312"/>
      <c r="F10" s="223">
        <v>551033407060</v>
      </c>
      <c r="G10" s="46"/>
      <c r="H10" s="228">
        <v>500860394657</v>
      </c>
      <c r="I10" s="52"/>
      <c r="L10" s="214">
        <v>5510334070.6000004</v>
      </c>
      <c r="M10" s="214">
        <v>0</v>
      </c>
      <c r="N10" s="214">
        <v>5008603946.5699997</v>
      </c>
      <c r="O10" s="214">
        <v>0</v>
      </c>
      <c r="P10" s="214">
        <v>501730124.03000069</v>
      </c>
      <c r="Q10" s="214">
        <v>0</v>
      </c>
    </row>
    <row r="11" spans="1:17" ht="30" customHeight="1" x14ac:dyDescent="0.3">
      <c r="A11" s="43"/>
      <c r="B11" s="313"/>
      <c r="C11" s="314"/>
      <c r="D11" s="339" t="s">
        <v>475</v>
      </c>
      <c r="E11" s="312"/>
      <c r="F11" s="39">
        <v>-92047422948</v>
      </c>
      <c r="G11" s="46"/>
      <c r="H11" s="39">
        <v>-80288805912</v>
      </c>
      <c r="I11" s="46"/>
      <c r="L11" s="214">
        <v>-920474229.48000002</v>
      </c>
      <c r="M11" s="214">
        <v>0</v>
      </c>
      <c r="N11" s="214">
        <v>-802888059.12</v>
      </c>
      <c r="O11" s="214">
        <v>0</v>
      </c>
      <c r="P11" s="214">
        <v>-117586170.36000001</v>
      </c>
      <c r="Q11" s="214">
        <v>0</v>
      </c>
    </row>
    <row r="12" spans="1:17" ht="30" customHeight="1" x14ac:dyDescent="0.3">
      <c r="A12" s="43"/>
      <c r="B12" s="313"/>
      <c r="C12" s="314"/>
      <c r="D12" s="339" t="s">
        <v>503</v>
      </c>
      <c r="E12" s="312"/>
      <c r="F12" s="39">
        <v>-831504818</v>
      </c>
      <c r="G12" s="46"/>
      <c r="H12" s="39">
        <v>-158141337</v>
      </c>
      <c r="I12" s="46"/>
      <c r="L12" s="214">
        <v>-8315048.1799999997</v>
      </c>
      <c r="M12" s="214">
        <v>0</v>
      </c>
      <c r="N12" s="214">
        <v>-1581413.37</v>
      </c>
      <c r="O12" s="214">
        <v>0</v>
      </c>
      <c r="P12" s="214">
        <v>-6733634.8099999996</v>
      </c>
      <c r="Q12" s="214">
        <v>0</v>
      </c>
    </row>
    <row r="13" spans="1:17" s="271" customFormat="1" ht="30" customHeight="1" x14ac:dyDescent="0.3">
      <c r="A13" s="93"/>
      <c r="B13" s="315"/>
      <c r="C13" s="316"/>
      <c r="D13" s="342" t="s">
        <v>339</v>
      </c>
      <c r="E13" s="317"/>
      <c r="F13" s="273">
        <v>-6908541250</v>
      </c>
      <c r="G13" s="274"/>
      <c r="H13" s="273">
        <v>-5370879260</v>
      </c>
      <c r="I13" s="274"/>
      <c r="L13" s="272">
        <v>-69085412.5</v>
      </c>
      <c r="M13" s="272">
        <v>0</v>
      </c>
      <c r="N13" s="272">
        <v>-53708792.600000001</v>
      </c>
      <c r="O13" s="272">
        <v>0</v>
      </c>
      <c r="P13" s="272">
        <v>-15376619.899999999</v>
      </c>
      <c r="Q13" s="272">
        <v>0</v>
      </c>
    </row>
    <row r="14" spans="1:17" ht="30" hidden="1" customHeight="1" x14ac:dyDescent="0.3">
      <c r="A14" s="43"/>
      <c r="B14" s="313"/>
      <c r="C14" s="314"/>
      <c r="D14" s="344" t="s">
        <v>470</v>
      </c>
      <c r="E14" s="311"/>
      <c r="F14" s="115">
        <v>0</v>
      </c>
      <c r="G14" s="46"/>
      <c r="H14" s="115">
        <v>0</v>
      </c>
      <c r="I14" s="46"/>
      <c r="L14" s="214">
        <v>0</v>
      </c>
      <c r="M14" s="214">
        <v>0</v>
      </c>
      <c r="N14" s="214">
        <v>0</v>
      </c>
      <c r="O14" s="214">
        <v>0</v>
      </c>
      <c r="P14" s="214">
        <v>0</v>
      </c>
      <c r="Q14" s="214">
        <v>0</v>
      </c>
    </row>
    <row r="15" spans="1:17" ht="30" customHeight="1" x14ac:dyDescent="0.3">
      <c r="A15" s="43"/>
      <c r="B15" s="313"/>
      <c r="C15" s="314"/>
      <c r="D15" s="339" t="s">
        <v>489</v>
      </c>
      <c r="E15" s="312"/>
      <c r="F15" s="223">
        <v>1224834050</v>
      </c>
      <c r="G15" s="47"/>
      <c r="H15" s="223">
        <v>2068421970</v>
      </c>
      <c r="I15" s="47"/>
      <c r="L15" s="214">
        <v>12248340.5</v>
      </c>
      <c r="M15" s="214">
        <v>0</v>
      </c>
      <c r="N15" s="214">
        <v>20684219.699999999</v>
      </c>
      <c r="O15" s="214">
        <v>0</v>
      </c>
      <c r="P15" s="214">
        <v>-8435879.1999999993</v>
      </c>
      <c r="Q15" s="214">
        <v>0</v>
      </c>
    </row>
    <row r="16" spans="1:17" ht="30" customHeight="1" x14ac:dyDescent="0.3">
      <c r="A16" s="43"/>
      <c r="B16" s="313"/>
      <c r="C16" s="314"/>
      <c r="D16" s="339" t="s">
        <v>479</v>
      </c>
      <c r="E16" s="311"/>
      <c r="F16" s="223">
        <v>118402009024</v>
      </c>
      <c r="G16" s="44"/>
      <c r="H16" s="223">
        <v>94098274710</v>
      </c>
      <c r="I16" s="44"/>
      <c r="L16" s="214">
        <v>1184020090.24</v>
      </c>
      <c r="M16" s="214">
        <v>0</v>
      </c>
      <c r="N16" s="214">
        <v>940982747.10000002</v>
      </c>
      <c r="O16" s="214">
        <v>0</v>
      </c>
      <c r="P16" s="214">
        <v>243037343.13999999</v>
      </c>
      <c r="Q16" s="214">
        <v>0</v>
      </c>
    </row>
    <row r="17" spans="1:17" ht="30" customHeight="1" x14ac:dyDescent="0.3">
      <c r="A17" s="43"/>
      <c r="B17" s="313"/>
      <c r="C17" s="318"/>
      <c r="D17" s="339" t="s">
        <v>448</v>
      </c>
      <c r="E17" s="312"/>
      <c r="F17" s="225">
        <v>-29024573170</v>
      </c>
      <c r="G17" s="52"/>
      <c r="H17" s="225">
        <v>-27037776324</v>
      </c>
      <c r="I17" s="52"/>
      <c r="L17" s="214">
        <v>-290245731.69999999</v>
      </c>
      <c r="M17" s="214">
        <v>0</v>
      </c>
      <c r="N17" s="214">
        <v>-270377763.24000001</v>
      </c>
      <c r="O17" s="214">
        <v>0</v>
      </c>
      <c r="P17" s="214">
        <v>-19867968.459999979</v>
      </c>
      <c r="Q17" s="214">
        <v>0</v>
      </c>
    </row>
    <row r="18" spans="1:17" ht="30" customHeight="1" x14ac:dyDescent="0.3">
      <c r="A18" s="43"/>
      <c r="B18" s="313"/>
      <c r="C18" s="314"/>
      <c r="D18" s="339" t="s">
        <v>277</v>
      </c>
      <c r="E18" s="312"/>
      <c r="F18" s="223">
        <v>37217687792</v>
      </c>
      <c r="G18" s="47"/>
      <c r="H18" s="223">
        <v>42864589080</v>
      </c>
      <c r="I18" s="47"/>
      <c r="L18" s="214">
        <v>372176877.92000002</v>
      </c>
      <c r="M18" s="214">
        <v>0</v>
      </c>
      <c r="N18" s="214">
        <v>428645890.80000001</v>
      </c>
      <c r="O18" s="214">
        <v>0</v>
      </c>
      <c r="P18" s="214">
        <v>-56469012.879999995</v>
      </c>
      <c r="Q18" s="214">
        <v>0</v>
      </c>
    </row>
    <row r="19" spans="1:17" ht="30" customHeight="1" x14ac:dyDescent="0.3">
      <c r="A19" s="43"/>
      <c r="B19" s="313"/>
      <c r="C19" s="314"/>
      <c r="D19" s="339" t="s">
        <v>448</v>
      </c>
      <c r="E19" s="311"/>
      <c r="F19" s="39">
        <v>-34084890823</v>
      </c>
      <c r="G19" s="38"/>
      <c r="H19" s="39">
        <v>-33102415675</v>
      </c>
      <c r="I19" s="38"/>
      <c r="L19" s="214">
        <v>-340848908.23000002</v>
      </c>
      <c r="M19" s="214">
        <v>0</v>
      </c>
      <c r="N19" s="214">
        <v>-331024156.75</v>
      </c>
      <c r="O19" s="214">
        <v>0</v>
      </c>
      <c r="P19" s="214">
        <v>-9824751.4800000191</v>
      </c>
      <c r="Q19" s="214">
        <v>0</v>
      </c>
    </row>
    <row r="20" spans="1:17" ht="30" customHeight="1" x14ac:dyDescent="0.3">
      <c r="A20" s="43"/>
      <c r="B20" s="313"/>
      <c r="C20" s="314"/>
      <c r="D20" s="339" t="s">
        <v>481</v>
      </c>
      <c r="E20" s="311"/>
      <c r="F20" s="115">
        <v>333053762</v>
      </c>
      <c r="G20" s="51"/>
      <c r="H20" s="223">
        <v>1185196577</v>
      </c>
      <c r="I20" s="51"/>
      <c r="L20" s="214">
        <v>3330537.62</v>
      </c>
      <c r="M20" s="214">
        <v>0</v>
      </c>
      <c r="N20" s="214">
        <v>11851965.77</v>
      </c>
      <c r="O20" s="214">
        <v>0</v>
      </c>
      <c r="P20" s="214">
        <v>-8521428.1499999985</v>
      </c>
      <c r="Q20" s="214">
        <v>0</v>
      </c>
    </row>
    <row r="21" spans="1:17" ht="30" customHeight="1" x14ac:dyDescent="0.3">
      <c r="A21" s="43"/>
      <c r="B21" s="313"/>
      <c r="C21" s="314"/>
      <c r="D21" s="339" t="s">
        <v>255</v>
      </c>
      <c r="E21" s="312"/>
      <c r="F21" s="223">
        <v>379580278</v>
      </c>
      <c r="G21" s="46"/>
      <c r="H21" s="223">
        <v>1407376568</v>
      </c>
      <c r="I21" s="46"/>
      <c r="L21" s="214">
        <v>3795802.78</v>
      </c>
      <c r="M21" s="214">
        <v>0</v>
      </c>
      <c r="N21" s="214">
        <v>14073765.68</v>
      </c>
      <c r="O21" s="214">
        <v>0</v>
      </c>
      <c r="P21" s="214">
        <v>-10277962.9</v>
      </c>
      <c r="Q21" s="214">
        <v>0</v>
      </c>
    </row>
    <row r="22" spans="1:17" ht="30" customHeight="1" x14ac:dyDescent="0.3">
      <c r="A22" s="43"/>
      <c r="B22" s="313"/>
      <c r="C22" s="314"/>
      <c r="D22" s="339" t="s">
        <v>474</v>
      </c>
      <c r="E22" s="311"/>
      <c r="F22" s="223">
        <v>1338952922</v>
      </c>
      <c r="G22" s="46"/>
      <c r="H22" s="223">
        <v>1215709951</v>
      </c>
      <c r="I22" s="46"/>
      <c r="L22" s="214">
        <v>13389529.220000001</v>
      </c>
      <c r="M22" s="214">
        <v>0</v>
      </c>
      <c r="N22" s="214">
        <v>12157099.51</v>
      </c>
      <c r="O22" s="214">
        <v>0</v>
      </c>
      <c r="P22" s="214">
        <v>1232429.7100000009</v>
      </c>
      <c r="Q22" s="214">
        <v>0</v>
      </c>
    </row>
    <row r="23" spans="1:17" ht="30" customHeight="1" x14ac:dyDescent="0.3">
      <c r="A23" s="43"/>
      <c r="B23" s="313"/>
      <c r="C23" s="314"/>
      <c r="D23" s="339" t="s">
        <v>478</v>
      </c>
      <c r="E23" s="312"/>
      <c r="F23" s="223">
        <v>1936221045</v>
      </c>
      <c r="G23" s="46"/>
      <c r="H23" s="223">
        <v>998752725</v>
      </c>
      <c r="I23" s="46"/>
      <c r="L23" s="214">
        <v>19362210.449999999</v>
      </c>
      <c r="M23" s="214">
        <v>0</v>
      </c>
      <c r="N23" s="214">
        <v>9987527.25</v>
      </c>
      <c r="O23" s="214">
        <v>0</v>
      </c>
      <c r="P23" s="214">
        <v>9374683.1999999993</v>
      </c>
      <c r="Q23" s="214">
        <v>0</v>
      </c>
    </row>
    <row r="24" spans="1:17" ht="30" hidden="1" customHeight="1" x14ac:dyDescent="0.3">
      <c r="A24" s="43"/>
      <c r="B24" s="313"/>
      <c r="C24" s="314"/>
      <c r="D24" s="339" t="s">
        <v>484</v>
      </c>
      <c r="E24" s="312"/>
      <c r="F24" s="115">
        <v>0</v>
      </c>
      <c r="G24" s="46"/>
      <c r="H24" s="115">
        <v>0</v>
      </c>
      <c r="I24" s="46"/>
      <c r="L24" s="214">
        <v>0</v>
      </c>
      <c r="M24" s="214">
        <v>0</v>
      </c>
      <c r="N24" s="214">
        <v>0</v>
      </c>
      <c r="O24" s="214">
        <v>0</v>
      </c>
      <c r="P24" s="214">
        <v>0</v>
      </c>
      <c r="Q24" s="214">
        <v>0</v>
      </c>
    </row>
    <row r="25" spans="1:17" ht="30" customHeight="1" x14ac:dyDescent="0.3">
      <c r="A25" s="43"/>
      <c r="B25" s="313"/>
      <c r="C25" s="314"/>
      <c r="D25" s="339" t="s">
        <v>493</v>
      </c>
      <c r="E25" s="312"/>
      <c r="F25" s="223">
        <v>1110234360</v>
      </c>
      <c r="G25" s="46"/>
      <c r="H25" s="223">
        <v>1132375760</v>
      </c>
      <c r="I25" s="46"/>
      <c r="L25" s="214">
        <v>11102343.6</v>
      </c>
      <c r="M25" s="214">
        <v>0</v>
      </c>
      <c r="N25" s="214">
        <v>11323757.6</v>
      </c>
      <c r="O25" s="214">
        <v>0</v>
      </c>
      <c r="P25" s="214">
        <v>-221414</v>
      </c>
      <c r="Q25" s="214">
        <v>0</v>
      </c>
    </row>
    <row r="26" spans="1:17" ht="30" customHeight="1" x14ac:dyDescent="0.3">
      <c r="A26" s="422" t="s">
        <v>248</v>
      </c>
      <c r="B26" s="423"/>
      <c r="C26" s="419" t="s">
        <v>487</v>
      </c>
      <c r="D26" s="419"/>
      <c r="E26" s="312"/>
      <c r="F26" s="45"/>
      <c r="G26" s="44">
        <v>84204592026</v>
      </c>
      <c r="H26" s="45"/>
      <c r="I26" s="44">
        <v>72366438618</v>
      </c>
      <c r="L26" s="214">
        <v>0</v>
      </c>
      <c r="M26" s="214">
        <v>842045920.25999999</v>
      </c>
      <c r="N26" s="214">
        <v>0</v>
      </c>
      <c r="O26" s="214">
        <v>723664386.17999995</v>
      </c>
      <c r="P26" s="214">
        <v>0</v>
      </c>
      <c r="Q26" s="214">
        <v>118381534.08000004</v>
      </c>
    </row>
    <row r="27" spans="1:17" ht="30" customHeight="1" x14ac:dyDescent="0.3">
      <c r="A27" s="43"/>
      <c r="B27" s="313"/>
      <c r="C27" s="314"/>
      <c r="D27" s="339" t="s">
        <v>275</v>
      </c>
      <c r="E27" s="312"/>
      <c r="F27" s="223">
        <v>83379199213</v>
      </c>
      <c r="G27" s="44"/>
      <c r="H27" s="223">
        <v>71139756651</v>
      </c>
      <c r="I27" s="44"/>
      <c r="L27" s="214">
        <v>833791992.13</v>
      </c>
      <c r="M27" s="214">
        <v>0</v>
      </c>
      <c r="N27" s="214">
        <v>711397566.50999999</v>
      </c>
      <c r="O27" s="214">
        <v>0</v>
      </c>
      <c r="P27" s="214">
        <v>122394425.62</v>
      </c>
      <c r="Q27" s="214">
        <v>0</v>
      </c>
    </row>
    <row r="28" spans="1:17" ht="30" customHeight="1" x14ac:dyDescent="0.3">
      <c r="A28" s="43"/>
      <c r="B28" s="313"/>
      <c r="C28" s="314"/>
      <c r="D28" s="339" t="s">
        <v>273</v>
      </c>
      <c r="E28" s="312"/>
      <c r="F28" s="223">
        <v>825392813</v>
      </c>
      <c r="G28" s="46"/>
      <c r="H28" s="223">
        <v>1226681967</v>
      </c>
      <c r="I28" s="46"/>
      <c r="L28" s="214">
        <v>8253928.1299999999</v>
      </c>
      <c r="M28" s="214">
        <v>0</v>
      </c>
      <c r="N28" s="214">
        <v>12266819.67</v>
      </c>
      <c r="O28" s="214">
        <v>0</v>
      </c>
      <c r="P28" s="214">
        <v>-4012891.54</v>
      </c>
      <c r="Q28" s="214">
        <v>0</v>
      </c>
    </row>
    <row r="29" spans="1:17" ht="30" customHeight="1" x14ac:dyDescent="0.3">
      <c r="A29" s="43" t="s">
        <v>253</v>
      </c>
      <c r="B29" s="419" t="s">
        <v>477</v>
      </c>
      <c r="C29" s="419"/>
      <c r="D29" s="419"/>
      <c r="E29" s="311"/>
      <c r="F29" s="49"/>
      <c r="G29" s="44">
        <v>15033291613809</v>
      </c>
      <c r="H29" s="49"/>
      <c r="I29" s="44">
        <v>14850439484756</v>
      </c>
      <c r="L29" s="214">
        <v>0</v>
      </c>
      <c r="M29" s="221">
        <v>150332916138.09</v>
      </c>
      <c r="N29" s="214">
        <v>0</v>
      </c>
      <c r="O29" s="221">
        <v>148504394847.56</v>
      </c>
      <c r="P29" s="214">
        <v>0</v>
      </c>
      <c r="Q29" s="221">
        <v>1828521290.5299988</v>
      </c>
    </row>
    <row r="30" spans="1:17" ht="30" customHeight="1" x14ac:dyDescent="0.3">
      <c r="A30" s="422" t="s">
        <v>267</v>
      </c>
      <c r="B30" s="423"/>
      <c r="C30" s="419" t="s">
        <v>472</v>
      </c>
      <c r="D30" s="419"/>
      <c r="E30" s="312"/>
      <c r="F30" s="45"/>
      <c r="G30" s="44">
        <v>93430804361</v>
      </c>
      <c r="H30" s="45"/>
      <c r="I30" s="44">
        <v>81776993733</v>
      </c>
      <c r="L30" s="214">
        <v>0</v>
      </c>
      <c r="M30" s="214">
        <v>934308043.61000001</v>
      </c>
      <c r="N30" s="214">
        <v>0</v>
      </c>
      <c r="O30" s="214">
        <v>817769937.33000004</v>
      </c>
      <c r="P30" s="214">
        <v>0</v>
      </c>
      <c r="Q30" s="214">
        <v>116538106.27999997</v>
      </c>
    </row>
    <row r="31" spans="1:17" ht="30" customHeight="1" x14ac:dyDescent="0.3">
      <c r="A31" s="340"/>
      <c r="B31" s="341"/>
      <c r="C31" s="314"/>
      <c r="D31" s="339" t="s">
        <v>486</v>
      </c>
      <c r="E31" s="312"/>
      <c r="F31" s="223">
        <v>503257100</v>
      </c>
      <c r="G31" s="44"/>
      <c r="H31" s="223">
        <v>481847260</v>
      </c>
      <c r="I31" s="44"/>
      <c r="L31" s="214">
        <v>5032571</v>
      </c>
      <c r="M31" s="214">
        <v>0</v>
      </c>
      <c r="N31" s="214">
        <v>4818472.5999999996</v>
      </c>
      <c r="O31" s="214">
        <v>0</v>
      </c>
      <c r="P31" s="214">
        <v>214098.40000000037</v>
      </c>
      <c r="Q31" s="214">
        <v>0</v>
      </c>
    </row>
    <row r="32" spans="1:17" ht="30" customHeight="1" x14ac:dyDescent="0.3">
      <c r="A32" s="340"/>
      <c r="B32" s="341"/>
      <c r="C32" s="314"/>
      <c r="D32" s="339" t="s">
        <v>492</v>
      </c>
      <c r="E32" s="312"/>
      <c r="F32" s="223">
        <v>49850573827</v>
      </c>
      <c r="G32" s="44"/>
      <c r="H32" s="223">
        <v>50391106522</v>
      </c>
      <c r="I32" s="44"/>
      <c r="L32" s="214">
        <v>498505738.26999998</v>
      </c>
      <c r="M32" s="214">
        <v>0</v>
      </c>
      <c r="N32" s="214">
        <v>503911065.22000003</v>
      </c>
      <c r="O32" s="214">
        <v>0</v>
      </c>
      <c r="P32" s="214">
        <v>-5405326.9500000477</v>
      </c>
      <c r="Q32" s="214">
        <v>0</v>
      </c>
    </row>
    <row r="33" spans="1:17" ht="30" customHeight="1" x14ac:dyDescent="0.3">
      <c r="A33" s="43"/>
      <c r="B33" s="313"/>
      <c r="C33" s="314"/>
      <c r="D33" s="342" t="s">
        <v>338</v>
      </c>
      <c r="E33" s="319"/>
      <c r="F33" s="222">
        <v>43076973434</v>
      </c>
      <c r="G33" s="50"/>
      <c r="H33" s="223">
        <v>30904039951</v>
      </c>
      <c r="I33" s="50"/>
      <c r="L33" s="214">
        <v>430769734.33999997</v>
      </c>
      <c r="M33" s="214">
        <v>0</v>
      </c>
      <c r="N33" s="214">
        <v>309040399.50999999</v>
      </c>
      <c r="O33" s="214">
        <v>0</v>
      </c>
      <c r="P33" s="214">
        <v>121729334.82999998</v>
      </c>
      <c r="Q33" s="214">
        <v>0</v>
      </c>
    </row>
    <row r="34" spans="1:17" ht="30" hidden="1" customHeight="1" x14ac:dyDescent="0.3">
      <c r="A34" s="43"/>
      <c r="B34" s="313"/>
      <c r="C34" s="314" t="s">
        <v>280</v>
      </c>
      <c r="D34" s="339" t="s">
        <v>496</v>
      </c>
      <c r="E34" s="320"/>
      <c r="F34" s="223"/>
      <c r="G34" s="50"/>
      <c r="H34" s="223"/>
      <c r="I34" s="50"/>
      <c r="L34" s="214">
        <v>0</v>
      </c>
      <c r="M34" s="214">
        <v>0</v>
      </c>
      <c r="N34" s="214">
        <v>0</v>
      </c>
      <c r="O34" s="214">
        <v>0</v>
      </c>
      <c r="P34" s="214">
        <v>0</v>
      </c>
      <c r="Q34" s="214">
        <v>0</v>
      </c>
    </row>
    <row r="35" spans="1:17" ht="30" customHeight="1" x14ac:dyDescent="0.3">
      <c r="A35" s="422" t="s">
        <v>248</v>
      </c>
      <c r="B35" s="423"/>
      <c r="C35" s="419" t="s">
        <v>491</v>
      </c>
      <c r="D35" s="419"/>
      <c r="E35" s="321"/>
      <c r="F35" s="49"/>
      <c r="G35" s="226">
        <v>14808202023897</v>
      </c>
      <c r="H35" s="49"/>
      <c r="I35" s="226">
        <v>14629092892266</v>
      </c>
      <c r="L35" s="214">
        <v>0</v>
      </c>
      <c r="M35" s="214">
        <v>148082020238.97</v>
      </c>
      <c r="N35" s="214">
        <v>0</v>
      </c>
      <c r="O35" s="214">
        <v>146290928922.66</v>
      </c>
      <c r="P35" s="214">
        <v>0</v>
      </c>
      <c r="Q35" s="214">
        <v>1791091316.3099976</v>
      </c>
    </row>
    <row r="36" spans="1:17" ht="30" customHeight="1" x14ac:dyDescent="0.3">
      <c r="A36" s="340"/>
      <c r="B36" s="341"/>
      <c r="C36" s="314"/>
      <c r="D36" s="339" t="s">
        <v>274</v>
      </c>
      <c r="E36" s="320"/>
      <c r="F36" s="49">
        <v>4859347139849</v>
      </c>
      <c r="G36" s="44"/>
      <c r="H36" s="49">
        <v>4926422171944</v>
      </c>
      <c r="I36" s="44"/>
      <c r="L36" s="214">
        <v>48593471398.489998</v>
      </c>
      <c r="M36" s="214">
        <v>0</v>
      </c>
      <c r="N36" s="214">
        <v>49264221719.440002</v>
      </c>
      <c r="O36" s="214">
        <v>0</v>
      </c>
      <c r="P36" s="214">
        <v>-670750320.95000458</v>
      </c>
      <c r="Q36" s="214">
        <v>0</v>
      </c>
    </row>
    <row r="37" spans="1:17" ht="30" customHeight="1" x14ac:dyDescent="0.3">
      <c r="A37" s="43"/>
      <c r="B37" s="313"/>
      <c r="C37" s="314"/>
      <c r="D37" s="339" t="s">
        <v>272</v>
      </c>
      <c r="E37" s="321"/>
      <c r="F37" s="49">
        <v>512305191446</v>
      </c>
      <c r="G37" s="44"/>
      <c r="H37" s="49">
        <v>470628838402</v>
      </c>
      <c r="I37" s="44"/>
      <c r="L37" s="214">
        <v>5123051914.46</v>
      </c>
      <c r="M37" s="214">
        <v>0</v>
      </c>
      <c r="N37" s="214">
        <v>4706288384.0200005</v>
      </c>
      <c r="O37" s="214">
        <v>0</v>
      </c>
      <c r="P37" s="214">
        <v>416763530.43999958</v>
      </c>
      <c r="Q37" s="214">
        <v>0</v>
      </c>
    </row>
    <row r="38" spans="1:17" ht="30" customHeight="1" x14ac:dyDescent="0.3">
      <c r="A38" s="43"/>
      <c r="B38" s="313"/>
      <c r="C38" s="314"/>
      <c r="D38" s="339" t="s">
        <v>336</v>
      </c>
      <c r="E38" s="320"/>
      <c r="F38" s="39">
        <v>-336807939016</v>
      </c>
      <c r="G38" s="38"/>
      <c r="H38" s="39">
        <v>-326802493553</v>
      </c>
      <c r="I38" s="38"/>
      <c r="L38" s="214">
        <v>-3368079390.1599998</v>
      </c>
      <c r="M38" s="214">
        <v>0</v>
      </c>
      <c r="N38" s="214">
        <v>-3268024935.5300002</v>
      </c>
      <c r="O38" s="214">
        <v>0</v>
      </c>
      <c r="P38" s="214">
        <v>-100054454.62999964</v>
      </c>
      <c r="Q38" s="214">
        <v>0</v>
      </c>
    </row>
    <row r="39" spans="1:17" ht="30" customHeight="1" x14ac:dyDescent="0.3">
      <c r="A39" s="340"/>
      <c r="B39" s="341"/>
      <c r="C39" s="314"/>
      <c r="D39" s="339" t="s">
        <v>475</v>
      </c>
      <c r="E39" s="320"/>
      <c r="F39" s="39">
        <v>-836085236</v>
      </c>
      <c r="G39" s="38"/>
      <c r="H39" s="39">
        <v>-304555435</v>
      </c>
      <c r="I39" s="38"/>
      <c r="L39" s="214">
        <v>-8360852.3600000003</v>
      </c>
      <c r="M39" s="214">
        <v>0</v>
      </c>
      <c r="N39" s="214">
        <v>-3045554.35</v>
      </c>
      <c r="O39" s="214">
        <v>0</v>
      </c>
      <c r="P39" s="214">
        <v>-5315298.01</v>
      </c>
      <c r="Q39" s="214">
        <v>0</v>
      </c>
    </row>
    <row r="40" spans="1:17" ht="30" customHeight="1" x14ac:dyDescent="0.3">
      <c r="A40" s="43"/>
      <c r="B40" s="313"/>
      <c r="C40" s="314"/>
      <c r="D40" s="339" t="s">
        <v>476</v>
      </c>
      <c r="E40" s="321"/>
      <c r="F40" s="223">
        <v>103814389417</v>
      </c>
      <c r="G40" s="44"/>
      <c r="H40" s="223">
        <v>98226153201</v>
      </c>
      <c r="I40" s="44"/>
      <c r="L40" s="214">
        <v>1038143894.17</v>
      </c>
      <c r="M40" s="214">
        <v>0</v>
      </c>
      <c r="N40" s="214">
        <v>982261532.00999999</v>
      </c>
      <c r="O40" s="214">
        <v>0</v>
      </c>
      <c r="P40" s="214">
        <v>55882362.159999967</v>
      </c>
      <c r="Q40" s="214">
        <v>0</v>
      </c>
    </row>
    <row r="41" spans="1:17" ht="30" customHeight="1" x14ac:dyDescent="0.3">
      <c r="A41" s="43"/>
      <c r="B41" s="313"/>
      <c r="C41" s="314"/>
      <c r="D41" s="339" t="s">
        <v>336</v>
      </c>
      <c r="E41" s="320"/>
      <c r="F41" s="39">
        <v>-62773853942</v>
      </c>
      <c r="G41" s="38"/>
      <c r="H41" s="39">
        <v>-62125658883</v>
      </c>
      <c r="I41" s="38"/>
      <c r="L41" s="214">
        <v>-627738539.41999996</v>
      </c>
      <c r="M41" s="214">
        <v>0</v>
      </c>
      <c r="N41" s="214">
        <v>-621256588.83000004</v>
      </c>
      <c r="O41" s="214">
        <v>0</v>
      </c>
      <c r="P41" s="214">
        <v>-6481950.5899999142</v>
      </c>
      <c r="Q41" s="214">
        <v>0</v>
      </c>
    </row>
    <row r="42" spans="1:17" ht="30" customHeight="1" x14ac:dyDescent="0.3">
      <c r="A42" s="43"/>
      <c r="B42" s="313"/>
      <c r="C42" s="314"/>
      <c r="D42" s="339" t="s">
        <v>475</v>
      </c>
      <c r="E42" s="320"/>
      <c r="F42" s="39">
        <v>-23423123</v>
      </c>
      <c r="G42" s="38"/>
      <c r="H42" s="39">
        <v>-13875373</v>
      </c>
      <c r="I42" s="38"/>
      <c r="L42" s="214"/>
      <c r="M42" s="214"/>
      <c r="N42" s="214"/>
      <c r="O42" s="214"/>
      <c r="P42" s="214"/>
      <c r="Q42" s="214"/>
    </row>
    <row r="43" spans="1:17" ht="30" customHeight="1" x14ac:dyDescent="0.3">
      <c r="A43" s="340"/>
      <c r="B43" s="341"/>
      <c r="C43" s="314"/>
      <c r="D43" s="339" t="s">
        <v>473</v>
      </c>
      <c r="E43" s="321"/>
      <c r="F43" s="223">
        <v>12443228689235</v>
      </c>
      <c r="G43" s="44"/>
      <c r="H43" s="223">
        <v>12266320778337</v>
      </c>
      <c r="I43" s="44"/>
      <c r="L43" s="214">
        <v>124432286892.35001</v>
      </c>
      <c r="M43" s="214">
        <v>0</v>
      </c>
      <c r="N43" s="214">
        <v>122663207783.37</v>
      </c>
      <c r="O43" s="214">
        <v>0</v>
      </c>
      <c r="P43" s="214">
        <v>1769079108.980011</v>
      </c>
      <c r="Q43" s="214">
        <v>0</v>
      </c>
    </row>
    <row r="44" spans="1:17" ht="30" customHeight="1" x14ac:dyDescent="0.3">
      <c r="A44" s="43"/>
      <c r="B44" s="313"/>
      <c r="C44" s="314"/>
      <c r="D44" s="339" t="s">
        <v>336</v>
      </c>
      <c r="E44" s="320"/>
      <c r="F44" s="39">
        <v>-5389750000975</v>
      </c>
      <c r="G44" s="38"/>
      <c r="H44" s="39">
        <v>-5165781511372</v>
      </c>
      <c r="I44" s="38"/>
      <c r="L44" s="214">
        <v>-53897500009.75</v>
      </c>
      <c r="M44" s="214">
        <v>0</v>
      </c>
      <c r="N44" s="214">
        <v>-51657815113.720001</v>
      </c>
      <c r="O44" s="214">
        <v>0</v>
      </c>
      <c r="P44" s="214">
        <v>-2239684896.0299988</v>
      </c>
      <c r="Q44" s="214">
        <v>0</v>
      </c>
    </row>
    <row r="45" spans="1:17" ht="30" customHeight="1" x14ac:dyDescent="0.3">
      <c r="A45" s="43"/>
      <c r="B45" s="313"/>
      <c r="C45" s="314"/>
      <c r="D45" s="339" t="s">
        <v>475</v>
      </c>
      <c r="E45" s="320"/>
      <c r="F45" s="39">
        <v>-198602487178</v>
      </c>
      <c r="G45" s="38"/>
      <c r="H45" s="39">
        <v>-171559680598</v>
      </c>
      <c r="I45" s="38"/>
      <c r="L45" s="214">
        <v>-1986024871.78</v>
      </c>
      <c r="M45" s="214">
        <v>0</v>
      </c>
      <c r="N45" s="214">
        <v>-1715596805.98</v>
      </c>
      <c r="O45" s="214">
        <v>0</v>
      </c>
      <c r="P45" s="214">
        <v>-270428065.79999995</v>
      </c>
      <c r="Q45" s="214">
        <v>0</v>
      </c>
    </row>
    <row r="46" spans="1:17" ht="30" customHeight="1" x14ac:dyDescent="0.3">
      <c r="A46" s="340"/>
      <c r="B46" s="341"/>
      <c r="C46" s="314"/>
      <c r="D46" s="339" t="s">
        <v>287</v>
      </c>
      <c r="E46" s="320"/>
      <c r="F46" s="39">
        <v>-718370893</v>
      </c>
      <c r="G46" s="38"/>
      <c r="H46" s="39">
        <v>-554645099</v>
      </c>
      <c r="I46" s="38"/>
      <c r="L46" s="214">
        <v>-7183708.9299999997</v>
      </c>
      <c r="M46" s="214">
        <v>0</v>
      </c>
      <c r="N46" s="214">
        <v>-5546450.9900000002</v>
      </c>
      <c r="O46" s="214">
        <v>0</v>
      </c>
      <c r="P46" s="214">
        <v>-1637257.9399999995</v>
      </c>
      <c r="Q46" s="214">
        <v>0</v>
      </c>
    </row>
    <row r="47" spans="1:17" ht="30" customHeight="1" x14ac:dyDescent="0.3">
      <c r="A47" s="340"/>
      <c r="B47" s="341"/>
      <c r="C47" s="314"/>
      <c r="D47" s="339" t="s">
        <v>485</v>
      </c>
      <c r="E47" s="321"/>
      <c r="F47" s="223">
        <v>2396635397052</v>
      </c>
      <c r="G47" s="44"/>
      <c r="H47" s="223">
        <v>2289447541659</v>
      </c>
      <c r="I47" s="44"/>
      <c r="L47" s="214">
        <v>23966353970.52</v>
      </c>
      <c r="M47" s="214">
        <v>0</v>
      </c>
      <c r="N47" s="214">
        <v>22894475416.59</v>
      </c>
      <c r="O47" s="214">
        <v>0</v>
      </c>
      <c r="P47" s="214">
        <v>1071878553.9300003</v>
      </c>
      <c r="Q47" s="214">
        <v>0</v>
      </c>
    </row>
    <row r="48" spans="1:17" ht="30" customHeight="1" x14ac:dyDescent="0.3">
      <c r="A48" s="43"/>
      <c r="B48" s="313"/>
      <c r="C48" s="314"/>
      <c r="D48" s="339" t="s">
        <v>336</v>
      </c>
      <c r="E48" s="320"/>
      <c r="F48" s="39">
        <v>-1428884786570</v>
      </c>
      <c r="G48" s="38"/>
      <c r="H48" s="39">
        <v>-1393921564804</v>
      </c>
      <c r="I48" s="38"/>
      <c r="L48" s="214">
        <v>-14288847865.700001</v>
      </c>
      <c r="M48" s="214">
        <v>0</v>
      </c>
      <c r="N48" s="214">
        <v>-13939215648.040001</v>
      </c>
      <c r="O48" s="214">
        <v>0</v>
      </c>
      <c r="P48" s="214">
        <v>-349632217.65999985</v>
      </c>
      <c r="Q48" s="214">
        <v>0</v>
      </c>
    </row>
    <row r="49" spans="1:17" ht="30" customHeight="1" x14ac:dyDescent="0.3">
      <c r="A49" s="43"/>
      <c r="B49" s="313"/>
      <c r="C49" s="314"/>
      <c r="D49" s="339" t="s">
        <v>475</v>
      </c>
      <c r="E49" s="320"/>
      <c r="F49" s="39">
        <v>-84826094054</v>
      </c>
      <c r="G49" s="38"/>
      <c r="H49" s="39">
        <v>-73517753799</v>
      </c>
      <c r="I49" s="38"/>
      <c r="L49" s="214">
        <v>-848260940.53999996</v>
      </c>
      <c r="M49" s="214">
        <v>0</v>
      </c>
      <c r="N49" s="214">
        <v>-735177537.99000001</v>
      </c>
      <c r="O49" s="214">
        <v>0</v>
      </c>
      <c r="P49" s="214">
        <v>-113083402.54999995</v>
      </c>
      <c r="Q49" s="214">
        <v>0</v>
      </c>
    </row>
    <row r="50" spans="1:17" ht="30" customHeight="1" x14ac:dyDescent="0.3">
      <c r="A50" s="43"/>
      <c r="B50" s="313"/>
      <c r="C50" s="314"/>
      <c r="D50" s="339" t="s">
        <v>287</v>
      </c>
      <c r="E50" s="320"/>
      <c r="F50" s="39">
        <v>-110755141</v>
      </c>
      <c r="G50" s="38"/>
      <c r="H50" s="115">
        <v>0</v>
      </c>
      <c r="I50" s="38"/>
      <c r="L50" s="214"/>
      <c r="M50" s="214"/>
      <c r="N50" s="214">
        <v>0</v>
      </c>
      <c r="O50" s="214"/>
      <c r="P50" s="214"/>
      <c r="Q50" s="214"/>
    </row>
    <row r="51" spans="1:17" ht="30" customHeight="1" x14ac:dyDescent="0.3">
      <c r="A51" s="340"/>
      <c r="B51" s="341"/>
      <c r="C51" s="314"/>
      <c r="D51" s="339" t="s">
        <v>494</v>
      </c>
      <c r="E51" s="321"/>
      <c r="F51" s="223">
        <v>3025962242785</v>
      </c>
      <c r="G51" s="44"/>
      <c r="H51" s="223">
        <v>2913361938874</v>
      </c>
      <c r="I51" s="44"/>
      <c r="L51" s="214">
        <v>30259622427.849998</v>
      </c>
      <c r="M51" s="214">
        <v>0</v>
      </c>
      <c r="N51" s="214">
        <v>29133619388.740002</v>
      </c>
      <c r="O51" s="214">
        <v>0</v>
      </c>
      <c r="P51" s="214">
        <v>1126003039.1099968</v>
      </c>
      <c r="Q51" s="214">
        <v>0</v>
      </c>
    </row>
    <row r="52" spans="1:17" ht="30" customHeight="1" x14ac:dyDescent="0.3">
      <c r="A52" s="43"/>
      <c r="B52" s="313"/>
      <c r="C52" s="314"/>
      <c r="D52" s="339" t="s">
        <v>336</v>
      </c>
      <c r="E52" s="109"/>
      <c r="F52" s="39">
        <v>-1642209485976</v>
      </c>
      <c r="G52" s="38"/>
      <c r="H52" s="39">
        <v>-1733623254310</v>
      </c>
      <c r="I52" s="38"/>
      <c r="L52" s="214">
        <v>-16422094859.76</v>
      </c>
      <c r="M52" s="214">
        <v>0</v>
      </c>
      <c r="N52" s="214">
        <v>-17336232543.099998</v>
      </c>
      <c r="O52" s="214">
        <v>0</v>
      </c>
      <c r="P52" s="214">
        <v>914137683.33999825</v>
      </c>
      <c r="Q52" s="214">
        <v>0</v>
      </c>
    </row>
    <row r="53" spans="1:17" ht="30" customHeight="1" x14ac:dyDescent="0.3">
      <c r="A53" s="43"/>
      <c r="B53" s="313"/>
      <c r="C53" s="314"/>
      <c r="D53" s="339" t="s">
        <v>475</v>
      </c>
      <c r="E53" s="320"/>
      <c r="F53" s="39">
        <v>-5066210919</v>
      </c>
      <c r="G53" s="38"/>
      <c r="H53" s="39">
        <v>-4627729366</v>
      </c>
      <c r="I53" s="38"/>
      <c r="L53" s="214">
        <v>-50662109.189999998</v>
      </c>
      <c r="M53" s="214">
        <v>0</v>
      </c>
      <c r="N53" s="214">
        <v>-46277293.659999996</v>
      </c>
      <c r="O53" s="214">
        <v>0</v>
      </c>
      <c r="P53" s="214">
        <v>-4384815.5300000012</v>
      </c>
      <c r="Q53" s="214">
        <v>0</v>
      </c>
    </row>
    <row r="54" spans="1:17" ht="30" customHeight="1" x14ac:dyDescent="0.3">
      <c r="A54" s="43"/>
      <c r="B54" s="313"/>
      <c r="C54" s="314"/>
      <c r="D54" s="344" t="s">
        <v>490</v>
      </c>
      <c r="E54" s="321"/>
      <c r="F54" s="223">
        <v>6721543356</v>
      </c>
      <c r="G54" s="44"/>
      <c r="H54" s="223">
        <v>6228836169</v>
      </c>
      <c r="I54" s="44"/>
      <c r="L54" s="214">
        <v>67215433.560000002</v>
      </c>
      <c r="M54" s="214">
        <v>0</v>
      </c>
      <c r="N54" s="214">
        <v>62288361.689999998</v>
      </c>
      <c r="O54" s="214">
        <v>0</v>
      </c>
      <c r="P54" s="214">
        <v>4927071.8700000048</v>
      </c>
      <c r="Q54" s="214">
        <v>0</v>
      </c>
    </row>
    <row r="55" spans="1:17" ht="30" customHeight="1" x14ac:dyDescent="0.3">
      <c r="A55" s="340"/>
      <c r="B55" s="341"/>
      <c r="C55" s="314"/>
      <c r="D55" s="339" t="s">
        <v>336</v>
      </c>
      <c r="E55" s="320"/>
      <c r="F55" s="39">
        <v>-5179030335</v>
      </c>
      <c r="G55" s="38"/>
      <c r="H55" s="39">
        <v>-4813477005</v>
      </c>
      <c r="I55" s="38"/>
      <c r="L55" s="214">
        <v>-51790303.350000001</v>
      </c>
      <c r="M55" s="214">
        <v>0</v>
      </c>
      <c r="N55" s="214">
        <v>-48134770.049999997</v>
      </c>
      <c r="O55" s="214">
        <v>0</v>
      </c>
      <c r="P55" s="214">
        <v>-3655533.3000000045</v>
      </c>
      <c r="Q55" s="214">
        <v>0</v>
      </c>
    </row>
    <row r="56" spans="1:17" ht="30" customHeight="1" x14ac:dyDescent="0.3">
      <c r="A56" s="340"/>
      <c r="B56" s="341"/>
      <c r="C56" s="314"/>
      <c r="D56" s="339" t="s">
        <v>475</v>
      </c>
      <c r="E56" s="320"/>
      <c r="F56" s="39">
        <v>-233355731</v>
      </c>
      <c r="G56" s="38"/>
      <c r="H56" s="39">
        <v>-235373304</v>
      </c>
      <c r="I56" s="38"/>
      <c r="L56" s="214">
        <v>-2333557.31</v>
      </c>
      <c r="M56" s="214">
        <v>0</v>
      </c>
      <c r="N56" s="214">
        <v>-2353733.04</v>
      </c>
      <c r="O56" s="214">
        <v>0</v>
      </c>
      <c r="P56" s="214">
        <v>20175.729999999981</v>
      </c>
      <c r="Q56" s="214">
        <v>0</v>
      </c>
    </row>
    <row r="57" spans="1:17" ht="30" customHeight="1" x14ac:dyDescent="0.3">
      <c r="A57" s="340"/>
      <c r="B57" s="341"/>
      <c r="C57" s="314"/>
      <c r="D57" s="339" t="s">
        <v>287</v>
      </c>
      <c r="E57" s="320"/>
      <c r="F57" s="39">
        <v>-604588996</v>
      </c>
      <c r="G57" s="38"/>
      <c r="H57" s="39">
        <v>-542410672</v>
      </c>
      <c r="I57" s="38"/>
      <c r="L57" s="214">
        <v>-6045889.96</v>
      </c>
      <c r="M57" s="214">
        <v>0</v>
      </c>
      <c r="N57" s="214">
        <v>-5424106.7199999997</v>
      </c>
      <c r="O57" s="214">
        <v>0</v>
      </c>
      <c r="P57" s="214">
        <v>-621783.24000000022</v>
      </c>
      <c r="Q57" s="214">
        <v>0</v>
      </c>
    </row>
    <row r="58" spans="1:17" ht="30" customHeight="1" x14ac:dyDescent="0.3">
      <c r="A58" s="43"/>
      <c r="B58" s="313"/>
      <c r="C58" s="314"/>
      <c r="D58" s="339" t="s">
        <v>434</v>
      </c>
      <c r="E58" s="321"/>
      <c r="F58" s="223">
        <v>132955987389</v>
      </c>
      <c r="G58" s="44"/>
      <c r="H58" s="223">
        <v>129199495242</v>
      </c>
      <c r="I58" s="44"/>
      <c r="L58" s="214">
        <v>1329559873.8900001</v>
      </c>
      <c r="M58" s="214">
        <v>0</v>
      </c>
      <c r="N58" s="214">
        <v>1291994952.4200001</v>
      </c>
      <c r="O58" s="214">
        <v>0</v>
      </c>
      <c r="P58" s="214">
        <v>37564921.470000029</v>
      </c>
      <c r="Q58" s="214">
        <v>0</v>
      </c>
    </row>
    <row r="59" spans="1:17" ht="30" customHeight="1" x14ac:dyDescent="0.3">
      <c r="A59" s="43"/>
      <c r="B59" s="313"/>
      <c r="C59" s="314"/>
      <c r="D59" s="339" t="s">
        <v>336</v>
      </c>
      <c r="E59" s="320"/>
      <c r="F59" s="39">
        <v>-113941204150</v>
      </c>
      <c r="G59" s="38"/>
      <c r="H59" s="39">
        <v>-109329124567</v>
      </c>
      <c r="I59" s="38"/>
      <c r="L59" s="214">
        <v>-1139412041.5</v>
      </c>
      <c r="M59" s="214">
        <v>0</v>
      </c>
      <c r="N59" s="214">
        <v>-1093291245.6700001</v>
      </c>
      <c r="O59" s="214">
        <v>0</v>
      </c>
      <c r="P59" s="214">
        <v>-46120795.829999924</v>
      </c>
      <c r="Q59" s="214">
        <v>0</v>
      </c>
    </row>
    <row r="60" spans="1:17" ht="30" customHeight="1" x14ac:dyDescent="0.3">
      <c r="A60" s="340"/>
      <c r="B60" s="341"/>
      <c r="C60" s="314"/>
      <c r="D60" s="339" t="s">
        <v>475</v>
      </c>
      <c r="E60" s="320"/>
      <c r="F60" s="39">
        <v>-688154096</v>
      </c>
      <c r="G60" s="38"/>
      <c r="H60" s="39">
        <v>-596499934</v>
      </c>
      <c r="I60" s="38"/>
      <c r="L60" s="214">
        <v>-6881540.96</v>
      </c>
      <c r="M60" s="214">
        <v>0</v>
      </c>
      <c r="N60" s="214">
        <v>-5964999.3399999999</v>
      </c>
      <c r="O60" s="214">
        <v>0</v>
      </c>
      <c r="P60" s="214">
        <v>-916541.62000000011</v>
      </c>
      <c r="Q60" s="214">
        <v>0</v>
      </c>
    </row>
    <row r="61" spans="1:17" ht="30" customHeight="1" x14ac:dyDescent="0.3">
      <c r="A61" s="340"/>
      <c r="B61" s="341"/>
      <c r="C61" s="314"/>
      <c r="D61" s="339" t="s">
        <v>287</v>
      </c>
      <c r="E61" s="320"/>
      <c r="F61" s="39">
        <v>-115139704</v>
      </c>
      <c r="G61" s="38"/>
      <c r="H61" s="39">
        <v>-197848416</v>
      </c>
      <c r="I61" s="38"/>
      <c r="L61" s="214">
        <v>-1151397.04</v>
      </c>
      <c r="M61" s="214">
        <v>0</v>
      </c>
      <c r="N61" s="214">
        <v>-1978484.16</v>
      </c>
      <c r="O61" s="214">
        <v>0</v>
      </c>
      <c r="P61" s="214">
        <v>827087.11999999988</v>
      </c>
      <c r="Q61" s="214">
        <v>0</v>
      </c>
    </row>
    <row r="62" spans="1:17" ht="30" customHeight="1" x14ac:dyDescent="0.3">
      <c r="A62" s="43"/>
      <c r="B62" s="313"/>
      <c r="C62" s="314"/>
      <c r="D62" s="339" t="s">
        <v>482</v>
      </c>
      <c r="E62" s="321"/>
      <c r="F62" s="223">
        <v>8742800140</v>
      </c>
      <c r="G62" s="44"/>
      <c r="H62" s="223">
        <v>8677765140</v>
      </c>
      <c r="I62" s="44"/>
      <c r="L62" s="214">
        <v>87428001.400000006</v>
      </c>
      <c r="M62" s="214">
        <v>0</v>
      </c>
      <c r="N62" s="214">
        <v>86777651.400000006</v>
      </c>
      <c r="O62" s="214">
        <v>0</v>
      </c>
      <c r="P62" s="214">
        <v>650350</v>
      </c>
      <c r="Q62" s="214">
        <v>0</v>
      </c>
    </row>
    <row r="63" spans="1:17" ht="30" customHeight="1" x14ac:dyDescent="0.3">
      <c r="A63" s="43"/>
      <c r="B63" s="313"/>
      <c r="C63" s="314"/>
      <c r="D63" s="339" t="s">
        <v>336</v>
      </c>
      <c r="E63" s="320"/>
      <c r="F63" s="39">
        <v>-6742908077</v>
      </c>
      <c r="G63" s="38"/>
      <c r="H63" s="39">
        <v>-6167884535</v>
      </c>
      <c r="I63" s="38"/>
      <c r="L63" s="214">
        <v>-67429080.769999996</v>
      </c>
      <c r="M63" s="214">
        <v>0</v>
      </c>
      <c r="N63" s="214">
        <v>-61678845.350000001</v>
      </c>
      <c r="O63" s="214">
        <v>0</v>
      </c>
      <c r="P63" s="214">
        <v>-5750235.4199999943</v>
      </c>
      <c r="Q63" s="214">
        <v>0</v>
      </c>
    </row>
    <row r="64" spans="1:17" ht="30" customHeight="1" x14ac:dyDescent="0.3">
      <c r="A64" s="340"/>
      <c r="B64" s="341"/>
      <c r="C64" s="314"/>
      <c r="D64" s="339" t="s">
        <v>483</v>
      </c>
      <c r="E64" s="321"/>
      <c r="F64" s="223">
        <v>623590196207</v>
      </c>
      <c r="G64" s="44"/>
      <c r="H64" s="223">
        <v>625019457704</v>
      </c>
      <c r="I64" s="44"/>
      <c r="L64" s="214">
        <v>6235901962.0699997</v>
      </c>
      <c r="M64" s="214">
        <v>0</v>
      </c>
      <c r="N64" s="214">
        <v>6250194577.04</v>
      </c>
      <c r="O64" s="214">
        <v>0</v>
      </c>
      <c r="P64" s="214">
        <v>-14292614.970000267</v>
      </c>
      <c r="Q64" s="214">
        <v>0</v>
      </c>
    </row>
    <row r="65" spans="1:17" ht="30" customHeight="1" x14ac:dyDescent="0.3">
      <c r="A65" s="43"/>
      <c r="B65" s="313"/>
      <c r="C65" s="314"/>
      <c r="D65" s="339" t="s">
        <v>475</v>
      </c>
      <c r="E65" s="320"/>
      <c r="F65" s="39">
        <v>-26987678867</v>
      </c>
      <c r="G65" s="38"/>
      <c r="H65" s="39">
        <v>-49724743381</v>
      </c>
      <c r="I65" s="38"/>
      <c r="L65" s="214">
        <v>-269876788.67000002</v>
      </c>
      <c r="M65" s="214">
        <v>0</v>
      </c>
      <c r="N65" s="214">
        <v>-497247433.81</v>
      </c>
      <c r="O65" s="214">
        <v>0</v>
      </c>
      <c r="P65" s="214">
        <v>227370645.13999999</v>
      </c>
      <c r="Q65" s="214">
        <v>0</v>
      </c>
    </row>
    <row r="66" spans="1:17" ht="30" customHeight="1" x14ac:dyDescent="0.3">
      <c r="A66" s="43"/>
      <c r="B66" s="313"/>
      <c r="C66" s="314"/>
      <c r="D66" s="339" t="s">
        <v>333</v>
      </c>
      <c r="E66" s="321"/>
      <c r="F66" s="227">
        <v>90504059346</v>
      </c>
      <c r="G66" s="44"/>
      <c r="H66" s="227">
        <v>86232009578</v>
      </c>
      <c r="I66" s="44"/>
      <c r="L66" s="214">
        <v>905040593.46000004</v>
      </c>
      <c r="M66" s="214">
        <v>0</v>
      </c>
      <c r="N66" s="214">
        <v>862320095.77999997</v>
      </c>
      <c r="O66" s="214">
        <v>0</v>
      </c>
      <c r="P66" s="214">
        <v>42720497.680000067</v>
      </c>
      <c r="Q66" s="214">
        <v>0</v>
      </c>
    </row>
    <row r="67" spans="1:17" ht="30" customHeight="1" x14ac:dyDescent="0.3">
      <c r="A67" s="340"/>
      <c r="B67" s="341"/>
      <c r="C67" s="314"/>
      <c r="D67" s="339" t="s">
        <v>336</v>
      </c>
      <c r="E67" s="320"/>
      <c r="F67" s="39">
        <v>-27186854777</v>
      </c>
      <c r="G67" s="38"/>
      <c r="H67" s="39">
        <v>-23003557278</v>
      </c>
      <c r="I67" s="38"/>
      <c r="L67" s="214">
        <v>-271868547.76999998</v>
      </c>
      <c r="M67" s="214">
        <v>0</v>
      </c>
      <c r="N67" s="214">
        <v>-230035572.78</v>
      </c>
      <c r="O67" s="214">
        <v>0</v>
      </c>
      <c r="P67" s="214">
        <v>-41832974.98999998</v>
      </c>
      <c r="Q67" s="214">
        <v>0</v>
      </c>
    </row>
    <row r="68" spans="1:17" ht="30" customHeight="1" x14ac:dyDescent="0.3">
      <c r="A68" s="43"/>
      <c r="B68" s="313"/>
      <c r="C68" s="314"/>
      <c r="D68" s="339" t="s">
        <v>334</v>
      </c>
      <c r="E68" s="320"/>
      <c r="F68" s="39">
        <v>-63317204569</v>
      </c>
      <c r="G68" s="48"/>
      <c r="H68" s="39">
        <v>-63228452300</v>
      </c>
      <c r="I68" s="48"/>
      <c r="L68" s="214">
        <v>-633172045.69000006</v>
      </c>
      <c r="M68" s="214">
        <v>0</v>
      </c>
      <c r="N68" s="214">
        <v>-632284523</v>
      </c>
      <c r="O68" s="214">
        <v>0</v>
      </c>
      <c r="P68" s="214">
        <v>-887522.69000005722</v>
      </c>
      <c r="Q68" s="214">
        <v>0</v>
      </c>
    </row>
    <row r="69" spans="1:17" ht="30" customHeight="1" x14ac:dyDescent="0.3">
      <c r="A69" s="422" t="s">
        <v>263</v>
      </c>
      <c r="B69" s="423"/>
      <c r="C69" s="419" t="s">
        <v>471</v>
      </c>
      <c r="D69" s="419"/>
      <c r="E69" s="322"/>
      <c r="F69" s="45"/>
      <c r="G69" s="226">
        <v>112740412722</v>
      </c>
      <c r="H69" s="45"/>
      <c r="I69" s="226">
        <v>118486126947</v>
      </c>
      <c r="L69" s="214">
        <v>0</v>
      </c>
      <c r="M69" s="214">
        <v>1127404127.22</v>
      </c>
      <c r="N69" s="214">
        <v>0</v>
      </c>
      <c r="O69" s="214">
        <v>1184861269.47</v>
      </c>
      <c r="P69" s="214">
        <v>0</v>
      </c>
      <c r="Q69" s="214">
        <v>-57457142.25</v>
      </c>
    </row>
    <row r="70" spans="1:17" ht="30" customHeight="1" x14ac:dyDescent="0.3">
      <c r="A70" s="43"/>
      <c r="B70" s="313"/>
      <c r="C70" s="314"/>
      <c r="D70" s="323" t="s">
        <v>452</v>
      </c>
      <c r="E70" s="321"/>
      <c r="F70" s="223">
        <v>72438698</v>
      </c>
      <c r="G70" s="44"/>
      <c r="H70" s="223">
        <v>99999869</v>
      </c>
      <c r="I70" s="44"/>
      <c r="L70" s="214">
        <v>724386.98</v>
      </c>
      <c r="M70" s="214">
        <v>0</v>
      </c>
      <c r="N70" s="214">
        <v>999998.69</v>
      </c>
      <c r="O70" s="214">
        <v>0</v>
      </c>
      <c r="P70" s="214">
        <v>-275611.70999999996</v>
      </c>
      <c r="Q70" s="214">
        <v>0</v>
      </c>
    </row>
    <row r="71" spans="1:17" ht="30" customHeight="1" x14ac:dyDescent="0.3">
      <c r="A71" s="43"/>
      <c r="B71" s="313"/>
      <c r="C71" s="314"/>
      <c r="D71" s="323" t="s">
        <v>281</v>
      </c>
      <c r="E71" s="321"/>
      <c r="F71" s="223">
        <v>99600438211</v>
      </c>
      <c r="G71" s="44"/>
      <c r="H71" s="223">
        <v>99598023461</v>
      </c>
      <c r="I71" s="44"/>
      <c r="L71" s="214">
        <v>996004382.11000001</v>
      </c>
      <c r="M71" s="214">
        <v>0</v>
      </c>
      <c r="N71" s="214">
        <v>995980234.61000001</v>
      </c>
      <c r="O71" s="214">
        <v>0</v>
      </c>
      <c r="P71" s="214">
        <v>24147.5</v>
      </c>
      <c r="Q71" s="214">
        <v>0</v>
      </c>
    </row>
    <row r="72" spans="1:17" ht="30" customHeight="1" x14ac:dyDescent="0.3">
      <c r="A72" s="43"/>
      <c r="B72" s="313"/>
      <c r="C72" s="314"/>
      <c r="D72" s="323" t="s">
        <v>451</v>
      </c>
      <c r="E72" s="311"/>
      <c r="F72" s="223">
        <v>13897444067</v>
      </c>
      <c r="G72" s="44"/>
      <c r="H72" s="223">
        <v>19827264710</v>
      </c>
      <c r="I72" s="44"/>
      <c r="L72" s="214">
        <v>138974440.66999999</v>
      </c>
      <c r="M72" s="214">
        <v>0</v>
      </c>
      <c r="N72" s="214">
        <v>198272647.09999999</v>
      </c>
      <c r="O72" s="214">
        <v>0</v>
      </c>
      <c r="P72" s="214">
        <v>-59298206.430000007</v>
      </c>
      <c r="Q72" s="214">
        <v>0</v>
      </c>
    </row>
    <row r="73" spans="1:17" ht="30" customHeight="1" x14ac:dyDescent="0.3">
      <c r="A73" s="43"/>
      <c r="B73" s="313"/>
      <c r="C73" s="314"/>
      <c r="D73" s="339" t="s">
        <v>475</v>
      </c>
      <c r="E73" s="320"/>
      <c r="F73" s="39">
        <v>-829908254</v>
      </c>
      <c r="G73" s="38"/>
      <c r="H73" s="91">
        <v>-1039161093</v>
      </c>
      <c r="I73" s="38"/>
      <c r="L73" s="214">
        <v>-8299082.54</v>
      </c>
      <c r="M73" s="214">
        <v>0</v>
      </c>
      <c r="N73" s="214">
        <v>-10391610.93</v>
      </c>
      <c r="O73" s="214">
        <v>0</v>
      </c>
      <c r="P73" s="214">
        <v>2092528.3899999997</v>
      </c>
      <c r="Q73" s="214">
        <v>0</v>
      </c>
    </row>
    <row r="74" spans="1:17" ht="30" customHeight="1" x14ac:dyDescent="0.3">
      <c r="A74" s="43"/>
      <c r="B74" s="313"/>
      <c r="C74" s="314"/>
      <c r="D74" s="323" t="s">
        <v>337</v>
      </c>
      <c r="E74" s="311"/>
      <c r="F74" s="223">
        <v>1095416912</v>
      </c>
      <c r="G74" s="44"/>
      <c r="H74" s="223">
        <v>197748473</v>
      </c>
      <c r="I74" s="44"/>
      <c r="L74" s="214">
        <v>10954169.119999999</v>
      </c>
      <c r="M74" s="214">
        <v>0</v>
      </c>
      <c r="N74" s="214">
        <v>1977484.73</v>
      </c>
      <c r="O74" s="214">
        <v>0</v>
      </c>
      <c r="P74" s="214">
        <v>8976684.3899999987</v>
      </c>
      <c r="Q74" s="214">
        <v>0</v>
      </c>
    </row>
    <row r="75" spans="1:17" ht="30" customHeight="1" x14ac:dyDescent="0.3">
      <c r="A75" s="43"/>
      <c r="B75" s="314"/>
      <c r="C75" s="314"/>
      <c r="D75" s="339" t="s">
        <v>336</v>
      </c>
      <c r="E75" s="311"/>
      <c r="F75" s="225">
        <v>-1019362797</v>
      </c>
      <c r="G75" s="38"/>
      <c r="H75" s="225">
        <v>-87555061</v>
      </c>
      <c r="I75" s="38"/>
      <c r="L75" s="214">
        <v>-10193627.970000001</v>
      </c>
      <c r="M75" s="214">
        <v>0</v>
      </c>
      <c r="N75" s="214">
        <v>-875550.61</v>
      </c>
      <c r="O75" s="214">
        <v>0</v>
      </c>
      <c r="P75" s="214">
        <v>-9318077.3600000013</v>
      </c>
      <c r="Q75" s="214">
        <v>0</v>
      </c>
    </row>
    <row r="76" spans="1:17" ht="30" customHeight="1" x14ac:dyDescent="0.3">
      <c r="A76" s="43"/>
      <c r="B76" s="314"/>
      <c r="C76" s="314"/>
      <c r="D76" s="339" t="s">
        <v>334</v>
      </c>
      <c r="E76" s="311"/>
      <c r="F76" s="39">
        <v>-76054115</v>
      </c>
      <c r="G76" s="48"/>
      <c r="H76" s="39">
        <v>-110193412</v>
      </c>
      <c r="I76" s="48"/>
      <c r="L76" s="214">
        <v>-760541.15</v>
      </c>
      <c r="M76" s="214">
        <v>0</v>
      </c>
      <c r="N76" s="214">
        <v>-1101934.1200000001</v>
      </c>
      <c r="O76" s="214">
        <v>0</v>
      </c>
      <c r="P76" s="214">
        <v>341392.97000000009</v>
      </c>
      <c r="Q76" s="214">
        <v>0</v>
      </c>
    </row>
    <row r="77" spans="1:17" ht="30" customHeight="1" x14ac:dyDescent="0.3">
      <c r="A77" s="422" t="s">
        <v>247</v>
      </c>
      <c r="B77" s="423"/>
      <c r="C77" s="419" t="s">
        <v>450</v>
      </c>
      <c r="D77" s="419"/>
      <c r="E77" s="312"/>
      <c r="F77" s="45"/>
      <c r="G77" s="50">
        <v>18918372829</v>
      </c>
      <c r="H77" s="45"/>
      <c r="I77" s="50">
        <v>21083471810</v>
      </c>
      <c r="L77" s="214">
        <v>0</v>
      </c>
      <c r="M77" s="214">
        <v>189183728.28999999</v>
      </c>
      <c r="N77" s="214">
        <v>0</v>
      </c>
      <c r="O77" s="214">
        <v>210834718.09999999</v>
      </c>
      <c r="P77" s="214">
        <v>0</v>
      </c>
      <c r="Q77" s="214">
        <v>-21650989.810000002</v>
      </c>
    </row>
    <row r="78" spans="1:17" ht="30" customHeight="1" x14ac:dyDescent="0.3">
      <c r="A78" s="340"/>
      <c r="B78" s="313"/>
      <c r="C78" s="314"/>
      <c r="D78" s="339" t="s">
        <v>271</v>
      </c>
      <c r="E78" s="312"/>
      <c r="F78" s="223">
        <v>2721396500</v>
      </c>
      <c r="G78" s="44"/>
      <c r="H78" s="223">
        <v>2397204500</v>
      </c>
      <c r="I78" s="44"/>
      <c r="L78" s="214">
        <v>27213965</v>
      </c>
      <c r="M78" s="214">
        <v>0</v>
      </c>
      <c r="N78" s="214">
        <v>23972045</v>
      </c>
      <c r="O78" s="214">
        <v>0</v>
      </c>
      <c r="P78" s="214">
        <v>3241920</v>
      </c>
      <c r="Q78" s="214">
        <v>0</v>
      </c>
    </row>
    <row r="79" spans="1:17" ht="30" customHeight="1" x14ac:dyDescent="0.3">
      <c r="A79" s="340"/>
      <c r="B79" s="313"/>
      <c r="C79" s="314"/>
      <c r="D79" s="339" t="s">
        <v>449</v>
      </c>
      <c r="E79" s="312"/>
      <c r="F79" s="223">
        <v>1241309884</v>
      </c>
      <c r="G79" s="44"/>
      <c r="H79" s="223">
        <v>1241309884</v>
      </c>
      <c r="I79" s="44"/>
      <c r="L79" s="214">
        <v>12413098.84</v>
      </c>
      <c r="M79" s="214">
        <v>0</v>
      </c>
      <c r="N79" s="214">
        <v>12413098.84</v>
      </c>
      <c r="O79" s="214">
        <v>0</v>
      </c>
      <c r="P79" s="214">
        <v>0</v>
      </c>
      <c r="Q79" s="214">
        <v>0</v>
      </c>
    </row>
    <row r="80" spans="1:17" ht="30" customHeight="1" x14ac:dyDescent="0.3">
      <c r="A80" s="340"/>
      <c r="B80" s="313"/>
      <c r="C80" s="314"/>
      <c r="D80" s="339" t="s">
        <v>448</v>
      </c>
      <c r="E80" s="312"/>
      <c r="F80" s="42">
        <v>-1179746238</v>
      </c>
      <c r="G80" s="38"/>
      <c r="H80" s="42">
        <v>-1179746238</v>
      </c>
      <c r="I80" s="38"/>
      <c r="L80" s="214">
        <v>-11797462.380000001</v>
      </c>
      <c r="M80" s="214">
        <v>0</v>
      </c>
      <c r="N80" s="214">
        <v>-11797462.380000001</v>
      </c>
      <c r="O80" s="214">
        <v>0</v>
      </c>
      <c r="P80" s="214">
        <v>0</v>
      </c>
      <c r="Q80" s="214">
        <v>0</v>
      </c>
    </row>
    <row r="81" spans="1:18" ht="30" customHeight="1" x14ac:dyDescent="0.3">
      <c r="A81" s="43"/>
      <c r="B81" s="313"/>
      <c r="C81" s="314"/>
      <c r="D81" s="339" t="s">
        <v>335</v>
      </c>
      <c r="E81" s="312"/>
      <c r="F81" s="223">
        <v>16135412683</v>
      </c>
      <c r="G81" s="44"/>
      <c r="H81" s="223">
        <v>18624703664</v>
      </c>
      <c r="I81" s="44"/>
      <c r="L81" s="214">
        <v>161354126.83000001</v>
      </c>
      <c r="M81" s="214">
        <v>0</v>
      </c>
      <c r="N81" s="214">
        <v>186247036.63999999</v>
      </c>
      <c r="O81" s="214">
        <v>0</v>
      </c>
      <c r="P81" s="214">
        <v>-24892909.809999973</v>
      </c>
      <c r="Q81" s="214">
        <v>0</v>
      </c>
    </row>
    <row r="82" spans="1:18" ht="30" customHeight="1" thickBot="1" x14ac:dyDescent="0.35">
      <c r="A82" s="37" t="s">
        <v>268</v>
      </c>
      <c r="B82" s="421" t="s">
        <v>438</v>
      </c>
      <c r="C82" s="421"/>
      <c r="D82" s="421"/>
      <c r="E82" s="324"/>
      <c r="F82" s="262"/>
      <c r="G82" s="36">
        <v>15667575253119</v>
      </c>
      <c r="H82" s="262"/>
      <c r="I82" s="36">
        <v>15422678996864</v>
      </c>
      <c r="L82" s="214">
        <v>0</v>
      </c>
      <c r="M82" s="213">
        <v>156675752531.19</v>
      </c>
      <c r="N82" s="214">
        <v>0</v>
      </c>
      <c r="O82" s="213">
        <v>154226789968.64001</v>
      </c>
      <c r="P82" s="214">
        <v>0</v>
      </c>
      <c r="Q82" s="213">
        <v>2448962562.5499878</v>
      </c>
    </row>
    <row r="83" spans="1:18" ht="30" customHeight="1" thickTop="1" x14ac:dyDescent="0.3">
      <c r="A83" s="425" t="s">
        <v>157</v>
      </c>
      <c r="B83" s="426"/>
      <c r="C83" s="426"/>
      <c r="D83" s="426"/>
      <c r="E83" s="310"/>
      <c r="F83" s="45"/>
      <c r="G83" s="44"/>
      <c r="H83" s="45"/>
      <c r="I83" s="44"/>
      <c r="L83" s="214">
        <v>0</v>
      </c>
      <c r="M83" s="214">
        <v>0</v>
      </c>
      <c r="N83" s="214">
        <v>0</v>
      </c>
      <c r="O83" s="214">
        <v>0</v>
      </c>
      <c r="P83" s="214">
        <v>0</v>
      </c>
      <c r="Q83" s="214">
        <v>0</v>
      </c>
    </row>
    <row r="84" spans="1:18" ht="30" customHeight="1" x14ac:dyDescent="0.3">
      <c r="A84" s="43" t="s">
        <v>262</v>
      </c>
      <c r="B84" s="419" t="s">
        <v>443</v>
      </c>
      <c r="C84" s="419"/>
      <c r="D84" s="419"/>
      <c r="E84" s="312"/>
      <c r="F84" s="45"/>
      <c r="G84" s="110">
        <v>966877695951</v>
      </c>
      <c r="H84" s="45"/>
      <c r="I84" s="110">
        <v>1341255210642</v>
      </c>
      <c r="L84" s="214">
        <v>0</v>
      </c>
      <c r="M84" s="221">
        <v>9668776959.5100002</v>
      </c>
      <c r="N84" s="214">
        <v>0</v>
      </c>
      <c r="O84" s="221">
        <v>13412552106.42</v>
      </c>
      <c r="P84" s="214">
        <v>0</v>
      </c>
      <c r="Q84" s="221">
        <v>-3743775146.9099998</v>
      </c>
    </row>
    <row r="85" spans="1:18" ht="30" hidden="1" customHeight="1" x14ac:dyDescent="0.3">
      <c r="A85" s="43"/>
      <c r="B85" s="339"/>
      <c r="C85" s="339"/>
      <c r="D85" s="339" t="s">
        <v>457</v>
      </c>
      <c r="E85" s="312"/>
      <c r="F85" s="98">
        <v>0</v>
      </c>
      <c r="G85" s="92"/>
      <c r="H85" s="98">
        <v>0</v>
      </c>
      <c r="I85" s="92"/>
      <c r="L85" s="214">
        <v>0</v>
      </c>
      <c r="M85" s="214">
        <v>0</v>
      </c>
      <c r="N85" s="214">
        <v>0</v>
      </c>
      <c r="O85" s="214">
        <v>0</v>
      </c>
      <c r="P85" s="214">
        <v>0</v>
      </c>
      <c r="Q85" s="214">
        <v>0</v>
      </c>
    </row>
    <row r="86" spans="1:18" ht="30" customHeight="1" x14ac:dyDescent="0.3">
      <c r="A86" s="340"/>
      <c r="B86" s="313"/>
      <c r="C86" s="339"/>
      <c r="D86" s="323" t="s">
        <v>469</v>
      </c>
      <c r="E86" s="312"/>
      <c r="F86" s="222">
        <v>292859450303</v>
      </c>
      <c r="G86" s="92"/>
      <c r="H86" s="222">
        <v>373828253664</v>
      </c>
      <c r="I86" s="92"/>
      <c r="L86" s="214">
        <v>2928594503.0300002</v>
      </c>
      <c r="M86" s="214">
        <v>0</v>
      </c>
      <c r="N86" s="214">
        <v>3738282536.6399999</v>
      </c>
      <c r="O86" s="214">
        <v>0</v>
      </c>
      <c r="P86" s="214">
        <v>-809688033.60999966</v>
      </c>
      <c r="Q86" s="214">
        <v>0</v>
      </c>
    </row>
    <row r="87" spans="1:18" ht="30" customHeight="1" x14ac:dyDescent="0.3">
      <c r="A87" s="340"/>
      <c r="B87" s="313"/>
      <c r="C87" s="339"/>
      <c r="D87" s="323" t="s">
        <v>467</v>
      </c>
      <c r="E87" s="312"/>
      <c r="F87" s="222">
        <v>76742186981</v>
      </c>
      <c r="G87" s="92"/>
      <c r="H87" s="222">
        <v>69396041863</v>
      </c>
      <c r="I87" s="92"/>
      <c r="L87" s="214">
        <v>767421869.80999994</v>
      </c>
      <c r="M87" s="214">
        <v>0</v>
      </c>
      <c r="N87" s="214">
        <v>693960418.63</v>
      </c>
      <c r="O87" s="214">
        <v>0</v>
      </c>
      <c r="P87" s="214">
        <v>73461451.179999948</v>
      </c>
      <c r="Q87" s="214">
        <v>0</v>
      </c>
    </row>
    <row r="88" spans="1:18" ht="30" customHeight="1" x14ac:dyDescent="0.3">
      <c r="A88" s="340"/>
      <c r="B88" s="313"/>
      <c r="C88" s="339"/>
      <c r="D88" s="323" t="s">
        <v>270</v>
      </c>
      <c r="E88" s="312"/>
      <c r="F88" s="222">
        <v>3822369213</v>
      </c>
      <c r="G88" s="92"/>
      <c r="H88" s="222">
        <v>1368085414</v>
      </c>
      <c r="I88" s="92"/>
      <c r="L88" s="214">
        <v>38223692.130000003</v>
      </c>
      <c r="M88" s="214">
        <v>0</v>
      </c>
      <c r="N88" s="214">
        <v>13680854.140000001</v>
      </c>
      <c r="O88" s="214">
        <v>0</v>
      </c>
      <c r="P88" s="214">
        <v>24542837.990000002</v>
      </c>
      <c r="Q88" s="214">
        <v>0</v>
      </c>
    </row>
    <row r="89" spans="1:18" ht="30" customHeight="1" x14ac:dyDescent="0.3">
      <c r="A89" s="340"/>
      <c r="B89" s="313"/>
      <c r="C89" s="339"/>
      <c r="D89" s="323" t="s">
        <v>266</v>
      </c>
      <c r="E89" s="312"/>
      <c r="F89" s="222">
        <v>48354481842</v>
      </c>
      <c r="G89" s="92"/>
      <c r="H89" s="222">
        <v>45165022682</v>
      </c>
      <c r="I89" s="92"/>
      <c r="L89" s="214">
        <v>483544818.42000002</v>
      </c>
      <c r="M89" s="214">
        <v>0</v>
      </c>
      <c r="N89" s="214">
        <v>451650226.81999999</v>
      </c>
      <c r="O89" s="214">
        <v>0</v>
      </c>
      <c r="P89" s="214">
        <v>31894591.600000024</v>
      </c>
      <c r="Q89" s="214">
        <v>0</v>
      </c>
    </row>
    <row r="90" spans="1:18" ht="30" customHeight="1" x14ac:dyDescent="0.3">
      <c r="A90" s="340"/>
      <c r="B90" s="313"/>
      <c r="C90" s="339"/>
      <c r="D90" s="323" t="s">
        <v>456</v>
      </c>
      <c r="E90" s="312"/>
      <c r="F90" s="98">
        <v>440000000000</v>
      </c>
      <c r="G90" s="92"/>
      <c r="H90" s="222">
        <v>660000000000</v>
      </c>
      <c r="I90" s="92"/>
      <c r="L90" s="214">
        <v>4400000000</v>
      </c>
      <c r="M90" s="214">
        <v>0</v>
      </c>
      <c r="N90" s="214">
        <v>6600000000</v>
      </c>
      <c r="O90" s="214">
        <v>0</v>
      </c>
      <c r="P90" s="214">
        <v>-2200000000</v>
      </c>
      <c r="Q90" s="214">
        <v>0</v>
      </c>
    </row>
    <row r="91" spans="1:18" ht="30" customHeight="1" x14ac:dyDescent="0.3">
      <c r="A91" s="340"/>
      <c r="B91" s="313"/>
      <c r="C91" s="339"/>
      <c r="D91" s="323" t="s">
        <v>442</v>
      </c>
      <c r="E91" s="312"/>
      <c r="F91" s="222">
        <v>1017174</v>
      </c>
      <c r="G91" s="92"/>
      <c r="H91" s="222">
        <v>5883145084</v>
      </c>
      <c r="I91" s="92"/>
      <c r="L91" s="214">
        <v>10171.74</v>
      </c>
      <c r="M91" s="214">
        <v>0</v>
      </c>
      <c r="N91" s="214">
        <v>58831450.840000004</v>
      </c>
      <c r="O91" s="214">
        <v>0</v>
      </c>
      <c r="P91" s="214">
        <v>-58821279.100000001</v>
      </c>
      <c r="Q91" s="214">
        <v>0</v>
      </c>
    </row>
    <row r="92" spans="1:18" ht="30" customHeight="1" x14ac:dyDescent="0.3">
      <c r="A92" s="340"/>
      <c r="B92" s="313"/>
      <c r="C92" s="339"/>
      <c r="D92" s="323" t="s">
        <v>447</v>
      </c>
      <c r="E92" s="312"/>
      <c r="F92" s="222">
        <v>17980333140</v>
      </c>
      <c r="G92" s="92"/>
      <c r="H92" s="222">
        <v>14627887777</v>
      </c>
      <c r="I92" s="92"/>
      <c r="L92" s="214">
        <v>179803331.40000001</v>
      </c>
      <c r="M92" s="214">
        <v>0</v>
      </c>
      <c r="N92" s="214">
        <v>146278877.77000001</v>
      </c>
      <c r="O92" s="214">
        <v>0</v>
      </c>
      <c r="P92" s="214">
        <v>33524453.629999995</v>
      </c>
      <c r="Q92" s="214">
        <v>0</v>
      </c>
    </row>
    <row r="93" spans="1:18" ht="30" customHeight="1" x14ac:dyDescent="0.3">
      <c r="A93" s="340"/>
      <c r="B93" s="313"/>
      <c r="C93" s="339"/>
      <c r="D93" s="323" t="s">
        <v>440</v>
      </c>
      <c r="E93" s="312"/>
      <c r="F93" s="222">
        <v>2369517069</v>
      </c>
      <c r="G93" s="92"/>
      <c r="H93" s="222">
        <v>2178586830</v>
      </c>
      <c r="I93" s="92"/>
      <c r="L93" s="214">
        <v>23695170.690000001</v>
      </c>
      <c r="M93" s="214">
        <v>0</v>
      </c>
      <c r="N93" s="214">
        <v>21785868.300000001</v>
      </c>
      <c r="O93" s="214">
        <v>0</v>
      </c>
      <c r="P93" s="214">
        <v>1909302.3900000006</v>
      </c>
      <c r="Q93" s="214">
        <v>0</v>
      </c>
    </row>
    <row r="94" spans="1:18" ht="30" customHeight="1" x14ac:dyDescent="0.3">
      <c r="A94" s="40"/>
      <c r="B94" s="325"/>
      <c r="C94" s="339"/>
      <c r="D94" s="323" t="s">
        <v>466</v>
      </c>
      <c r="E94" s="312"/>
      <c r="F94" s="222">
        <v>58683173526</v>
      </c>
      <c r="G94" s="92"/>
      <c r="H94" s="222">
        <v>149501905569</v>
      </c>
      <c r="I94" s="92"/>
      <c r="L94" s="214">
        <v>586831735.25999999</v>
      </c>
      <c r="M94" s="214">
        <v>0</v>
      </c>
      <c r="N94" s="214">
        <v>1495019055.6900001</v>
      </c>
      <c r="O94" s="214">
        <v>0</v>
      </c>
      <c r="P94" s="214">
        <v>-908187320.43000007</v>
      </c>
      <c r="Q94" s="214">
        <v>0</v>
      </c>
    </row>
    <row r="95" spans="1:18" ht="30" customHeight="1" x14ac:dyDescent="0.3">
      <c r="A95" s="40"/>
      <c r="B95" s="325"/>
      <c r="C95" s="326"/>
      <c r="D95" s="323" t="s">
        <v>463</v>
      </c>
      <c r="E95" s="312"/>
      <c r="F95" s="220">
        <v>26065166703</v>
      </c>
      <c r="G95" s="92"/>
      <c r="H95" s="220">
        <v>19306281759</v>
      </c>
      <c r="I95" s="92"/>
      <c r="L95" s="214">
        <v>260651667.03</v>
      </c>
      <c r="M95" s="214">
        <v>0</v>
      </c>
      <c r="N95" s="214">
        <v>193062817.59</v>
      </c>
      <c r="O95" s="214">
        <v>0</v>
      </c>
      <c r="P95" s="214">
        <v>67588849.439999998</v>
      </c>
      <c r="Q95" s="214">
        <v>0</v>
      </c>
    </row>
    <row r="96" spans="1:18" ht="30" customHeight="1" x14ac:dyDescent="0.3">
      <c r="A96" s="43" t="s">
        <v>253</v>
      </c>
      <c r="B96" s="419" t="s">
        <v>455</v>
      </c>
      <c r="C96" s="419"/>
      <c r="D96" s="419"/>
      <c r="E96" s="312"/>
      <c r="F96" s="94"/>
      <c r="G96" s="110">
        <v>5865286702007</v>
      </c>
      <c r="H96" s="94"/>
      <c r="I96" s="110">
        <v>5215704398639</v>
      </c>
      <c r="L96" s="214">
        <v>0</v>
      </c>
      <c r="M96" s="224">
        <v>58652867020.07</v>
      </c>
      <c r="N96" s="214">
        <v>0</v>
      </c>
      <c r="O96" s="224">
        <v>52157043986.389999</v>
      </c>
      <c r="P96" s="214">
        <v>0</v>
      </c>
      <c r="Q96" s="224">
        <v>6495823033.6800003</v>
      </c>
      <c r="R96" s="135"/>
    </row>
    <row r="97" spans="1:19" ht="30" customHeight="1" x14ac:dyDescent="0.3">
      <c r="A97" s="40"/>
      <c r="B97" s="313"/>
      <c r="C97" s="314"/>
      <c r="D97" s="323" t="s">
        <v>269</v>
      </c>
      <c r="E97" s="312"/>
      <c r="F97" s="222">
        <v>3368000000000</v>
      </c>
      <c r="G97" s="92"/>
      <c r="H97" s="220">
        <v>2878000000000</v>
      </c>
      <c r="I97" s="92"/>
      <c r="L97" s="214">
        <v>33680000000</v>
      </c>
      <c r="M97" s="214">
        <v>0</v>
      </c>
      <c r="N97" s="214">
        <v>28780000000</v>
      </c>
      <c r="O97" s="214">
        <v>0</v>
      </c>
      <c r="P97" s="214">
        <v>4900000000</v>
      </c>
      <c r="Q97" s="214">
        <v>0</v>
      </c>
    </row>
    <row r="98" spans="1:19" ht="33.75" customHeight="1" x14ac:dyDescent="0.3">
      <c r="A98" s="43"/>
      <c r="B98" s="313"/>
      <c r="C98" s="314"/>
      <c r="D98" s="323" t="s">
        <v>328</v>
      </c>
      <c r="E98" s="312"/>
      <c r="F98" s="99">
        <v>-611194616</v>
      </c>
      <c r="G98" s="100"/>
      <c r="H98" s="99">
        <v>-745250132</v>
      </c>
      <c r="I98" s="100"/>
      <c r="L98" s="214">
        <v>-6111946.1600000001</v>
      </c>
      <c r="M98" s="214">
        <v>0</v>
      </c>
      <c r="N98" s="214">
        <v>-7452501.3200000003</v>
      </c>
      <c r="O98" s="214">
        <v>0</v>
      </c>
      <c r="P98" s="214">
        <v>1340555.1600000001</v>
      </c>
      <c r="Q98" s="214">
        <v>0</v>
      </c>
    </row>
    <row r="99" spans="1:19" ht="30" hidden="1" customHeight="1" x14ac:dyDescent="0.3">
      <c r="A99" s="40"/>
      <c r="B99" s="313"/>
      <c r="C99" s="314"/>
      <c r="D99" s="323" t="s">
        <v>261</v>
      </c>
      <c r="E99" s="312"/>
      <c r="F99" s="115">
        <v>0</v>
      </c>
      <c r="G99" s="101"/>
      <c r="H99" s="220">
        <v>0</v>
      </c>
      <c r="I99" s="101"/>
      <c r="L99" s="214">
        <v>0</v>
      </c>
      <c r="M99" s="214">
        <v>0</v>
      </c>
      <c r="N99" s="214">
        <v>0</v>
      </c>
      <c r="O99" s="214">
        <v>0</v>
      </c>
      <c r="P99" s="214">
        <v>0</v>
      </c>
      <c r="Q99" s="214">
        <v>0</v>
      </c>
    </row>
    <row r="100" spans="1:19" ht="30" customHeight="1" x14ac:dyDescent="0.3">
      <c r="A100" s="40"/>
      <c r="B100" s="313"/>
      <c r="C100" s="314"/>
      <c r="D100" s="323" t="s">
        <v>458</v>
      </c>
      <c r="E100" s="312"/>
      <c r="F100" s="222">
        <v>150000000000</v>
      </c>
      <c r="G100" s="101"/>
      <c r="H100" s="220">
        <v>0</v>
      </c>
      <c r="I100" s="101"/>
      <c r="L100" s="214">
        <v>1500000000</v>
      </c>
      <c r="M100" s="214">
        <v>0</v>
      </c>
      <c r="N100" s="214">
        <v>0</v>
      </c>
      <c r="O100" s="214">
        <v>0</v>
      </c>
      <c r="P100" s="214">
        <v>1500000000</v>
      </c>
      <c r="Q100" s="214">
        <v>0</v>
      </c>
    </row>
    <row r="101" spans="1:19" ht="30" customHeight="1" x14ac:dyDescent="0.3">
      <c r="A101" s="40"/>
      <c r="B101" s="313"/>
      <c r="C101" s="314"/>
      <c r="D101" s="323" t="s">
        <v>465</v>
      </c>
      <c r="E101" s="312"/>
      <c r="F101" s="222">
        <v>157070000</v>
      </c>
      <c r="G101" s="101"/>
      <c r="H101" s="222">
        <v>15156914</v>
      </c>
      <c r="I101" s="101"/>
      <c r="L101" s="214">
        <v>1570700</v>
      </c>
      <c r="M101" s="214">
        <v>0</v>
      </c>
      <c r="N101" s="214">
        <v>151569.14000000001</v>
      </c>
      <c r="O101" s="214">
        <v>0</v>
      </c>
      <c r="P101" s="214">
        <v>1419130.8599999999</v>
      </c>
      <c r="Q101" s="214">
        <v>0</v>
      </c>
    </row>
    <row r="102" spans="1:19" ht="30" customHeight="1" x14ac:dyDescent="0.3">
      <c r="A102" s="340"/>
      <c r="B102" s="313"/>
      <c r="C102" s="314"/>
      <c r="D102" s="323" t="s">
        <v>331</v>
      </c>
      <c r="E102" s="312"/>
      <c r="F102" s="115" t="s">
        <v>553</v>
      </c>
      <c r="G102" s="102"/>
      <c r="H102" s="260" t="s">
        <v>283</v>
      </c>
      <c r="I102" s="102"/>
      <c r="L102" s="214" t="e">
        <v>#VALUE!</v>
      </c>
      <c r="M102" s="214">
        <v>0</v>
      </c>
      <c r="N102" s="214" t="e">
        <v>#VALUE!</v>
      </c>
      <c r="O102" s="214">
        <v>0</v>
      </c>
      <c r="P102" s="214" t="e">
        <v>#VALUE!</v>
      </c>
      <c r="Q102" s="214">
        <v>0</v>
      </c>
    </row>
    <row r="103" spans="1:19" ht="30" hidden="1" customHeight="1" x14ac:dyDescent="0.3">
      <c r="A103" s="40"/>
      <c r="B103" s="313"/>
      <c r="C103" s="314"/>
      <c r="D103" s="323" t="s">
        <v>459</v>
      </c>
      <c r="E103" s="312"/>
      <c r="F103" s="115">
        <v>0</v>
      </c>
      <c r="G103" s="103"/>
      <c r="H103" s="220">
        <v>0</v>
      </c>
      <c r="I103" s="103"/>
      <c r="L103" s="214">
        <v>0</v>
      </c>
      <c r="M103" s="214">
        <v>0</v>
      </c>
      <c r="N103" s="214">
        <v>0</v>
      </c>
      <c r="O103" s="214">
        <v>0</v>
      </c>
      <c r="P103" s="214">
        <v>0</v>
      </c>
      <c r="Q103" s="214">
        <v>0</v>
      </c>
    </row>
    <row r="104" spans="1:19" ht="30" customHeight="1" x14ac:dyDescent="0.3">
      <c r="A104" s="43"/>
      <c r="B104" s="313"/>
      <c r="C104" s="314"/>
      <c r="D104" s="323" t="s">
        <v>329</v>
      </c>
      <c r="E104" s="312"/>
      <c r="F104" s="94">
        <v>1313993652471</v>
      </c>
      <c r="G104" s="102"/>
      <c r="H104" s="94">
        <v>1294065785226</v>
      </c>
      <c r="I104" s="102"/>
      <c r="L104" s="214">
        <v>13139936524.709999</v>
      </c>
      <c r="M104" s="214">
        <v>0</v>
      </c>
      <c r="N104" s="214">
        <v>12940657852.26</v>
      </c>
      <c r="O104" s="214">
        <v>0</v>
      </c>
      <c r="P104" s="214">
        <v>199278672.44999886</v>
      </c>
      <c r="Q104" s="214">
        <v>0</v>
      </c>
    </row>
    <row r="105" spans="1:19" ht="30" customHeight="1" x14ac:dyDescent="0.3">
      <c r="A105" s="40"/>
      <c r="B105" s="313"/>
      <c r="C105" s="314"/>
      <c r="D105" s="323" t="s">
        <v>330</v>
      </c>
      <c r="E105" s="312"/>
      <c r="F105" s="99">
        <v>-263344770</v>
      </c>
      <c r="G105" s="104"/>
      <c r="H105" s="99">
        <v>-274569670</v>
      </c>
      <c r="I105" s="103"/>
      <c r="L105" s="214">
        <v>-2633447.7000000002</v>
      </c>
      <c r="M105" s="214">
        <v>0</v>
      </c>
      <c r="N105" s="214">
        <v>-2745696.7</v>
      </c>
      <c r="O105" s="214">
        <v>0</v>
      </c>
      <c r="P105" s="214">
        <v>112249</v>
      </c>
      <c r="Q105" s="214">
        <v>0</v>
      </c>
    </row>
    <row r="106" spans="1:19" ht="30" customHeight="1" x14ac:dyDescent="0.3">
      <c r="A106" s="40"/>
      <c r="B106" s="313"/>
      <c r="C106" s="314"/>
      <c r="D106" s="323" t="s">
        <v>445</v>
      </c>
      <c r="E106" s="312"/>
      <c r="F106" s="222">
        <v>12097703986</v>
      </c>
      <c r="G106" s="103"/>
      <c r="H106" s="222">
        <v>18404345549</v>
      </c>
      <c r="I106" s="103"/>
      <c r="L106" s="214">
        <v>120977039.86</v>
      </c>
      <c r="M106" s="214">
        <v>0</v>
      </c>
      <c r="N106" s="214">
        <v>184043455.49000001</v>
      </c>
      <c r="O106" s="214">
        <v>0</v>
      </c>
      <c r="P106" s="214">
        <v>-63066415.63000001</v>
      </c>
      <c r="Q106" s="214">
        <v>0</v>
      </c>
    </row>
    <row r="107" spans="1:19" ht="30" customHeight="1" x14ac:dyDescent="0.3">
      <c r="A107" s="40"/>
      <c r="B107" s="313"/>
      <c r="C107" s="314"/>
      <c r="D107" s="323" t="s">
        <v>332</v>
      </c>
      <c r="E107" s="312"/>
      <c r="F107" s="222">
        <v>59636557644</v>
      </c>
      <c r="G107" s="88"/>
      <c r="H107" s="222">
        <v>63610908176</v>
      </c>
      <c r="I107" s="103"/>
      <c r="L107" s="214">
        <v>596365576.44000006</v>
      </c>
      <c r="M107" s="214">
        <v>0</v>
      </c>
      <c r="N107" s="214">
        <v>636109081.75999999</v>
      </c>
      <c r="O107" s="214">
        <v>0</v>
      </c>
      <c r="P107" s="214">
        <v>-39743505.319999933</v>
      </c>
      <c r="Q107" s="214">
        <v>0</v>
      </c>
    </row>
    <row r="108" spans="1:19" s="219" customFormat="1" ht="30" customHeight="1" x14ac:dyDescent="0.3">
      <c r="A108" s="86"/>
      <c r="B108" s="315"/>
      <c r="C108" s="316"/>
      <c r="D108" s="327" t="s">
        <v>441</v>
      </c>
      <c r="E108" s="317"/>
      <c r="F108" s="222">
        <v>962276257292</v>
      </c>
      <c r="G108" s="88"/>
      <c r="H108" s="222">
        <v>962628022576</v>
      </c>
      <c r="I108" s="88"/>
      <c r="L108" s="214">
        <v>9622762572.9200001</v>
      </c>
      <c r="M108" s="214">
        <v>0</v>
      </c>
      <c r="N108" s="214">
        <v>9626280225.7600002</v>
      </c>
      <c r="O108" s="214">
        <v>0</v>
      </c>
      <c r="P108" s="214">
        <v>-3517652.8400001526</v>
      </c>
      <c r="Q108" s="214">
        <v>0</v>
      </c>
    </row>
    <row r="109" spans="1:19" s="219" customFormat="1" ht="30" customHeight="1" thickBot="1" x14ac:dyDescent="0.35">
      <c r="A109" s="89" t="s">
        <v>268</v>
      </c>
      <c r="B109" s="416" t="s">
        <v>446</v>
      </c>
      <c r="C109" s="416"/>
      <c r="D109" s="416"/>
      <c r="E109" s="328"/>
      <c r="F109" s="262"/>
      <c r="G109" s="90">
        <v>6832164397958</v>
      </c>
      <c r="H109" s="262"/>
      <c r="I109" s="90">
        <v>6556959609281</v>
      </c>
      <c r="L109" s="214">
        <v>0</v>
      </c>
      <c r="M109" s="213">
        <v>68321643979.580002</v>
      </c>
      <c r="N109" s="214">
        <v>0</v>
      </c>
      <c r="O109" s="213">
        <v>65569596092.809998</v>
      </c>
      <c r="P109" s="214">
        <v>0</v>
      </c>
      <c r="Q109" s="213">
        <v>2752047886.7700043</v>
      </c>
    </row>
    <row r="110" spans="1:19" s="219" customFormat="1" ht="30" customHeight="1" thickTop="1" x14ac:dyDescent="0.3">
      <c r="A110" s="425" t="s">
        <v>159</v>
      </c>
      <c r="B110" s="426"/>
      <c r="C110" s="426"/>
      <c r="D110" s="426"/>
      <c r="E110" s="329"/>
      <c r="F110" s="91"/>
      <c r="G110" s="92"/>
      <c r="H110" s="91"/>
      <c r="I110" s="92"/>
      <c r="L110" s="214">
        <v>0</v>
      </c>
      <c r="M110" s="214">
        <v>0</v>
      </c>
      <c r="N110" s="214">
        <v>0</v>
      </c>
      <c r="O110" s="214">
        <v>0</v>
      </c>
      <c r="P110" s="214">
        <v>0</v>
      </c>
      <c r="Q110" s="214">
        <v>0</v>
      </c>
      <c r="S110" s="117"/>
    </row>
    <row r="111" spans="1:19" s="219" customFormat="1" ht="30" customHeight="1" x14ac:dyDescent="0.3">
      <c r="A111" s="93" t="s">
        <v>262</v>
      </c>
      <c r="B111" s="424" t="s">
        <v>236</v>
      </c>
      <c r="C111" s="424"/>
      <c r="D111" s="424"/>
      <c r="E111" s="330"/>
      <c r="F111" s="91"/>
      <c r="G111" s="110">
        <v>23829918901094</v>
      </c>
      <c r="H111" s="91"/>
      <c r="I111" s="110">
        <v>23275822952094</v>
      </c>
      <c r="L111" s="214">
        <v>0</v>
      </c>
      <c r="M111" s="221">
        <v>238299189010.94</v>
      </c>
      <c r="N111" s="214">
        <v>0</v>
      </c>
      <c r="O111" s="221">
        <v>232758229520.94</v>
      </c>
      <c r="P111" s="214">
        <v>0</v>
      </c>
      <c r="Q111" s="221">
        <v>5540959490</v>
      </c>
    </row>
    <row r="112" spans="1:19" s="219" customFormat="1" ht="30" customHeight="1" x14ac:dyDescent="0.3">
      <c r="A112" s="86"/>
      <c r="B112" s="315"/>
      <c r="C112" s="316"/>
      <c r="D112" s="327" t="s">
        <v>258</v>
      </c>
      <c r="E112" s="330"/>
      <c r="F112" s="94">
        <v>23828112234754</v>
      </c>
      <c r="G112" s="92"/>
      <c r="H112" s="94">
        <v>23274016285754</v>
      </c>
      <c r="I112" s="92"/>
      <c r="L112" s="214">
        <v>238281122347.54001</v>
      </c>
      <c r="M112" s="214">
        <v>0</v>
      </c>
      <c r="N112" s="214">
        <v>232740162857.54001</v>
      </c>
      <c r="O112" s="214">
        <v>0</v>
      </c>
      <c r="P112" s="214">
        <v>5540959490</v>
      </c>
      <c r="Q112" s="214">
        <v>0</v>
      </c>
    </row>
    <row r="113" spans="1:18" s="219" customFormat="1" ht="30" customHeight="1" x14ac:dyDescent="0.3">
      <c r="A113" s="86"/>
      <c r="B113" s="315"/>
      <c r="C113" s="316"/>
      <c r="D113" s="327" t="s">
        <v>454</v>
      </c>
      <c r="E113" s="330"/>
      <c r="F113" s="95">
        <v>1806666340</v>
      </c>
      <c r="G113" s="92"/>
      <c r="H113" s="95">
        <v>1806666340</v>
      </c>
      <c r="I113" s="92"/>
      <c r="L113" s="214">
        <v>18066663.399999999</v>
      </c>
      <c r="M113" s="214">
        <v>0</v>
      </c>
      <c r="N113" s="214">
        <v>18066663.399999999</v>
      </c>
      <c r="O113" s="214">
        <v>0</v>
      </c>
      <c r="P113" s="214">
        <v>0</v>
      </c>
      <c r="Q113" s="214">
        <v>0</v>
      </c>
    </row>
    <row r="114" spans="1:18" s="219" customFormat="1" ht="30" customHeight="1" x14ac:dyDescent="0.3">
      <c r="A114" s="93" t="s">
        <v>253</v>
      </c>
      <c r="B114" s="424" t="s">
        <v>327</v>
      </c>
      <c r="C114" s="424"/>
      <c r="D114" s="424"/>
      <c r="E114" s="330"/>
      <c r="F114" s="96"/>
      <c r="G114" s="111">
        <v>3203545469685</v>
      </c>
      <c r="H114" s="96"/>
      <c r="I114" s="111">
        <v>3270662709428</v>
      </c>
      <c r="L114" s="214">
        <v>0</v>
      </c>
      <c r="M114" s="214">
        <v>32035454696.849998</v>
      </c>
      <c r="N114" s="214">
        <v>0</v>
      </c>
      <c r="O114" s="214">
        <v>32706627094.279999</v>
      </c>
      <c r="P114" s="214">
        <v>0</v>
      </c>
      <c r="Q114" s="214">
        <v>-671172397.43000031</v>
      </c>
    </row>
    <row r="115" spans="1:18" s="219" customFormat="1" ht="30" customHeight="1" x14ac:dyDescent="0.3">
      <c r="A115" s="86"/>
      <c r="B115" s="315"/>
      <c r="C115" s="316"/>
      <c r="D115" s="327" t="s">
        <v>291</v>
      </c>
      <c r="E115" s="330"/>
      <c r="F115" s="94">
        <v>122713500</v>
      </c>
      <c r="G115" s="97"/>
      <c r="H115" s="94">
        <v>101303660</v>
      </c>
      <c r="I115" s="97"/>
      <c r="L115" s="214">
        <v>1227135</v>
      </c>
      <c r="M115" s="214">
        <v>0</v>
      </c>
      <c r="N115" s="214">
        <v>1013036.6</v>
      </c>
      <c r="O115" s="214">
        <v>0</v>
      </c>
      <c r="P115" s="214">
        <v>214098.40000000002</v>
      </c>
      <c r="Q115" s="214">
        <v>0</v>
      </c>
    </row>
    <row r="116" spans="1:18" s="219" customFormat="1" ht="30" customHeight="1" x14ac:dyDescent="0.3">
      <c r="A116" s="86"/>
      <c r="B116" s="315"/>
      <c r="C116" s="316"/>
      <c r="D116" s="327" t="s">
        <v>460</v>
      </c>
      <c r="E116" s="330"/>
      <c r="F116" s="94">
        <v>3203421826251</v>
      </c>
      <c r="G116" s="97"/>
      <c r="H116" s="220">
        <v>3270560780598</v>
      </c>
      <c r="I116" s="97"/>
      <c r="L116" s="214">
        <v>32034218262.509998</v>
      </c>
      <c r="M116" s="214">
        <v>0</v>
      </c>
      <c r="N116" s="214">
        <v>32705607805.98</v>
      </c>
      <c r="O116" s="214">
        <v>0</v>
      </c>
      <c r="P116" s="214">
        <v>-671389543.47000122</v>
      </c>
      <c r="Q116" s="214">
        <v>0</v>
      </c>
    </row>
    <row r="117" spans="1:18" ht="30" customHeight="1" x14ac:dyDescent="0.3">
      <c r="A117" s="40"/>
      <c r="B117" s="316"/>
      <c r="C117" s="331"/>
      <c r="D117" s="327" t="s">
        <v>515</v>
      </c>
      <c r="E117" s="332"/>
      <c r="F117" s="218">
        <v>929934</v>
      </c>
      <c r="G117" s="105"/>
      <c r="H117" s="218">
        <v>625170</v>
      </c>
      <c r="I117" s="105"/>
      <c r="K117" s="217"/>
      <c r="L117" s="214">
        <v>9299.34</v>
      </c>
      <c r="M117" s="214">
        <v>0</v>
      </c>
      <c r="N117" s="214">
        <v>6251.7</v>
      </c>
      <c r="O117" s="214">
        <v>0</v>
      </c>
      <c r="P117" s="214">
        <v>3047.6400000000003</v>
      </c>
      <c r="Q117" s="214">
        <v>0</v>
      </c>
    </row>
    <row r="118" spans="1:18" ht="30" customHeight="1" x14ac:dyDescent="0.3">
      <c r="A118" s="43" t="s">
        <v>253</v>
      </c>
      <c r="B118" s="419" t="s">
        <v>257</v>
      </c>
      <c r="C118" s="419"/>
      <c r="D118" s="419"/>
      <c r="E118" s="311"/>
      <c r="F118" s="42"/>
      <c r="G118" s="41">
        <v>-18198053515618</v>
      </c>
      <c r="H118" s="42"/>
      <c r="I118" s="41">
        <v>-17680766273939</v>
      </c>
      <c r="K118" s="117"/>
      <c r="L118" s="214">
        <v>0</v>
      </c>
      <c r="M118" s="216">
        <v>-181980535156.17999</v>
      </c>
      <c r="N118" s="214">
        <v>0</v>
      </c>
      <c r="O118" s="216">
        <v>-176807662739.39001</v>
      </c>
      <c r="P118" s="214">
        <v>0</v>
      </c>
      <c r="Q118" s="216">
        <v>-5172872416.789978</v>
      </c>
      <c r="R118" s="215"/>
    </row>
    <row r="119" spans="1:18" ht="30" customHeight="1" x14ac:dyDescent="0.3">
      <c r="A119" s="40"/>
      <c r="B119" s="313"/>
      <c r="C119" s="314"/>
      <c r="D119" s="323" t="s">
        <v>453</v>
      </c>
      <c r="E119" s="311"/>
      <c r="F119" s="39">
        <v>-18198053515618</v>
      </c>
      <c r="G119" s="38"/>
      <c r="H119" s="39">
        <v>-17680766273939</v>
      </c>
      <c r="I119" s="38"/>
      <c r="K119" s="119"/>
      <c r="L119" s="214">
        <v>-181980535156.17999</v>
      </c>
      <c r="N119" s="214">
        <v>-176807662739.39001</v>
      </c>
      <c r="P119" s="214">
        <v>-5172872416.789978</v>
      </c>
      <c r="Q119" s="214">
        <v>0</v>
      </c>
    </row>
    <row r="120" spans="1:18" ht="30" customHeight="1" thickBot="1" x14ac:dyDescent="0.35">
      <c r="A120" s="37" t="s">
        <v>268</v>
      </c>
      <c r="B120" s="421" t="s">
        <v>462</v>
      </c>
      <c r="C120" s="421"/>
      <c r="D120" s="421"/>
      <c r="E120" s="324"/>
      <c r="F120" s="42"/>
      <c r="G120" s="36">
        <v>8835410855161</v>
      </c>
      <c r="H120" s="42"/>
      <c r="I120" s="36">
        <v>8865719387583</v>
      </c>
      <c r="L120" s="214">
        <v>0</v>
      </c>
      <c r="M120" s="213">
        <v>88354108551.610001</v>
      </c>
      <c r="N120" s="214">
        <v>0</v>
      </c>
      <c r="O120" s="213">
        <v>88657193875.830002</v>
      </c>
      <c r="P120" s="214" t="e">
        <v>#REF!</v>
      </c>
      <c r="Q120" s="213" t="e">
        <v>#REF!</v>
      </c>
    </row>
    <row r="121" spans="1:18" ht="30" customHeight="1" thickTop="1" thickBot="1" x14ac:dyDescent="0.35">
      <c r="A121" s="35" t="s">
        <v>268</v>
      </c>
      <c r="B121" s="420" t="s">
        <v>439</v>
      </c>
      <c r="C121" s="420"/>
      <c r="D121" s="420"/>
      <c r="E121" s="34"/>
      <c r="F121" s="333"/>
      <c r="G121" s="33">
        <v>15667575253119</v>
      </c>
      <c r="H121" s="333"/>
      <c r="I121" s="33">
        <v>15422678996864</v>
      </c>
      <c r="L121" s="214">
        <v>0</v>
      </c>
      <c r="M121" s="213">
        <v>156675752531.19</v>
      </c>
      <c r="N121" s="214">
        <v>0</v>
      </c>
      <c r="O121" s="213">
        <v>154226789968.64001</v>
      </c>
      <c r="P121" s="214" t="e">
        <v>#REF!</v>
      </c>
      <c r="Q121" s="213" t="e">
        <v>#REF!</v>
      </c>
    </row>
    <row r="122" spans="1:18" ht="18.75" x14ac:dyDescent="0.3">
      <c r="A122" s="31"/>
      <c r="B122" s="25"/>
      <c r="C122" s="30"/>
      <c r="D122" s="29"/>
      <c r="E122" s="27"/>
      <c r="F122" s="28"/>
      <c r="G122" s="27"/>
    </row>
    <row r="123" spans="1:18" hidden="1" x14ac:dyDescent="0.25">
      <c r="A123" s="23"/>
      <c r="B123" s="23"/>
      <c r="C123" s="24"/>
      <c r="D123" s="23"/>
      <c r="E123" s="22"/>
      <c r="F123" s="22"/>
      <c r="G123" s="112" t="b">
        <v>1</v>
      </c>
      <c r="H123" s="211"/>
      <c r="I123" s="112" t="b">
        <v>1</v>
      </c>
      <c r="J123" s="211"/>
      <c r="K123" s="212"/>
    </row>
    <row r="124" spans="1:18" ht="18.75" hidden="1" x14ac:dyDescent="0.25">
      <c r="A124" s="23"/>
      <c r="B124" s="23"/>
      <c r="C124" s="24"/>
      <c r="D124" s="26"/>
      <c r="E124" s="22"/>
      <c r="F124" s="22"/>
      <c r="G124" s="113"/>
      <c r="H124" s="211"/>
      <c r="I124" s="211"/>
      <c r="J124" s="211"/>
    </row>
    <row r="125" spans="1:18" ht="18.75" hidden="1" x14ac:dyDescent="0.25">
      <c r="A125" s="23"/>
      <c r="B125" s="23"/>
      <c r="C125" s="24"/>
      <c r="D125" s="23"/>
      <c r="E125" s="22"/>
      <c r="F125" s="22"/>
      <c r="G125" s="113">
        <v>0</v>
      </c>
      <c r="H125" s="211"/>
      <c r="I125" s="211"/>
      <c r="J125" s="211"/>
    </row>
    <row r="126" spans="1:18" ht="18.75" hidden="1" x14ac:dyDescent="0.25">
      <c r="A126" s="23"/>
      <c r="B126" s="23"/>
      <c r="C126" s="24"/>
      <c r="D126" s="23"/>
      <c r="E126" s="22"/>
      <c r="F126" s="22"/>
      <c r="G126" s="114" t="b">
        <v>1</v>
      </c>
      <c r="H126" s="211"/>
      <c r="I126" s="211" t="b">
        <v>1</v>
      </c>
      <c r="J126" s="211"/>
    </row>
    <row r="127" spans="1:18" ht="18.75" hidden="1" x14ac:dyDescent="0.25">
      <c r="A127" s="23"/>
      <c r="B127" s="23"/>
      <c r="C127" s="24"/>
      <c r="D127" s="23"/>
      <c r="E127" s="22"/>
      <c r="F127" s="22"/>
      <c r="G127" s="114"/>
      <c r="H127" s="211"/>
      <c r="I127" s="211"/>
      <c r="J127" s="211"/>
    </row>
    <row r="128" spans="1:18" ht="18.75" hidden="1" x14ac:dyDescent="0.25">
      <c r="A128" s="23"/>
      <c r="B128" s="23"/>
      <c r="C128" s="24"/>
      <c r="D128" s="23"/>
      <c r="E128" s="22"/>
      <c r="F128" s="22"/>
      <c r="G128" s="113">
        <v>0</v>
      </c>
    </row>
    <row r="129" spans="1:7" ht="18.75" hidden="1" x14ac:dyDescent="0.25">
      <c r="A129" s="23"/>
      <c r="B129" s="23"/>
      <c r="C129" s="24"/>
      <c r="D129" s="23"/>
      <c r="E129" s="22"/>
      <c r="F129" s="22"/>
      <c r="G129" s="22"/>
    </row>
    <row r="130" spans="1:7" ht="18.75" hidden="1" x14ac:dyDescent="0.25">
      <c r="A130" s="23"/>
      <c r="B130" s="23"/>
      <c r="C130" s="24"/>
      <c r="D130" s="23"/>
      <c r="E130" s="22"/>
      <c r="F130" s="22"/>
      <c r="G130" s="22"/>
    </row>
    <row r="131" spans="1:7" ht="18.75" hidden="1" x14ac:dyDescent="0.25">
      <c r="A131" s="23"/>
      <c r="B131" s="23"/>
      <c r="C131" s="24"/>
      <c r="D131" s="23"/>
      <c r="E131" s="22"/>
      <c r="F131" s="22"/>
      <c r="G131" s="22"/>
    </row>
    <row r="132" spans="1:7" ht="18.75" hidden="1" x14ac:dyDescent="0.25">
      <c r="A132" s="25"/>
      <c r="B132" s="23"/>
      <c r="C132" s="24"/>
      <c r="D132" s="23"/>
      <c r="E132" s="22"/>
      <c r="F132" s="22"/>
      <c r="G132" s="22"/>
    </row>
    <row r="133" spans="1:7" ht="18.75" x14ac:dyDescent="0.25">
      <c r="A133" s="25"/>
      <c r="B133" s="23"/>
      <c r="C133" s="24"/>
      <c r="D133" s="23"/>
      <c r="E133" s="22"/>
      <c r="F133" s="22"/>
      <c r="G133" s="22"/>
    </row>
    <row r="134" spans="1:7" ht="18.75" x14ac:dyDescent="0.25">
      <c r="A134" s="25"/>
      <c r="B134" s="23"/>
      <c r="C134" s="24"/>
      <c r="D134" s="23"/>
      <c r="E134" s="22"/>
      <c r="F134" s="22"/>
      <c r="G134" s="22"/>
    </row>
    <row r="135" spans="1:7" ht="18.75" x14ac:dyDescent="0.25">
      <c r="A135" s="25"/>
      <c r="B135" s="23"/>
      <c r="C135" s="24"/>
      <c r="D135" s="23"/>
      <c r="E135" s="22"/>
      <c r="F135" s="22"/>
      <c r="G135" s="22"/>
    </row>
    <row r="136" spans="1:7" ht="18.75" x14ac:dyDescent="0.25">
      <c r="A136" s="25"/>
      <c r="B136" s="23"/>
      <c r="C136" s="24"/>
      <c r="D136" s="23"/>
      <c r="E136" s="22"/>
      <c r="F136" s="22"/>
      <c r="G136" s="22"/>
    </row>
    <row r="137" spans="1:7" ht="18.75" x14ac:dyDescent="0.25">
      <c r="A137" s="25"/>
      <c r="B137" s="23"/>
      <c r="C137" s="24"/>
      <c r="D137" s="23"/>
      <c r="E137" s="22"/>
      <c r="F137" s="22"/>
      <c r="G137" s="22"/>
    </row>
    <row r="138" spans="1:7" ht="18.75" x14ac:dyDescent="0.25">
      <c r="A138" s="25"/>
      <c r="B138" s="23"/>
      <c r="C138" s="24"/>
      <c r="D138" s="23"/>
      <c r="E138" s="22"/>
      <c r="F138" s="22"/>
      <c r="G138" s="22"/>
    </row>
    <row r="139" spans="1:7" ht="18.75" x14ac:dyDescent="0.25">
      <c r="A139" s="25"/>
      <c r="B139" s="23"/>
      <c r="C139" s="24"/>
      <c r="D139" s="23"/>
      <c r="E139" s="22"/>
      <c r="F139" s="22"/>
      <c r="G139" s="22"/>
    </row>
    <row r="140" spans="1:7" ht="18.75" x14ac:dyDescent="0.25">
      <c r="A140" s="25"/>
      <c r="B140" s="23"/>
      <c r="C140" s="24"/>
      <c r="D140" s="23"/>
      <c r="E140" s="22"/>
      <c r="F140" s="22"/>
      <c r="G140" s="22"/>
    </row>
    <row r="141" spans="1:7" ht="18.75" x14ac:dyDescent="0.25">
      <c r="A141" s="25"/>
      <c r="B141" s="23"/>
      <c r="C141" s="24"/>
      <c r="D141" s="23"/>
      <c r="E141" s="22"/>
      <c r="F141" s="22"/>
      <c r="G141" s="22"/>
    </row>
    <row r="142" spans="1:7" ht="18.75" x14ac:dyDescent="0.25">
      <c r="A142" s="25"/>
      <c r="B142" s="23"/>
      <c r="C142" s="24"/>
      <c r="D142" s="23"/>
      <c r="E142" s="22"/>
      <c r="F142" s="22"/>
      <c r="G142" s="22"/>
    </row>
    <row r="143" spans="1:7" ht="18.75" x14ac:dyDescent="0.25">
      <c r="A143" s="25"/>
      <c r="B143" s="23"/>
      <c r="C143" s="24"/>
      <c r="D143" s="23"/>
      <c r="E143" s="22"/>
      <c r="F143" s="22"/>
      <c r="G143" s="22"/>
    </row>
    <row r="144" spans="1:7" ht="18.75" x14ac:dyDescent="0.25">
      <c r="A144" s="25"/>
      <c r="B144" s="23"/>
      <c r="C144" s="24"/>
      <c r="D144" s="23"/>
      <c r="E144" s="22"/>
      <c r="F144" s="22"/>
      <c r="G144" s="22"/>
    </row>
    <row r="145" spans="1:7" ht="18.75" x14ac:dyDescent="0.25">
      <c r="A145" s="25"/>
      <c r="B145" s="23"/>
      <c r="C145" s="24"/>
      <c r="D145" s="23"/>
      <c r="E145" s="22"/>
      <c r="F145" s="22"/>
      <c r="G145" s="22"/>
    </row>
    <row r="146" spans="1:7" ht="18.75" x14ac:dyDescent="0.25">
      <c r="A146" s="25"/>
      <c r="B146" s="23"/>
      <c r="C146" s="24"/>
      <c r="D146" s="23"/>
      <c r="E146" s="22"/>
      <c r="F146" s="22"/>
      <c r="G146" s="22"/>
    </row>
    <row r="147" spans="1:7" ht="18.75" x14ac:dyDescent="0.25">
      <c r="A147" s="25"/>
      <c r="B147" s="23"/>
      <c r="C147" s="24"/>
      <c r="D147" s="23"/>
      <c r="E147" s="22"/>
      <c r="F147" s="22"/>
      <c r="G147" s="22"/>
    </row>
    <row r="148" spans="1:7" ht="18.75" x14ac:dyDescent="0.25">
      <c r="A148" s="25"/>
      <c r="B148" s="23"/>
      <c r="C148" s="24"/>
      <c r="D148" s="23"/>
      <c r="E148" s="22"/>
      <c r="F148" s="22"/>
      <c r="G148" s="22"/>
    </row>
    <row r="149" spans="1:7" ht="18.75" x14ac:dyDescent="0.25">
      <c r="A149" s="25"/>
      <c r="B149" s="23"/>
      <c r="C149" s="24"/>
      <c r="D149" s="23"/>
      <c r="E149" s="22"/>
      <c r="F149" s="22"/>
      <c r="G149" s="22"/>
    </row>
    <row r="150" spans="1:7" ht="18.75" x14ac:dyDescent="0.25">
      <c r="A150" s="25"/>
      <c r="B150" s="23"/>
      <c r="C150" s="24"/>
      <c r="D150" s="23"/>
      <c r="E150" s="22"/>
      <c r="F150" s="22"/>
      <c r="G150" s="22"/>
    </row>
    <row r="151" spans="1:7" ht="18.75" x14ac:dyDescent="0.25">
      <c r="A151" s="25"/>
      <c r="B151" s="23"/>
      <c r="C151" s="24"/>
      <c r="D151" s="23"/>
      <c r="E151" s="22"/>
      <c r="F151" s="22"/>
      <c r="G151" s="22"/>
    </row>
    <row r="152" spans="1:7" ht="18.75" x14ac:dyDescent="0.25">
      <c r="A152" s="25"/>
      <c r="B152" s="23"/>
      <c r="C152" s="24"/>
      <c r="D152" s="23"/>
      <c r="E152" s="22"/>
      <c r="F152" s="22"/>
      <c r="G152" s="22"/>
    </row>
    <row r="153" spans="1:7" ht="18.75" x14ac:dyDescent="0.25">
      <c r="A153" s="25"/>
      <c r="B153" s="23"/>
      <c r="C153" s="24"/>
      <c r="D153" s="23"/>
      <c r="E153" s="22"/>
      <c r="F153" s="22"/>
      <c r="G153" s="22"/>
    </row>
    <row r="154" spans="1:7" ht="18.75" x14ac:dyDescent="0.25">
      <c r="A154" s="25"/>
      <c r="B154" s="23"/>
      <c r="C154" s="24"/>
      <c r="D154" s="23"/>
      <c r="E154" s="22"/>
      <c r="F154" s="22"/>
      <c r="G154" s="22"/>
    </row>
    <row r="155" spans="1:7" ht="18.75" x14ac:dyDescent="0.25">
      <c r="A155" s="25"/>
      <c r="B155" s="23"/>
      <c r="C155" s="24"/>
      <c r="D155" s="23"/>
      <c r="E155" s="22"/>
      <c r="F155" s="22"/>
      <c r="G155" s="22"/>
    </row>
    <row r="156" spans="1:7" ht="18.75" x14ac:dyDescent="0.25">
      <c r="A156" s="25"/>
      <c r="B156" s="23"/>
      <c r="C156" s="24"/>
      <c r="D156" s="23"/>
      <c r="E156" s="22"/>
      <c r="F156" s="22"/>
      <c r="G156" s="22"/>
    </row>
    <row r="157" spans="1:7" ht="18.75" x14ac:dyDescent="0.25">
      <c r="A157" s="25"/>
      <c r="B157" s="23"/>
      <c r="C157" s="24"/>
      <c r="D157" s="23"/>
      <c r="E157" s="22"/>
      <c r="F157" s="22"/>
      <c r="G157" s="22"/>
    </row>
    <row r="158" spans="1:7" ht="18.75" x14ac:dyDescent="0.25">
      <c r="A158" s="25"/>
      <c r="B158" s="23"/>
      <c r="C158" s="24"/>
      <c r="D158" s="23"/>
      <c r="E158" s="22"/>
      <c r="F158" s="22"/>
      <c r="G158" s="22"/>
    </row>
    <row r="159" spans="1:7" ht="18.75" x14ac:dyDescent="0.25">
      <c r="A159" s="25"/>
      <c r="B159" s="23"/>
      <c r="C159" s="24"/>
      <c r="D159" s="23"/>
      <c r="E159" s="22"/>
      <c r="F159" s="22"/>
      <c r="G159" s="22"/>
    </row>
    <row r="160" spans="1:7" ht="18.75" x14ac:dyDescent="0.25">
      <c r="A160" s="25"/>
      <c r="B160" s="23"/>
      <c r="C160" s="24"/>
      <c r="D160" s="23"/>
      <c r="E160" s="22"/>
      <c r="F160" s="22"/>
      <c r="G160" s="22"/>
    </row>
    <row r="161" spans="1:7" ht="18.75" x14ac:dyDescent="0.25">
      <c r="A161" s="25"/>
      <c r="B161" s="23"/>
      <c r="C161" s="24"/>
      <c r="D161" s="23"/>
      <c r="E161" s="22"/>
      <c r="F161" s="22"/>
      <c r="G161" s="22"/>
    </row>
    <row r="162" spans="1:7" ht="18.75" x14ac:dyDescent="0.25">
      <c r="A162" s="25"/>
      <c r="B162" s="23"/>
      <c r="C162" s="24"/>
      <c r="D162" s="23"/>
      <c r="E162" s="22"/>
      <c r="F162" s="22"/>
      <c r="G162" s="22"/>
    </row>
    <row r="163" spans="1:7" ht="18.75" x14ac:dyDescent="0.25">
      <c r="A163" s="25"/>
      <c r="B163" s="23"/>
      <c r="C163" s="24"/>
      <c r="D163" s="23"/>
      <c r="E163" s="22"/>
      <c r="F163" s="22"/>
      <c r="G163" s="22"/>
    </row>
    <row r="164" spans="1:7" ht="18.75" x14ac:dyDescent="0.25">
      <c r="A164" s="25"/>
      <c r="B164" s="23"/>
      <c r="C164" s="24"/>
      <c r="D164" s="23"/>
      <c r="E164" s="22"/>
      <c r="F164" s="22"/>
      <c r="G164" s="22"/>
    </row>
    <row r="165" spans="1:7" ht="18.75" x14ac:dyDescent="0.25">
      <c r="A165" s="25"/>
      <c r="B165" s="23"/>
      <c r="C165" s="24"/>
      <c r="D165" s="23"/>
      <c r="E165" s="22"/>
      <c r="F165" s="22"/>
      <c r="G165" s="22"/>
    </row>
    <row r="166" spans="1:7" ht="18.75" x14ac:dyDescent="0.25">
      <c r="A166" s="25"/>
      <c r="B166" s="23"/>
      <c r="C166" s="24"/>
      <c r="D166" s="23"/>
      <c r="E166" s="22"/>
      <c r="F166" s="22"/>
      <c r="G166" s="22"/>
    </row>
    <row r="167" spans="1:7" ht="18.75" x14ac:dyDescent="0.25">
      <c r="A167" s="25"/>
      <c r="B167" s="23"/>
      <c r="C167" s="24"/>
      <c r="D167" s="23"/>
      <c r="E167" s="22"/>
      <c r="F167" s="22"/>
      <c r="G167" s="22"/>
    </row>
    <row r="168" spans="1:7" ht="18.75" x14ac:dyDescent="0.25">
      <c r="A168" s="25"/>
      <c r="B168" s="23"/>
      <c r="C168" s="24"/>
      <c r="D168" s="23"/>
      <c r="E168" s="22"/>
      <c r="F168" s="22"/>
      <c r="G168" s="22"/>
    </row>
    <row r="169" spans="1:7" ht="18.75" x14ac:dyDescent="0.25">
      <c r="A169" s="25"/>
      <c r="B169" s="23"/>
      <c r="C169" s="24"/>
      <c r="D169" s="23"/>
      <c r="E169" s="22"/>
      <c r="F169" s="22"/>
      <c r="G169" s="22"/>
    </row>
    <row r="170" spans="1:7" ht="18.75" x14ac:dyDescent="0.25">
      <c r="A170" s="25"/>
      <c r="B170" s="23"/>
      <c r="C170" s="24"/>
      <c r="D170" s="23"/>
      <c r="E170" s="22"/>
      <c r="F170" s="22"/>
      <c r="G170" s="22"/>
    </row>
    <row r="171" spans="1:7" ht="18.75" x14ac:dyDescent="0.25">
      <c r="A171" s="25"/>
      <c r="B171" s="23"/>
      <c r="C171" s="24"/>
      <c r="D171" s="23"/>
      <c r="E171" s="22"/>
      <c r="F171" s="22"/>
      <c r="G171" s="22"/>
    </row>
    <row r="172" spans="1:7" ht="18.75" x14ac:dyDescent="0.25">
      <c r="A172" s="25"/>
      <c r="B172" s="23"/>
      <c r="C172" s="24"/>
      <c r="D172" s="23"/>
      <c r="E172" s="22"/>
      <c r="F172" s="22"/>
      <c r="G172" s="22"/>
    </row>
    <row r="173" spans="1:7" ht="18.75" x14ac:dyDescent="0.25">
      <c r="A173" s="25"/>
      <c r="B173" s="23"/>
      <c r="C173" s="24"/>
      <c r="D173" s="23"/>
      <c r="E173" s="22"/>
      <c r="F173" s="22"/>
      <c r="G173" s="22"/>
    </row>
    <row r="174" spans="1:7" ht="18.75" x14ac:dyDescent="0.25">
      <c r="A174" s="25"/>
      <c r="B174" s="23"/>
      <c r="C174" s="24"/>
      <c r="D174" s="23"/>
      <c r="E174" s="22"/>
      <c r="F174" s="22"/>
      <c r="G174" s="22"/>
    </row>
    <row r="175" spans="1:7" ht="18.75" x14ac:dyDescent="0.25">
      <c r="A175" s="25"/>
      <c r="B175" s="23"/>
      <c r="C175" s="24"/>
      <c r="D175" s="23"/>
      <c r="E175" s="22"/>
      <c r="F175" s="22"/>
      <c r="G175" s="22"/>
    </row>
    <row r="176" spans="1:7" ht="18.75" x14ac:dyDescent="0.25">
      <c r="A176" s="25"/>
      <c r="B176" s="23"/>
      <c r="C176" s="24"/>
      <c r="D176" s="23"/>
      <c r="E176" s="22"/>
      <c r="F176" s="22"/>
      <c r="G176" s="22"/>
    </row>
    <row r="177" spans="1:7" ht="18.75" x14ac:dyDescent="0.25">
      <c r="A177" s="25"/>
      <c r="B177" s="23"/>
      <c r="C177" s="24"/>
      <c r="D177" s="23"/>
      <c r="E177" s="22"/>
      <c r="F177" s="22"/>
      <c r="G177" s="22"/>
    </row>
    <row r="178" spans="1:7" ht="18.75" x14ac:dyDescent="0.25">
      <c r="A178" s="25"/>
      <c r="B178" s="23"/>
      <c r="C178" s="24"/>
      <c r="D178" s="23"/>
      <c r="E178" s="22"/>
      <c r="F178" s="22"/>
      <c r="G178" s="22"/>
    </row>
    <row r="179" spans="1:7" ht="18.75" x14ac:dyDescent="0.25">
      <c r="A179" s="25"/>
      <c r="B179" s="23"/>
      <c r="C179" s="24"/>
      <c r="D179" s="23"/>
      <c r="E179" s="22"/>
      <c r="F179" s="22"/>
      <c r="G179" s="22"/>
    </row>
    <row r="180" spans="1:7" ht="18.75" x14ac:dyDescent="0.25">
      <c r="A180" s="25"/>
      <c r="B180" s="23"/>
      <c r="C180" s="24"/>
      <c r="D180" s="23"/>
      <c r="E180" s="22"/>
      <c r="F180" s="22"/>
      <c r="G180" s="22"/>
    </row>
    <row r="181" spans="1:7" ht="18.75" x14ac:dyDescent="0.25">
      <c r="A181" s="25"/>
      <c r="B181" s="23"/>
      <c r="C181" s="24"/>
      <c r="D181" s="23"/>
      <c r="E181" s="22"/>
      <c r="F181" s="22"/>
      <c r="G181" s="22"/>
    </row>
    <row r="182" spans="1:7" ht="18.75" x14ac:dyDescent="0.25">
      <c r="A182" s="25"/>
      <c r="B182" s="23"/>
      <c r="C182" s="24"/>
      <c r="D182" s="23"/>
      <c r="E182" s="22"/>
      <c r="F182" s="22"/>
      <c r="G182" s="22"/>
    </row>
    <row r="183" spans="1:7" ht="18.75" x14ac:dyDescent="0.25">
      <c r="A183" s="25"/>
      <c r="B183" s="23"/>
      <c r="C183" s="24"/>
      <c r="D183" s="23"/>
      <c r="E183" s="22"/>
      <c r="F183" s="22"/>
      <c r="G183" s="22"/>
    </row>
    <row r="184" spans="1:7" ht="18.75" x14ac:dyDescent="0.25">
      <c r="A184" s="25"/>
      <c r="B184" s="23"/>
      <c r="C184" s="24"/>
      <c r="D184" s="23"/>
      <c r="E184" s="22"/>
      <c r="F184" s="22"/>
      <c r="G184" s="22"/>
    </row>
    <row r="185" spans="1:7" ht="18.75" x14ac:dyDescent="0.25">
      <c r="A185" s="25"/>
      <c r="B185" s="23"/>
      <c r="C185" s="24"/>
      <c r="D185" s="23"/>
      <c r="E185" s="22"/>
      <c r="F185" s="22"/>
      <c r="G185" s="22"/>
    </row>
    <row r="186" spans="1:7" ht="18.75" x14ac:dyDescent="0.25">
      <c r="A186" s="25"/>
      <c r="B186" s="23"/>
      <c r="C186" s="24"/>
      <c r="D186" s="23"/>
      <c r="E186" s="22"/>
      <c r="F186" s="22"/>
      <c r="G186" s="22"/>
    </row>
    <row r="187" spans="1:7" ht="18.75" x14ac:dyDescent="0.25">
      <c r="A187" s="25"/>
      <c r="B187" s="23"/>
      <c r="C187" s="24"/>
      <c r="D187" s="23"/>
      <c r="E187" s="22"/>
      <c r="F187" s="22"/>
      <c r="G187" s="22"/>
    </row>
    <row r="188" spans="1:7" ht="18.75" x14ac:dyDescent="0.25">
      <c r="A188" s="25"/>
      <c r="B188" s="23"/>
      <c r="C188" s="24"/>
      <c r="D188" s="23"/>
      <c r="E188" s="22"/>
      <c r="F188" s="22"/>
      <c r="G188" s="22"/>
    </row>
    <row r="189" spans="1:7" ht="18.75" x14ac:dyDescent="0.25">
      <c r="A189" s="25"/>
      <c r="B189" s="23"/>
      <c r="C189" s="24"/>
      <c r="D189" s="23"/>
      <c r="E189" s="22"/>
      <c r="F189" s="22"/>
      <c r="G189" s="22"/>
    </row>
    <row r="190" spans="1:7" ht="18.75" x14ac:dyDescent="0.25">
      <c r="A190" s="25"/>
      <c r="B190" s="23"/>
      <c r="C190" s="24"/>
      <c r="D190" s="23"/>
      <c r="E190" s="22"/>
      <c r="F190" s="22"/>
      <c r="G190" s="22"/>
    </row>
    <row r="191" spans="1:7" ht="18.75" x14ac:dyDescent="0.25">
      <c r="A191" s="25"/>
      <c r="B191" s="23"/>
      <c r="C191" s="24"/>
      <c r="D191" s="23"/>
      <c r="E191" s="22"/>
      <c r="F191" s="22"/>
      <c r="G191" s="22"/>
    </row>
    <row r="192" spans="1:7" ht="18.75" x14ac:dyDescent="0.25">
      <c r="A192" s="25"/>
      <c r="B192" s="23"/>
      <c r="C192" s="24"/>
      <c r="D192" s="23"/>
      <c r="E192" s="22"/>
      <c r="F192" s="22"/>
      <c r="G192" s="22"/>
    </row>
    <row r="193" spans="1:7" ht="18.75" x14ac:dyDescent="0.25">
      <c r="A193" s="25"/>
      <c r="B193" s="23"/>
      <c r="C193" s="24"/>
      <c r="D193" s="23"/>
      <c r="E193" s="22"/>
      <c r="F193" s="22"/>
      <c r="G193" s="22"/>
    </row>
    <row r="194" spans="1:7" ht="18.75" x14ac:dyDescent="0.25">
      <c r="A194" s="25"/>
      <c r="B194" s="23"/>
      <c r="C194" s="24"/>
      <c r="D194" s="23"/>
      <c r="E194" s="22"/>
      <c r="F194" s="22"/>
      <c r="G194" s="22"/>
    </row>
    <row r="195" spans="1:7" ht="18.75" x14ac:dyDescent="0.25">
      <c r="A195" s="25"/>
      <c r="B195" s="23"/>
      <c r="C195" s="24"/>
      <c r="D195" s="23"/>
      <c r="E195" s="22"/>
      <c r="F195" s="22"/>
      <c r="G195" s="22"/>
    </row>
    <row r="196" spans="1:7" ht="18.75" x14ac:dyDescent="0.25">
      <c r="A196" s="25"/>
      <c r="B196" s="23"/>
      <c r="C196" s="24"/>
      <c r="D196" s="23"/>
      <c r="E196" s="22"/>
      <c r="F196" s="22"/>
      <c r="G196" s="22"/>
    </row>
    <row r="197" spans="1:7" ht="18.75" x14ac:dyDescent="0.25">
      <c r="A197" s="25"/>
      <c r="B197" s="23"/>
      <c r="C197" s="24"/>
      <c r="D197" s="23"/>
      <c r="E197" s="22"/>
      <c r="F197" s="22"/>
      <c r="G197" s="22"/>
    </row>
    <row r="198" spans="1:7" ht="18.75" x14ac:dyDescent="0.25">
      <c r="A198" s="25"/>
      <c r="B198" s="23"/>
      <c r="C198" s="24"/>
      <c r="D198" s="23"/>
      <c r="E198" s="22"/>
      <c r="F198" s="22"/>
      <c r="G198" s="22"/>
    </row>
    <row r="199" spans="1:7" ht="18.75" x14ac:dyDescent="0.25">
      <c r="A199" s="25"/>
      <c r="B199" s="23"/>
      <c r="C199" s="24"/>
      <c r="D199" s="23"/>
      <c r="E199" s="22"/>
      <c r="F199" s="22"/>
      <c r="G199" s="22"/>
    </row>
  </sheetData>
  <mergeCells count="33">
    <mergeCell ref="A1:I1"/>
    <mergeCell ref="A2:I2"/>
    <mergeCell ref="A3:I3"/>
    <mergeCell ref="H6:I6"/>
    <mergeCell ref="B6:D6"/>
    <mergeCell ref="A5:D5"/>
    <mergeCell ref="F6:G6"/>
    <mergeCell ref="B96:D96"/>
    <mergeCell ref="B82:D82"/>
    <mergeCell ref="A83:D83"/>
    <mergeCell ref="B84:D84"/>
    <mergeCell ref="A77:B77"/>
    <mergeCell ref="C35:D35"/>
    <mergeCell ref="B8:D8"/>
    <mergeCell ref="A30:B30"/>
    <mergeCell ref="B29:D29"/>
    <mergeCell ref="C30:D30"/>
    <mergeCell ref="B109:D109"/>
    <mergeCell ref="A7:D7"/>
    <mergeCell ref="C9:D9"/>
    <mergeCell ref="B121:D121"/>
    <mergeCell ref="B118:D118"/>
    <mergeCell ref="B120:D120"/>
    <mergeCell ref="C69:D69"/>
    <mergeCell ref="A69:B69"/>
    <mergeCell ref="B114:D114"/>
    <mergeCell ref="B111:D111"/>
    <mergeCell ref="A9:B9"/>
    <mergeCell ref="C77:D77"/>
    <mergeCell ref="A110:D110"/>
    <mergeCell ref="A35:B35"/>
    <mergeCell ref="C26:D26"/>
    <mergeCell ref="A26:B26"/>
  </mergeCells>
  <phoneticPr fontId="109" type="noConversion"/>
  <pageMargins left="0.39370078740157483" right="0.39370078740157483" top="0.74803149606299213" bottom="0.74803149606299213" header="0.31496062992125984" footer="0.31496062992125984"/>
  <pageSetup paperSize="9" scale="49" fitToHeight="0" orientation="portrait" r:id="rId1"/>
  <rowBreaks count="2" manualBreakCount="2">
    <brk id="50" max="10" man="1"/>
    <brk id="98" max="10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rgb="FF00B0F0"/>
    <pageSetUpPr fitToPage="1"/>
  </sheetPr>
  <dimension ref="A1:AC82"/>
  <sheetViews>
    <sheetView view="pageBreakPreview" topLeftCell="A47" zoomScale="55" zoomScaleNormal="55" zoomScaleSheetLayoutView="55" workbookViewId="0">
      <selection activeCell="AD16" sqref="AD16"/>
    </sheetView>
  </sheetViews>
  <sheetFormatPr defaultRowHeight="16.5" x14ac:dyDescent="0.3"/>
  <cols>
    <col min="1" max="1" width="6.375" customWidth="1"/>
    <col min="2" max="2" width="5.125" customWidth="1"/>
    <col min="4" max="4" width="30.25" customWidth="1"/>
    <col min="5" max="5" width="4.25" customWidth="1"/>
    <col min="6" max="6" width="27.75" customWidth="1"/>
    <col min="7" max="7" width="31.25" customWidth="1"/>
    <col min="8" max="8" width="30.75" customWidth="1"/>
    <col min="9" max="9" width="32.125" customWidth="1"/>
    <col min="10" max="10" width="16" bestFit="1" customWidth="1"/>
    <col min="11" max="11" width="8.75" hidden="1" customWidth="1"/>
    <col min="12" max="12" width="21.75" hidden="1" customWidth="1"/>
    <col min="13" max="15" width="30.375" hidden="1" customWidth="1"/>
    <col min="16" max="16" width="17.625" hidden="1" customWidth="1"/>
    <col min="17" max="17" width="18.75" hidden="1" customWidth="1"/>
    <col min="18" max="19" width="15.875" hidden="1" customWidth="1"/>
    <col min="20" max="20" width="8.75" hidden="1" customWidth="1"/>
    <col min="21" max="24" width="16.75" hidden="1" customWidth="1"/>
    <col min="25" max="26" width="8.75" hidden="1" customWidth="1"/>
    <col min="27" max="27" width="12.75" hidden="1" customWidth="1"/>
    <col min="28" max="28" width="8.75" customWidth="1"/>
    <col min="29" max="29" width="14.875" customWidth="1"/>
  </cols>
  <sheetData>
    <row r="1" spans="1:27" ht="56.25" customHeight="1" x14ac:dyDescent="0.3">
      <c r="A1" s="428" t="s">
        <v>80</v>
      </c>
      <c r="B1" s="428"/>
      <c r="C1" s="428"/>
      <c r="D1" s="428"/>
      <c r="E1" s="428"/>
      <c r="F1" s="428"/>
      <c r="G1" s="428"/>
      <c r="H1" s="428"/>
      <c r="I1" s="428"/>
    </row>
    <row r="2" spans="1:27" ht="30" customHeight="1" x14ac:dyDescent="0.3">
      <c r="A2" s="429" t="s">
        <v>669</v>
      </c>
      <c r="B2" s="429"/>
      <c r="C2" s="429"/>
      <c r="D2" s="429"/>
      <c r="E2" s="429"/>
      <c r="F2" s="429"/>
      <c r="G2" s="429"/>
      <c r="H2" s="429"/>
      <c r="I2" s="429"/>
    </row>
    <row r="3" spans="1:27" ht="30" customHeight="1" x14ac:dyDescent="0.3">
      <c r="A3" s="429" t="s">
        <v>670</v>
      </c>
      <c r="B3" s="429"/>
      <c r="C3" s="429"/>
      <c r="D3" s="429"/>
      <c r="E3" s="429"/>
      <c r="F3" s="429"/>
      <c r="G3" s="429"/>
      <c r="H3" s="429"/>
      <c r="I3" s="429"/>
    </row>
    <row r="4" spans="1:27" x14ac:dyDescent="0.3">
      <c r="A4" s="437"/>
      <c r="B4" s="437"/>
      <c r="C4" s="437"/>
      <c r="D4" s="437"/>
      <c r="E4" s="437"/>
      <c r="F4" s="437"/>
      <c r="G4" s="437"/>
    </row>
    <row r="5" spans="1:27" ht="30" customHeight="1" thickBot="1" x14ac:dyDescent="0.35">
      <c r="A5" s="438" t="s">
        <v>436</v>
      </c>
      <c r="B5" s="438"/>
      <c r="C5" s="438"/>
      <c r="D5" s="438"/>
      <c r="E5" s="1"/>
      <c r="F5" s="2"/>
      <c r="G5" s="3"/>
      <c r="I5" s="3" t="s">
        <v>295</v>
      </c>
    </row>
    <row r="6" spans="1:27" ht="51" customHeight="1" x14ac:dyDescent="0.3">
      <c r="A6" s="4" t="s">
        <v>268</v>
      </c>
      <c r="B6" s="432" t="s">
        <v>297</v>
      </c>
      <c r="C6" s="432"/>
      <c r="D6" s="432"/>
      <c r="E6" s="343"/>
      <c r="F6" s="439" t="s">
        <v>565</v>
      </c>
      <c r="G6" s="431"/>
      <c r="H6" s="440" t="s">
        <v>539</v>
      </c>
      <c r="I6" s="441"/>
    </row>
    <row r="7" spans="1:27" ht="31.5" x14ac:dyDescent="0.3">
      <c r="A7" s="5" t="s">
        <v>262</v>
      </c>
      <c r="B7" s="435" t="s">
        <v>250</v>
      </c>
      <c r="C7" s="435"/>
      <c r="D7" s="435"/>
      <c r="E7" s="334"/>
      <c r="F7" s="261"/>
      <c r="G7" s="8">
        <v>1870727392171</v>
      </c>
      <c r="H7" s="244"/>
      <c r="I7" s="8">
        <v>1768373879219</v>
      </c>
      <c r="K7" t="s">
        <v>410</v>
      </c>
      <c r="L7" t="s">
        <v>285</v>
      </c>
      <c r="M7" s="78">
        <v>23222918821.369999</v>
      </c>
      <c r="N7" s="78">
        <v>21610937007.169998</v>
      </c>
      <c r="O7" s="78">
        <v>1611981814.2000008</v>
      </c>
      <c r="P7" s="79">
        <v>18707273921.709999</v>
      </c>
      <c r="Q7" s="79">
        <v>17683738792.189999</v>
      </c>
      <c r="U7" s="79">
        <v>0</v>
      </c>
      <c r="V7" s="80">
        <v>18707273921.709999</v>
      </c>
      <c r="W7" s="79">
        <v>0</v>
      </c>
      <c r="X7" s="80">
        <v>17683738792.189999</v>
      </c>
      <c r="Z7" s="79">
        <v>0</v>
      </c>
      <c r="AA7" s="80">
        <v>1023535129.5200005</v>
      </c>
    </row>
    <row r="8" spans="1:27" ht="31.5" x14ac:dyDescent="0.3">
      <c r="A8" s="9"/>
      <c r="B8" s="314" t="s">
        <v>260</v>
      </c>
      <c r="C8" s="419" t="s">
        <v>437</v>
      </c>
      <c r="D8" s="419"/>
      <c r="E8" s="312"/>
      <c r="F8" s="11"/>
      <c r="G8" s="12">
        <v>1777443369313</v>
      </c>
      <c r="H8" s="285"/>
      <c r="I8" s="12">
        <v>1685685102856</v>
      </c>
      <c r="K8" t="s">
        <v>389</v>
      </c>
      <c r="L8" s="75" t="s">
        <v>284</v>
      </c>
      <c r="M8" s="78">
        <v>28395791238.16</v>
      </c>
      <c r="N8" s="78">
        <v>28030508805.169998</v>
      </c>
      <c r="O8" s="78">
        <v>365282432.99000168</v>
      </c>
      <c r="P8" s="79">
        <v>14725475654.639999</v>
      </c>
      <c r="Q8" s="79">
        <v>14256243329.98</v>
      </c>
      <c r="U8" s="79">
        <v>0</v>
      </c>
      <c r="V8" s="80">
        <v>17774433693.130001</v>
      </c>
      <c r="W8" s="79">
        <v>0</v>
      </c>
      <c r="X8" s="80">
        <v>16856851028.559999</v>
      </c>
      <c r="Z8" s="79">
        <v>0</v>
      </c>
      <c r="AA8" s="80">
        <v>917582664.5700016</v>
      </c>
    </row>
    <row r="9" spans="1:27" ht="24" x14ac:dyDescent="0.3">
      <c r="A9" s="13"/>
      <c r="B9" s="335"/>
      <c r="C9" s="316" t="s">
        <v>267</v>
      </c>
      <c r="D9" s="342" t="s">
        <v>389</v>
      </c>
      <c r="E9" s="312"/>
      <c r="F9" s="108">
        <v>1472547565464</v>
      </c>
      <c r="G9" s="14"/>
      <c r="H9" s="293">
        <v>1425624332998</v>
      </c>
      <c r="I9" s="14"/>
      <c r="J9" s="21"/>
      <c r="K9" t="s">
        <v>387</v>
      </c>
      <c r="L9" s="75" t="s">
        <v>286</v>
      </c>
      <c r="M9" s="78">
        <v>-5172872416.7900009</v>
      </c>
      <c r="N9" s="78">
        <v>-6419571798</v>
      </c>
      <c r="O9" s="78">
        <v>1246699381.2099991</v>
      </c>
      <c r="P9" s="79">
        <v>1974480166.99</v>
      </c>
      <c r="Q9" s="79">
        <v>1709889143.3199999</v>
      </c>
      <c r="U9" s="79">
        <v>14725475654.639999</v>
      </c>
      <c r="V9" s="79">
        <v>0</v>
      </c>
      <c r="W9" s="79">
        <v>14256243329.98</v>
      </c>
      <c r="X9" s="79">
        <v>0</v>
      </c>
      <c r="Z9" s="82">
        <v>469232324.65999985</v>
      </c>
      <c r="AA9" s="79">
        <v>0</v>
      </c>
    </row>
    <row r="10" spans="1:27" ht="24" x14ac:dyDescent="0.3">
      <c r="A10" s="13"/>
      <c r="B10" s="335"/>
      <c r="C10" s="316" t="s">
        <v>248</v>
      </c>
      <c r="D10" s="342" t="s">
        <v>387</v>
      </c>
      <c r="E10" s="312"/>
      <c r="F10" s="108">
        <v>197448016699</v>
      </c>
      <c r="G10" s="14"/>
      <c r="H10" s="293">
        <v>170988914332</v>
      </c>
      <c r="I10" s="14"/>
      <c r="K10" t="s">
        <v>394</v>
      </c>
      <c r="P10" s="79">
        <v>1074477871.5</v>
      </c>
      <c r="Q10" s="79">
        <v>890718555.25999999</v>
      </c>
      <c r="U10" s="79">
        <v>1974480166.99</v>
      </c>
      <c r="V10" s="79">
        <v>0</v>
      </c>
      <c r="W10" s="79">
        <v>1709889143.3199999</v>
      </c>
      <c r="X10" s="79">
        <v>0</v>
      </c>
      <c r="Z10" s="79">
        <v>264591023.67000008</v>
      </c>
      <c r="AA10" s="79">
        <v>0</v>
      </c>
    </row>
    <row r="11" spans="1:27" ht="24" x14ac:dyDescent="0.3">
      <c r="A11" s="13"/>
      <c r="B11" s="335"/>
      <c r="C11" s="316" t="s">
        <v>263</v>
      </c>
      <c r="D11" s="342" t="s">
        <v>394</v>
      </c>
      <c r="E11" s="312"/>
      <c r="F11" s="108">
        <v>107447787150</v>
      </c>
      <c r="G11" s="14"/>
      <c r="H11" s="293">
        <v>89071855526</v>
      </c>
      <c r="I11" s="14"/>
      <c r="K11" t="s">
        <v>427</v>
      </c>
      <c r="P11" s="79">
        <v>932840228.58000004</v>
      </c>
      <c r="Q11" s="79">
        <v>826887763.63</v>
      </c>
      <c r="U11" s="79">
        <v>1074477871.5</v>
      </c>
      <c r="V11" s="79">
        <v>0</v>
      </c>
      <c r="W11" s="79">
        <v>890718555.25999999</v>
      </c>
      <c r="X11" s="79">
        <v>0</v>
      </c>
      <c r="Z11" s="79">
        <v>183759316.24000001</v>
      </c>
      <c r="AA11" s="79">
        <v>0</v>
      </c>
    </row>
    <row r="12" spans="1:27" ht="31.5" x14ac:dyDescent="0.3">
      <c r="A12" s="9"/>
      <c r="B12" s="314" t="s">
        <v>252</v>
      </c>
      <c r="C12" s="424" t="s">
        <v>427</v>
      </c>
      <c r="D12" s="424"/>
      <c r="E12" s="312"/>
      <c r="F12" s="11"/>
      <c r="G12" s="12">
        <v>93284022858</v>
      </c>
      <c r="H12" s="285"/>
      <c r="I12" s="12">
        <v>82688776363</v>
      </c>
      <c r="P12" s="79"/>
      <c r="Q12" s="79"/>
      <c r="U12" s="79">
        <v>0</v>
      </c>
      <c r="V12" s="80">
        <v>932840228.58000004</v>
      </c>
      <c r="W12" s="79">
        <v>0</v>
      </c>
      <c r="X12" s="81">
        <v>826887763.63</v>
      </c>
      <c r="Z12" s="79">
        <v>0</v>
      </c>
      <c r="AA12" s="81">
        <v>105952464.95000005</v>
      </c>
    </row>
    <row r="13" spans="1:27" ht="24" hidden="1" x14ac:dyDescent="0.3">
      <c r="A13" s="13"/>
      <c r="B13" s="335"/>
      <c r="C13" s="316" t="s">
        <v>267</v>
      </c>
      <c r="D13" s="342" t="s">
        <v>389</v>
      </c>
      <c r="E13" s="311"/>
      <c r="F13" s="11">
        <v>0</v>
      </c>
      <c r="G13" s="14"/>
      <c r="H13" s="285">
        <v>0</v>
      </c>
      <c r="I13" s="14"/>
      <c r="K13" t="s">
        <v>411</v>
      </c>
      <c r="P13" s="79">
        <v>4515644899.6599998</v>
      </c>
      <c r="Q13" s="79">
        <v>3927198214.98</v>
      </c>
      <c r="U13" s="79">
        <v>0</v>
      </c>
      <c r="V13" s="79">
        <v>0</v>
      </c>
      <c r="W13" s="79">
        <v>0</v>
      </c>
      <c r="X13" s="79">
        <v>0</v>
      </c>
      <c r="Z13" s="79">
        <v>0</v>
      </c>
      <c r="AA13" s="79">
        <v>0</v>
      </c>
    </row>
    <row r="14" spans="1:27" ht="24" hidden="1" x14ac:dyDescent="0.3">
      <c r="A14" s="13"/>
      <c r="B14" s="335"/>
      <c r="C14" s="316" t="s">
        <v>248</v>
      </c>
      <c r="D14" s="342" t="s">
        <v>387</v>
      </c>
      <c r="E14" s="312"/>
      <c r="F14" s="11">
        <v>0</v>
      </c>
      <c r="G14" s="15"/>
      <c r="H14" s="285">
        <v>0</v>
      </c>
      <c r="I14" s="15"/>
      <c r="K14" t="s">
        <v>419</v>
      </c>
      <c r="P14" s="79">
        <v>113785632.33</v>
      </c>
      <c r="Q14" s="79">
        <v>78644529.319999993</v>
      </c>
      <c r="U14" s="79">
        <v>0</v>
      </c>
      <c r="V14" s="79">
        <v>0</v>
      </c>
      <c r="W14" s="79">
        <v>0</v>
      </c>
      <c r="X14" s="79">
        <v>0</v>
      </c>
      <c r="Z14" s="79">
        <v>0</v>
      </c>
      <c r="AA14" s="79">
        <v>0</v>
      </c>
    </row>
    <row r="15" spans="1:27" ht="24" hidden="1" x14ac:dyDescent="0.3">
      <c r="A15" s="13"/>
      <c r="B15" s="335"/>
      <c r="C15" s="316" t="s">
        <v>263</v>
      </c>
      <c r="D15" s="342" t="s">
        <v>394</v>
      </c>
      <c r="E15" s="312"/>
      <c r="F15" s="11">
        <v>0</v>
      </c>
      <c r="G15" s="15"/>
      <c r="H15" s="285">
        <v>0</v>
      </c>
      <c r="I15" s="15"/>
      <c r="K15" t="s">
        <v>407</v>
      </c>
      <c r="P15" s="79">
        <v>552842918.41999996</v>
      </c>
      <c r="Q15" s="79">
        <v>273037618.61000001</v>
      </c>
      <c r="U15" s="79">
        <v>0</v>
      </c>
      <c r="V15" s="79">
        <v>0</v>
      </c>
      <c r="W15" s="79">
        <v>0</v>
      </c>
      <c r="X15" s="79">
        <v>0</v>
      </c>
      <c r="Z15" s="79">
        <v>0</v>
      </c>
      <c r="AA15" s="79">
        <v>0</v>
      </c>
    </row>
    <row r="16" spans="1:27" ht="24" customHeight="1" x14ac:dyDescent="0.3">
      <c r="A16" s="13"/>
      <c r="B16" s="335"/>
      <c r="C16" s="419" t="s">
        <v>395</v>
      </c>
      <c r="D16" s="419"/>
      <c r="E16" s="311"/>
      <c r="F16" s="269">
        <v>93284022858</v>
      </c>
      <c r="G16" s="12"/>
      <c r="H16" s="293">
        <v>82688776363</v>
      </c>
      <c r="I16" s="12"/>
      <c r="K16" t="s">
        <v>245</v>
      </c>
      <c r="P16" s="79">
        <v>3224140198.9099998</v>
      </c>
      <c r="Q16" s="79" t="e">
        <v>#REF!</v>
      </c>
      <c r="U16" s="79">
        <v>932840228.58000004</v>
      </c>
      <c r="V16" s="79">
        <v>0</v>
      </c>
      <c r="W16" s="79">
        <v>826887763.63</v>
      </c>
      <c r="X16" s="79">
        <v>0</v>
      </c>
      <c r="Z16" s="79">
        <v>105952464.95000005</v>
      </c>
      <c r="AA16" s="79">
        <v>0</v>
      </c>
    </row>
    <row r="17" spans="1:29" ht="31.5" x14ac:dyDescent="0.3">
      <c r="A17" s="5" t="s">
        <v>253</v>
      </c>
      <c r="B17" s="435" t="s">
        <v>432</v>
      </c>
      <c r="C17" s="435"/>
      <c r="D17" s="435"/>
      <c r="E17" s="334"/>
      <c r="F17" s="7"/>
      <c r="G17" s="8">
        <v>2553455761808</v>
      </c>
      <c r="H17" s="268"/>
      <c r="I17" s="8">
        <v>2492844458286</v>
      </c>
      <c r="U17" s="79">
        <v>0</v>
      </c>
      <c r="V17" s="80">
        <v>25534557618.080002</v>
      </c>
      <c r="W17" s="79">
        <v>0</v>
      </c>
      <c r="X17" s="80">
        <v>24928444582.860001</v>
      </c>
      <c r="Y17" s="80"/>
      <c r="Z17" s="79">
        <v>0</v>
      </c>
      <c r="AA17" s="80">
        <v>606113035.22000122</v>
      </c>
    </row>
    <row r="18" spans="1:29" ht="24" x14ac:dyDescent="0.3">
      <c r="A18" s="9"/>
      <c r="B18" s="314" t="s">
        <v>260</v>
      </c>
      <c r="C18" s="419" t="s">
        <v>428</v>
      </c>
      <c r="D18" s="419"/>
      <c r="E18" s="312"/>
      <c r="F18" s="11">
        <v>2460171738950</v>
      </c>
      <c r="G18" s="12"/>
      <c r="H18" s="285">
        <v>2410155681923</v>
      </c>
      <c r="I18" s="12"/>
      <c r="U18" s="79">
        <v>24601717389.5</v>
      </c>
      <c r="V18" s="79">
        <v>0</v>
      </c>
      <c r="W18" s="79">
        <v>24101556819.23</v>
      </c>
      <c r="X18" s="79">
        <v>0</v>
      </c>
      <c r="Y18" s="79"/>
      <c r="Z18" s="79">
        <v>500160570.27000046</v>
      </c>
      <c r="AA18" s="79">
        <v>0</v>
      </c>
    </row>
    <row r="19" spans="1:29" ht="24" x14ac:dyDescent="0.3">
      <c r="A19" s="9"/>
      <c r="B19" s="314" t="s">
        <v>252</v>
      </c>
      <c r="C19" s="419" t="s">
        <v>429</v>
      </c>
      <c r="D19" s="419"/>
      <c r="E19" s="312"/>
      <c r="F19" s="11">
        <v>93284022858</v>
      </c>
      <c r="G19" s="12"/>
      <c r="H19" s="285">
        <v>82688776363</v>
      </c>
      <c r="I19" s="12"/>
      <c r="K19" t="s">
        <v>293</v>
      </c>
      <c r="P19" s="79">
        <v>27159285361</v>
      </c>
      <c r="Q19" s="79">
        <v>27028872640.869999</v>
      </c>
      <c r="U19" s="79">
        <v>932840228.58000004</v>
      </c>
      <c r="V19" s="79">
        <v>0</v>
      </c>
      <c r="W19" s="79">
        <v>826887763.63</v>
      </c>
      <c r="X19" s="79">
        <v>0</v>
      </c>
      <c r="Y19" s="79"/>
      <c r="Z19" s="79">
        <v>105952464.95000005</v>
      </c>
      <c r="AA19" s="79">
        <v>0</v>
      </c>
    </row>
    <row r="20" spans="1:29" ht="31.5" hidden="1" customHeight="1" x14ac:dyDescent="0.3">
      <c r="A20" s="9"/>
      <c r="B20" s="314"/>
      <c r="C20" s="336" t="s">
        <v>267</v>
      </c>
      <c r="D20" s="337" t="s">
        <v>288</v>
      </c>
      <c r="E20" s="338"/>
      <c r="F20" s="76"/>
      <c r="G20" s="77"/>
      <c r="H20" s="286"/>
      <c r="I20" s="77"/>
      <c r="P20" s="79"/>
      <c r="Q20" s="79"/>
      <c r="U20" s="79">
        <v>0</v>
      </c>
      <c r="V20" s="80">
        <v>0</v>
      </c>
      <c r="W20" s="79">
        <v>0</v>
      </c>
      <c r="X20" s="80">
        <v>0</v>
      </c>
      <c r="Y20" s="80"/>
      <c r="Z20" s="79">
        <v>0</v>
      </c>
      <c r="AA20" s="80">
        <v>0</v>
      </c>
    </row>
    <row r="21" spans="1:29" ht="31.5" hidden="1" customHeight="1" x14ac:dyDescent="0.3">
      <c r="A21" s="9"/>
      <c r="B21" s="314"/>
      <c r="C21" s="336" t="s">
        <v>248</v>
      </c>
      <c r="D21" s="337" t="s">
        <v>140</v>
      </c>
      <c r="E21" s="338"/>
      <c r="F21" s="76"/>
      <c r="G21" s="77"/>
      <c r="H21" s="286"/>
      <c r="I21" s="77"/>
      <c r="P21" s="79"/>
      <c r="Q21" s="79"/>
      <c r="U21" s="79">
        <v>0</v>
      </c>
      <c r="V21" s="80">
        <v>0</v>
      </c>
      <c r="W21" s="79">
        <v>0</v>
      </c>
      <c r="X21" s="80">
        <v>0</v>
      </c>
      <c r="Y21" s="80"/>
      <c r="Z21" s="79">
        <v>0</v>
      </c>
      <c r="AA21" s="80">
        <v>0</v>
      </c>
    </row>
    <row r="22" spans="1:29" ht="31.5" hidden="1" customHeight="1" x14ac:dyDescent="0.3">
      <c r="A22" s="9"/>
      <c r="B22" s="314"/>
      <c r="C22" s="336" t="s">
        <v>263</v>
      </c>
      <c r="D22" s="337" t="s">
        <v>289</v>
      </c>
      <c r="E22" s="338"/>
      <c r="F22" s="76"/>
      <c r="G22" s="77"/>
      <c r="H22" s="286"/>
      <c r="I22" s="77"/>
      <c r="P22" s="79"/>
      <c r="Q22" s="79"/>
      <c r="U22" s="79">
        <v>0</v>
      </c>
      <c r="V22" s="80">
        <v>0</v>
      </c>
      <c r="W22" s="79">
        <v>0</v>
      </c>
      <c r="X22" s="80">
        <v>0</v>
      </c>
      <c r="Y22" s="80"/>
      <c r="Z22" s="79">
        <v>0</v>
      </c>
      <c r="AA22" s="80">
        <v>0</v>
      </c>
    </row>
    <row r="23" spans="1:29" ht="31.5" x14ac:dyDescent="0.3">
      <c r="A23" s="5" t="s">
        <v>426</v>
      </c>
      <c r="B23" s="435" t="s">
        <v>298</v>
      </c>
      <c r="C23" s="435"/>
      <c r="D23" s="435"/>
      <c r="E23" s="334"/>
      <c r="F23" s="7"/>
      <c r="G23" s="16">
        <v>-682728369637</v>
      </c>
      <c r="H23" s="268"/>
      <c r="I23" s="16">
        <v>-724470579067</v>
      </c>
      <c r="K23" t="s">
        <v>276</v>
      </c>
      <c r="P23" s="79">
        <v>12202405881.959999</v>
      </c>
      <c r="Q23" s="79">
        <v>13148714630.84</v>
      </c>
      <c r="R23" s="56">
        <v>12202405881.959999</v>
      </c>
      <c r="S23" s="56">
        <v>13148714630.84</v>
      </c>
      <c r="U23" s="79">
        <v>0</v>
      </c>
      <c r="V23" s="80">
        <v>-6827283696.3699999</v>
      </c>
      <c r="W23" s="79">
        <v>0</v>
      </c>
      <c r="X23" s="80">
        <v>-7244705790.6700001</v>
      </c>
      <c r="Y23" s="80"/>
      <c r="Z23" s="79">
        <v>0</v>
      </c>
      <c r="AA23" s="80">
        <v>417422094.30000019</v>
      </c>
    </row>
    <row r="24" spans="1:29" ht="31.5" x14ac:dyDescent="0.3">
      <c r="A24" s="5" t="s">
        <v>246</v>
      </c>
      <c r="B24" s="435" t="s">
        <v>430</v>
      </c>
      <c r="C24" s="435"/>
      <c r="D24" s="435"/>
      <c r="E24" s="334"/>
      <c r="F24" s="7"/>
      <c r="G24" s="8">
        <v>162472774292</v>
      </c>
      <c r="H24" s="268"/>
      <c r="I24" s="8">
        <v>210042805801</v>
      </c>
      <c r="K24" t="s">
        <v>278</v>
      </c>
      <c r="P24" s="79">
        <v>14024039250.459999</v>
      </c>
      <c r="Q24" s="79">
        <v>13053270246.4</v>
      </c>
      <c r="R24" s="56">
        <v>14024039250.459999</v>
      </c>
      <c r="S24" s="56">
        <v>13053270246.4</v>
      </c>
      <c r="U24" s="79">
        <v>0</v>
      </c>
      <c r="V24" s="80">
        <v>1624727742.9200001</v>
      </c>
      <c r="W24" s="79">
        <v>0</v>
      </c>
      <c r="X24" s="80">
        <v>2100428058.01</v>
      </c>
      <c r="Y24" s="80"/>
      <c r="Z24" s="79">
        <v>0</v>
      </c>
      <c r="AA24" s="80">
        <v>-475700315.08999991</v>
      </c>
    </row>
    <row r="25" spans="1:29" ht="24" x14ac:dyDescent="0.3">
      <c r="A25" s="9"/>
      <c r="B25" s="314"/>
      <c r="C25" s="419" t="s">
        <v>241</v>
      </c>
      <c r="D25" s="419"/>
      <c r="E25" s="312"/>
      <c r="F25" s="11">
        <v>62563016685</v>
      </c>
      <c r="G25" s="12"/>
      <c r="H25" s="285">
        <v>61480965756</v>
      </c>
      <c r="I25" s="12"/>
      <c r="K25" t="s">
        <v>292</v>
      </c>
      <c r="P25" s="79">
        <v>932840228.58000004</v>
      </c>
      <c r="Q25" s="79">
        <v>826887763.63</v>
      </c>
      <c r="U25" s="79">
        <v>625630166.85000002</v>
      </c>
      <c r="V25" s="79">
        <v>0</v>
      </c>
      <c r="W25" s="79">
        <v>614809657.55999994</v>
      </c>
      <c r="X25" s="79">
        <v>0</v>
      </c>
      <c r="Y25" s="79"/>
      <c r="Z25" s="79">
        <v>10820509.290000081</v>
      </c>
      <c r="AA25" s="79">
        <v>0</v>
      </c>
      <c r="AC25" s="21"/>
    </row>
    <row r="26" spans="1:29" ht="24" x14ac:dyDescent="0.3">
      <c r="A26" s="9"/>
      <c r="B26" s="314"/>
      <c r="C26" s="436" t="s">
        <v>396</v>
      </c>
      <c r="D26" s="436"/>
      <c r="E26" s="312"/>
      <c r="F26" s="11">
        <v>6259269090</v>
      </c>
      <c r="G26" s="12"/>
      <c r="H26" s="285">
        <v>11276347610</v>
      </c>
      <c r="I26" s="12"/>
      <c r="P26" s="79"/>
      <c r="Q26" s="79"/>
      <c r="U26" s="79">
        <v>62592690.899999999</v>
      </c>
      <c r="V26" s="79">
        <v>0</v>
      </c>
      <c r="W26" s="79">
        <v>112763476.09999999</v>
      </c>
      <c r="X26" s="79">
        <v>0</v>
      </c>
      <c r="Y26" s="79"/>
      <c r="Z26" s="79">
        <v>-50170785.199999996</v>
      </c>
      <c r="AA26" s="79">
        <v>0</v>
      </c>
      <c r="AC26" s="21"/>
    </row>
    <row r="27" spans="1:29" ht="24" x14ac:dyDescent="0.3">
      <c r="A27" s="9"/>
      <c r="B27" s="314"/>
      <c r="C27" s="419" t="s">
        <v>390</v>
      </c>
      <c r="D27" s="419"/>
      <c r="E27" s="312"/>
      <c r="F27" s="11">
        <v>10082863973</v>
      </c>
      <c r="G27" s="12"/>
      <c r="H27" s="285">
        <v>9502126149</v>
      </c>
      <c r="I27" s="12"/>
      <c r="K27" t="s">
        <v>435</v>
      </c>
      <c r="P27" s="79">
        <v>1236505877.1600001</v>
      </c>
      <c r="Q27" s="79">
        <v>1001636164.3</v>
      </c>
      <c r="U27" s="79">
        <v>100828639.73</v>
      </c>
      <c r="V27" s="79">
        <v>0</v>
      </c>
      <c r="W27" s="79">
        <v>95021261.489999995</v>
      </c>
      <c r="X27" s="79">
        <v>0</v>
      </c>
      <c r="Y27" s="79"/>
      <c r="Z27" s="79">
        <v>5807378.2400000095</v>
      </c>
      <c r="AA27" s="79">
        <v>0</v>
      </c>
      <c r="AC27" s="21"/>
    </row>
    <row r="28" spans="1:29" ht="24" x14ac:dyDescent="0.3">
      <c r="A28" s="9"/>
      <c r="B28" s="314"/>
      <c r="C28" s="419" t="s">
        <v>401</v>
      </c>
      <c r="D28" s="419"/>
      <c r="E28" s="312"/>
      <c r="F28" s="11">
        <v>91237874</v>
      </c>
      <c r="G28" s="12"/>
      <c r="H28" s="285">
        <v>117265053</v>
      </c>
      <c r="I28" s="12"/>
      <c r="K28" t="s">
        <v>408</v>
      </c>
      <c r="P28" s="79">
        <v>1053870704.8200001</v>
      </c>
      <c r="Q28" s="79">
        <v>847490606.55999994</v>
      </c>
      <c r="U28" s="79">
        <v>912378.74</v>
      </c>
      <c r="V28" s="79">
        <v>0</v>
      </c>
      <c r="W28" s="79">
        <v>1172650.53</v>
      </c>
      <c r="X28" s="79">
        <v>0</v>
      </c>
      <c r="Y28" s="79"/>
      <c r="Z28" s="79">
        <v>-260271.79000000004</v>
      </c>
      <c r="AA28" s="79">
        <v>0</v>
      </c>
      <c r="AC28" s="21"/>
    </row>
    <row r="29" spans="1:29" ht="24" customHeight="1" x14ac:dyDescent="0.3">
      <c r="A29" s="9"/>
      <c r="B29" s="314"/>
      <c r="C29" s="419" t="s">
        <v>397</v>
      </c>
      <c r="D29" s="419"/>
      <c r="E29" s="312"/>
      <c r="F29" s="11">
        <v>1428730770</v>
      </c>
      <c r="G29" s="12"/>
      <c r="H29" s="285">
        <v>1077756889</v>
      </c>
      <c r="I29" s="12"/>
      <c r="K29" t="s">
        <v>242</v>
      </c>
      <c r="P29" s="79">
        <v>182635172.34</v>
      </c>
      <c r="Q29" s="79">
        <v>154145557.74000001</v>
      </c>
      <c r="U29" s="79">
        <v>14287307.699999999</v>
      </c>
      <c r="V29" s="79">
        <v>0</v>
      </c>
      <c r="W29" s="79">
        <v>10777568.890000001</v>
      </c>
      <c r="X29" s="79">
        <v>0</v>
      </c>
      <c r="Y29" s="79"/>
      <c r="Z29" s="79">
        <v>3509738.8099999987</v>
      </c>
      <c r="AA29" s="79">
        <v>0</v>
      </c>
      <c r="AC29" s="21"/>
    </row>
    <row r="30" spans="1:29" ht="24" x14ac:dyDescent="0.3">
      <c r="A30" s="9"/>
      <c r="B30" s="314"/>
      <c r="C30" s="419" t="s">
        <v>388</v>
      </c>
      <c r="D30" s="419"/>
      <c r="E30" s="312"/>
      <c r="F30" s="11">
        <v>273506369</v>
      </c>
      <c r="G30" s="12"/>
      <c r="H30" s="285">
        <v>215962420</v>
      </c>
      <c r="I30" s="12"/>
      <c r="U30" s="79">
        <v>2735063.69</v>
      </c>
      <c r="V30" s="79">
        <v>0</v>
      </c>
      <c r="W30" s="79">
        <v>2159624.2000000002</v>
      </c>
      <c r="X30" s="79">
        <v>0</v>
      </c>
      <c r="Y30" s="79"/>
      <c r="Z30" s="79">
        <v>575439.48999999976</v>
      </c>
      <c r="AA30" s="79">
        <v>0</v>
      </c>
      <c r="AC30" s="21"/>
    </row>
    <row r="31" spans="1:29" ht="24" x14ac:dyDescent="0.3">
      <c r="A31" s="9"/>
      <c r="B31" s="314"/>
      <c r="C31" s="419" t="s">
        <v>400</v>
      </c>
      <c r="D31" s="419"/>
      <c r="E31" s="312"/>
      <c r="F31" s="11">
        <v>196233500</v>
      </c>
      <c r="G31" s="12"/>
      <c r="H31" s="285">
        <v>192238619</v>
      </c>
      <c r="I31" s="12"/>
      <c r="U31" s="79">
        <v>1962335</v>
      </c>
      <c r="V31" s="79">
        <v>0</v>
      </c>
      <c r="W31" s="79">
        <v>1922386.19</v>
      </c>
      <c r="X31" s="79">
        <v>0</v>
      </c>
      <c r="Y31" s="79"/>
      <c r="Z31" s="79">
        <v>39948.810000000056</v>
      </c>
      <c r="AA31" s="79">
        <v>0</v>
      </c>
      <c r="AC31" s="21"/>
    </row>
    <row r="32" spans="1:29" ht="24" x14ac:dyDescent="0.3">
      <c r="A32" s="9"/>
      <c r="B32" s="314"/>
      <c r="C32" s="419" t="s">
        <v>391</v>
      </c>
      <c r="D32" s="419"/>
      <c r="E32" s="312"/>
      <c r="F32" s="11">
        <v>249444231</v>
      </c>
      <c r="G32" s="12"/>
      <c r="H32" s="285">
        <v>232045369</v>
      </c>
      <c r="I32" s="12"/>
      <c r="U32" s="79">
        <v>2494442.31</v>
      </c>
      <c r="V32" s="79">
        <v>0</v>
      </c>
      <c r="W32" s="79">
        <v>2320453.69</v>
      </c>
      <c r="X32" s="79">
        <v>0</v>
      </c>
      <c r="Y32" s="79"/>
      <c r="Z32" s="79">
        <v>173988.62000000011</v>
      </c>
      <c r="AA32" s="79">
        <v>0</v>
      </c>
      <c r="AC32" s="21"/>
    </row>
    <row r="33" spans="1:29" ht="24" x14ac:dyDescent="0.3">
      <c r="A33" s="9"/>
      <c r="B33" s="314"/>
      <c r="C33" s="419" t="s">
        <v>244</v>
      </c>
      <c r="D33" s="419"/>
      <c r="E33" s="312"/>
      <c r="F33" s="11">
        <v>133110533</v>
      </c>
      <c r="G33" s="12"/>
      <c r="H33" s="285">
        <v>119466635</v>
      </c>
      <c r="I33" s="12"/>
      <c r="U33" s="79">
        <v>1331105.33</v>
      </c>
      <c r="V33" s="79">
        <v>0</v>
      </c>
      <c r="W33" s="79">
        <v>1194666.3500000001</v>
      </c>
      <c r="X33" s="79">
        <v>0</v>
      </c>
      <c r="Y33" s="79"/>
      <c r="Z33" s="79">
        <v>136438.97999999998</v>
      </c>
      <c r="AA33" s="79">
        <v>0</v>
      </c>
      <c r="AC33" s="21"/>
    </row>
    <row r="34" spans="1:29" ht="24" x14ac:dyDescent="0.3">
      <c r="A34" s="9"/>
      <c r="B34" s="314"/>
      <c r="C34" s="419" t="s">
        <v>399</v>
      </c>
      <c r="D34" s="419"/>
      <c r="E34" s="312"/>
      <c r="F34" s="11">
        <v>6598800513</v>
      </c>
      <c r="G34" s="12"/>
      <c r="H34" s="285">
        <v>4937939841</v>
      </c>
      <c r="I34" s="12"/>
      <c r="U34" s="79">
        <v>65988005.130000003</v>
      </c>
      <c r="V34" s="79">
        <v>0</v>
      </c>
      <c r="W34" s="79">
        <v>49379398.409999996</v>
      </c>
      <c r="X34" s="79">
        <v>0</v>
      </c>
      <c r="Y34" s="79"/>
      <c r="Z34" s="79">
        <v>16608606.720000006</v>
      </c>
      <c r="AA34" s="79">
        <v>0</v>
      </c>
      <c r="AC34" s="21"/>
    </row>
    <row r="35" spans="1:29" ht="24" x14ac:dyDescent="0.3">
      <c r="A35" s="9"/>
      <c r="B35" s="314"/>
      <c r="C35" s="419" t="s">
        <v>392</v>
      </c>
      <c r="D35" s="419"/>
      <c r="E35" s="312"/>
      <c r="F35" s="11">
        <v>2245900427</v>
      </c>
      <c r="G35" s="12"/>
      <c r="H35" s="285">
        <v>3054764625</v>
      </c>
      <c r="I35" s="12"/>
      <c r="U35" s="79">
        <v>22459004.27</v>
      </c>
      <c r="V35" s="79">
        <v>0</v>
      </c>
      <c r="W35" s="79">
        <v>30547646.25</v>
      </c>
      <c r="X35" s="79">
        <v>0</v>
      </c>
      <c r="Y35" s="79"/>
      <c r="Z35" s="79">
        <v>-8088641.9800000004</v>
      </c>
      <c r="AA35" s="79">
        <v>0</v>
      </c>
      <c r="AC35" s="21"/>
    </row>
    <row r="36" spans="1:29" ht="24" x14ac:dyDescent="0.3">
      <c r="A36" s="9"/>
      <c r="B36" s="314"/>
      <c r="C36" s="419" t="s">
        <v>398</v>
      </c>
      <c r="D36" s="419"/>
      <c r="E36" s="312"/>
      <c r="F36" s="11">
        <v>542802734</v>
      </c>
      <c r="G36" s="12"/>
      <c r="H36" s="285">
        <v>516004138</v>
      </c>
      <c r="I36" s="12"/>
      <c r="U36" s="79">
        <v>5428027.3399999999</v>
      </c>
      <c r="V36" s="79">
        <v>0</v>
      </c>
      <c r="W36" s="79">
        <v>5160041.38</v>
      </c>
      <c r="X36" s="79">
        <v>0</v>
      </c>
      <c r="Y36" s="79"/>
      <c r="Z36" s="79">
        <v>267985.95999999996</v>
      </c>
      <c r="AA36" s="79">
        <v>0</v>
      </c>
      <c r="AC36" s="21"/>
    </row>
    <row r="37" spans="1:29" ht="24" x14ac:dyDescent="0.3">
      <c r="A37" s="9"/>
      <c r="B37" s="314"/>
      <c r="C37" s="419" t="s">
        <v>418</v>
      </c>
      <c r="D37" s="419"/>
      <c r="E37" s="312"/>
      <c r="F37" s="11">
        <v>16537350</v>
      </c>
      <c r="G37" s="12"/>
      <c r="H37" s="285">
        <v>14275939</v>
      </c>
      <c r="I37" s="12"/>
      <c r="U37" s="79">
        <v>165373.5</v>
      </c>
      <c r="V37" s="79">
        <v>0</v>
      </c>
      <c r="W37" s="79">
        <v>142759.39000000001</v>
      </c>
      <c r="X37" s="79">
        <v>0</v>
      </c>
      <c r="Y37" s="79"/>
      <c r="Z37" s="79">
        <v>22614.109999999986</v>
      </c>
      <c r="AA37" s="79">
        <v>0</v>
      </c>
      <c r="AC37" s="21"/>
    </row>
    <row r="38" spans="1:29" ht="24" x14ac:dyDescent="0.3">
      <c r="A38" s="9"/>
      <c r="B38" s="314"/>
      <c r="C38" s="419" t="s">
        <v>243</v>
      </c>
      <c r="D38" s="419"/>
      <c r="E38" s="312"/>
      <c r="F38" s="11">
        <v>13347892</v>
      </c>
      <c r="G38" s="12"/>
      <c r="H38" s="285">
        <v>10334968</v>
      </c>
      <c r="I38" s="12"/>
      <c r="U38" s="79">
        <v>133478.92000000001</v>
      </c>
      <c r="V38" s="79">
        <v>0</v>
      </c>
      <c r="W38" s="79">
        <v>103349.68</v>
      </c>
      <c r="X38" s="79">
        <v>0</v>
      </c>
      <c r="Y38" s="79"/>
      <c r="Z38" s="79">
        <v>30129.24000000002</v>
      </c>
      <c r="AA38" s="79">
        <v>0</v>
      </c>
      <c r="AC38" s="21"/>
    </row>
    <row r="39" spans="1:29" ht="24" x14ac:dyDescent="0.3">
      <c r="A39" s="9"/>
      <c r="B39" s="314"/>
      <c r="C39" s="419" t="s">
        <v>402</v>
      </c>
      <c r="D39" s="419"/>
      <c r="E39" s="312"/>
      <c r="F39" s="11">
        <v>10146580085</v>
      </c>
      <c r="G39" s="12"/>
      <c r="H39" s="285">
        <v>10939276498</v>
      </c>
      <c r="I39" s="12"/>
      <c r="U39" s="79">
        <v>101465800.84999999</v>
      </c>
      <c r="V39" s="79">
        <v>0</v>
      </c>
      <c r="W39" s="79">
        <v>109392764.98</v>
      </c>
      <c r="X39" s="79">
        <v>0</v>
      </c>
      <c r="Y39" s="79"/>
      <c r="Z39" s="79">
        <v>-7926964.1300000101</v>
      </c>
      <c r="AA39" s="79">
        <v>0</v>
      </c>
      <c r="AC39" s="21"/>
    </row>
    <row r="40" spans="1:29" ht="24" x14ac:dyDescent="0.3">
      <c r="A40" s="9"/>
      <c r="B40" s="314"/>
      <c r="C40" s="419" t="s">
        <v>386</v>
      </c>
      <c r="D40" s="419"/>
      <c r="E40" s="312"/>
      <c r="F40" s="11">
        <v>153125824</v>
      </c>
      <c r="G40" s="12"/>
      <c r="H40" s="285">
        <v>113484120</v>
      </c>
      <c r="I40" s="12"/>
      <c r="U40" s="79">
        <v>1531258.24</v>
      </c>
      <c r="V40" s="79">
        <v>0</v>
      </c>
      <c r="W40" s="79">
        <v>1134841.2</v>
      </c>
      <c r="X40" s="79">
        <v>0</v>
      </c>
      <c r="Y40" s="79"/>
      <c r="Z40" s="79">
        <v>396417.04000000004</v>
      </c>
      <c r="AA40" s="79">
        <v>0</v>
      </c>
      <c r="AC40" s="21"/>
    </row>
    <row r="41" spans="1:29" ht="24" x14ac:dyDescent="0.3">
      <c r="A41" s="9"/>
      <c r="B41" s="314"/>
      <c r="C41" s="419" t="s">
        <v>405</v>
      </c>
      <c r="D41" s="419"/>
      <c r="E41" s="312"/>
      <c r="F41" s="11">
        <v>325365504</v>
      </c>
      <c r="G41" s="12"/>
      <c r="H41" s="285">
        <v>278798933</v>
      </c>
      <c r="I41" s="12"/>
      <c r="U41" s="79">
        <v>3253655.04</v>
      </c>
      <c r="V41" s="79">
        <v>0</v>
      </c>
      <c r="W41" s="79">
        <v>2787989.33</v>
      </c>
      <c r="X41" s="79">
        <v>0</v>
      </c>
      <c r="Y41" s="79"/>
      <c r="Z41" s="79">
        <v>465665.70999999996</v>
      </c>
      <c r="AA41" s="79">
        <v>0</v>
      </c>
      <c r="AC41" s="21"/>
    </row>
    <row r="42" spans="1:29" ht="24" x14ac:dyDescent="0.3">
      <c r="A42" s="9"/>
      <c r="B42" s="314"/>
      <c r="C42" s="419" t="s">
        <v>417</v>
      </c>
      <c r="D42" s="419"/>
      <c r="E42" s="312"/>
      <c r="F42" s="11">
        <v>360007542</v>
      </c>
      <c r="G42" s="12"/>
      <c r="H42" s="285">
        <v>333125073</v>
      </c>
      <c r="I42" s="12"/>
      <c r="U42" s="79">
        <v>3600075.42</v>
      </c>
      <c r="V42" s="79">
        <v>0</v>
      </c>
      <c r="W42" s="79">
        <v>3331250.73</v>
      </c>
      <c r="X42" s="79">
        <v>0</v>
      </c>
      <c r="Y42" s="79"/>
      <c r="Z42" s="79">
        <v>268824.68999999994</v>
      </c>
      <c r="AA42" s="79">
        <v>0</v>
      </c>
      <c r="AC42" s="21"/>
    </row>
    <row r="43" spans="1:29" ht="24" x14ac:dyDescent="0.3">
      <c r="A43" s="9"/>
      <c r="B43" s="314"/>
      <c r="C43" s="419" t="s">
        <v>239</v>
      </c>
      <c r="D43" s="419"/>
      <c r="E43" s="312"/>
      <c r="F43" s="11">
        <v>668413695</v>
      </c>
      <c r="G43" s="12"/>
      <c r="H43" s="285">
        <v>1037613061</v>
      </c>
      <c r="I43" s="12"/>
      <c r="U43" s="79">
        <v>6684136.9500000002</v>
      </c>
      <c r="V43" s="79">
        <v>0</v>
      </c>
      <c r="W43" s="79">
        <v>10376130.609999999</v>
      </c>
      <c r="X43" s="79">
        <v>0</v>
      </c>
      <c r="Y43" s="79"/>
      <c r="Z43" s="79">
        <v>-3691993.6599999992</v>
      </c>
      <c r="AA43" s="79">
        <v>0</v>
      </c>
      <c r="AC43" s="21"/>
    </row>
    <row r="44" spans="1:29" ht="24" x14ac:dyDescent="0.3">
      <c r="A44" s="9"/>
      <c r="B44" s="314"/>
      <c r="C44" s="419" t="s">
        <v>406</v>
      </c>
      <c r="D44" s="419"/>
      <c r="E44" s="312"/>
      <c r="F44" s="11">
        <v>1070444425</v>
      </c>
      <c r="G44" s="12"/>
      <c r="H44" s="285">
        <v>1262350280</v>
      </c>
      <c r="I44" s="12"/>
      <c r="U44" s="79">
        <v>10704444.25</v>
      </c>
      <c r="V44" s="79">
        <v>0</v>
      </c>
      <c r="W44" s="79">
        <v>12623502.800000001</v>
      </c>
      <c r="X44" s="79">
        <v>0</v>
      </c>
      <c r="Y44" s="79"/>
      <c r="Z44" s="79">
        <v>-1919058.5500000007</v>
      </c>
      <c r="AA44" s="79">
        <v>0</v>
      </c>
      <c r="AC44" s="21"/>
    </row>
    <row r="45" spans="1:29" ht="24" x14ac:dyDescent="0.3">
      <c r="A45" s="9"/>
      <c r="B45" s="314"/>
      <c r="C45" s="419" t="s">
        <v>403</v>
      </c>
      <c r="D45" s="419"/>
      <c r="E45" s="312"/>
      <c r="F45" s="11">
        <v>55921089750</v>
      </c>
      <c r="G45" s="12"/>
      <c r="H45" s="285">
        <v>100153528165</v>
      </c>
      <c r="I45" s="12"/>
      <c r="U45" s="79">
        <v>559210897.5</v>
      </c>
      <c r="V45" s="79">
        <v>0</v>
      </c>
      <c r="W45" s="79">
        <v>1001535281.65</v>
      </c>
      <c r="X45" s="79">
        <v>0</v>
      </c>
      <c r="Y45" s="79"/>
      <c r="Z45" s="79">
        <v>-442324384.14999998</v>
      </c>
      <c r="AA45" s="79">
        <v>0</v>
      </c>
      <c r="AC45" s="21"/>
    </row>
    <row r="46" spans="1:29" ht="24" x14ac:dyDescent="0.3">
      <c r="A46" s="9"/>
      <c r="B46" s="314"/>
      <c r="C46" s="419" t="s">
        <v>424</v>
      </c>
      <c r="D46" s="419"/>
      <c r="E46" s="312"/>
      <c r="F46" s="11">
        <v>159822282</v>
      </c>
      <c r="G46" s="12"/>
      <c r="H46" s="285">
        <v>408121937</v>
      </c>
      <c r="I46" s="12"/>
      <c r="U46" s="79">
        <v>1598222.82</v>
      </c>
      <c r="V46" s="79">
        <v>0</v>
      </c>
      <c r="W46" s="79">
        <v>4081219.37</v>
      </c>
      <c r="X46" s="79">
        <v>0</v>
      </c>
      <c r="Y46" s="79"/>
      <c r="Z46" s="79">
        <v>-2482996.5499999998</v>
      </c>
      <c r="AA46" s="79">
        <v>0</v>
      </c>
      <c r="AC46" s="21"/>
    </row>
    <row r="47" spans="1:29" ht="24" x14ac:dyDescent="0.3">
      <c r="A47" s="9"/>
      <c r="B47" s="314"/>
      <c r="C47" s="436" t="s">
        <v>301</v>
      </c>
      <c r="D47" s="436"/>
      <c r="E47" s="312"/>
      <c r="F47" s="11">
        <v>1986796846</v>
      </c>
      <c r="G47" s="12"/>
      <c r="H47" s="285">
        <v>1911119682</v>
      </c>
      <c r="I47" s="12"/>
      <c r="U47" s="79">
        <v>19867968.460000001</v>
      </c>
      <c r="V47" s="79">
        <v>0</v>
      </c>
      <c r="W47" s="79">
        <v>19111196.82</v>
      </c>
      <c r="X47" s="79">
        <v>0</v>
      </c>
      <c r="Y47" s="79"/>
      <c r="Z47" s="79">
        <v>756771.6400000006</v>
      </c>
      <c r="AA47" s="79">
        <v>0</v>
      </c>
      <c r="AC47" s="21"/>
    </row>
    <row r="48" spans="1:29" ht="24" x14ac:dyDescent="0.3">
      <c r="A48" s="9"/>
      <c r="B48" s="314"/>
      <c r="C48" s="419" t="s">
        <v>237</v>
      </c>
      <c r="D48" s="419"/>
      <c r="E48" s="312"/>
      <c r="F48" s="11">
        <v>986326398</v>
      </c>
      <c r="G48" s="12"/>
      <c r="H48" s="285">
        <v>857894041</v>
      </c>
      <c r="I48" s="12"/>
      <c r="U48" s="79">
        <v>9863263.9800000004</v>
      </c>
      <c r="V48" s="79">
        <v>0</v>
      </c>
      <c r="W48" s="79">
        <v>8578940.4100000001</v>
      </c>
      <c r="X48" s="79">
        <v>0</v>
      </c>
      <c r="Y48" s="79"/>
      <c r="Z48" s="79">
        <v>1284323.5700000003</v>
      </c>
      <c r="AA48" s="79">
        <v>0</v>
      </c>
      <c r="AC48" s="21"/>
    </row>
    <row r="49" spans="1:27" ht="31.5" x14ac:dyDescent="0.3">
      <c r="A49" s="5" t="s">
        <v>249</v>
      </c>
      <c r="B49" s="435" t="s">
        <v>296</v>
      </c>
      <c r="C49" s="435"/>
      <c r="D49" s="435"/>
      <c r="E49" s="334"/>
      <c r="F49" s="7"/>
      <c r="G49" s="16">
        <v>-845201143929</v>
      </c>
      <c r="H49" s="268"/>
      <c r="I49" s="16">
        <v>-934513384868</v>
      </c>
      <c r="U49" s="79">
        <v>0</v>
      </c>
      <c r="V49" s="80">
        <v>-8452011439.29</v>
      </c>
      <c r="W49" s="79">
        <v>0</v>
      </c>
      <c r="X49" s="80">
        <v>-9345133848.6800003</v>
      </c>
      <c r="Y49" s="80"/>
      <c r="Z49" s="79">
        <v>0</v>
      </c>
      <c r="AA49" s="80">
        <v>893122409.39000034</v>
      </c>
    </row>
    <row r="50" spans="1:27" ht="31.5" x14ac:dyDescent="0.3">
      <c r="A50" s="5" t="s">
        <v>251</v>
      </c>
      <c r="B50" s="435" t="s">
        <v>411</v>
      </c>
      <c r="C50" s="435"/>
      <c r="D50" s="435"/>
      <c r="E50" s="334"/>
      <c r="F50" s="7"/>
      <c r="G50" s="8">
        <v>451564489966</v>
      </c>
      <c r="H50" s="268"/>
      <c r="I50" s="8">
        <v>392719821498</v>
      </c>
      <c r="U50" s="79">
        <v>0</v>
      </c>
      <c r="V50" s="80">
        <v>4515644899.6599998</v>
      </c>
      <c r="W50" s="79">
        <v>0</v>
      </c>
      <c r="X50" s="80">
        <v>3927198214.98</v>
      </c>
      <c r="Y50" s="80"/>
      <c r="Z50" s="79">
        <v>0</v>
      </c>
      <c r="AA50" s="81">
        <v>588446684.67999983</v>
      </c>
    </row>
    <row r="51" spans="1:27" ht="24" x14ac:dyDescent="0.3">
      <c r="A51" s="9"/>
      <c r="B51" s="314"/>
      <c r="C51" s="419" t="s">
        <v>419</v>
      </c>
      <c r="D51" s="419"/>
      <c r="E51" s="312"/>
      <c r="F51" s="11">
        <v>11378563233</v>
      </c>
      <c r="G51" s="12"/>
      <c r="H51" s="285">
        <v>7864452932</v>
      </c>
      <c r="I51" s="12"/>
      <c r="U51" s="79">
        <v>113785632.33</v>
      </c>
      <c r="V51" s="79">
        <v>0</v>
      </c>
      <c r="W51" s="79">
        <v>78644529.319999993</v>
      </c>
      <c r="X51" s="79">
        <v>0</v>
      </c>
      <c r="Y51" s="79"/>
      <c r="Z51" s="79">
        <v>35141103.010000005</v>
      </c>
      <c r="AA51" s="79">
        <v>0</v>
      </c>
    </row>
    <row r="52" spans="1:27" ht="24" x14ac:dyDescent="0.3">
      <c r="A52" s="9"/>
      <c r="B52" s="314"/>
      <c r="C52" s="419" t="s">
        <v>567</v>
      </c>
      <c r="D52" s="419"/>
      <c r="E52" s="312"/>
      <c r="F52" s="11">
        <v>256947819</v>
      </c>
      <c r="G52" s="12"/>
      <c r="H52" s="285">
        <v>0</v>
      </c>
      <c r="I52" s="12"/>
      <c r="U52" s="79"/>
      <c r="V52" s="79"/>
      <c r="W52" s="79"/>
      <c r="X52" s="79"/>
      <c r="Y52" s="79"/>
      <c r="Z52" s="79"/>
      <c r="AA52" s="79"/>
    </row>
    <row r="53" spans="1:27" ht="24" hidden="1" customHeight="1" x14ac:dyDescent="0.3">
      <c r="A53" s="9"/>
      <c r="B53" s="314"/>
      <c r="C53" s="419" t="s">
        <v>420</v>
      </c>
      <c r="D53" s="419"/>
      <c r="E53" s="312"/>
      <c r="F53" s="11">
        <v>0</v>
      </c>
      <c r="G53" s="12"/>
      <c r="H53" s="285">
        <v>0</v>
      </c>
      <c r="I53" s="12"/>
      <c r="U53" s="79">
        <v>0</v>
      </c>
      <c r="V53" s="79">
        <v>0</v>
      </c>
      <c r="W53" s="79">
        <v>0</v>
      </c>
      <c r="X53" s="79">
        <v>0</v>
      </c>
      <c r="Y53" s="79"/>
      <c r="Z53" s="79">
        <v>0</v>
      </c>
      <c r="AA53" s="79">
        <v>0</v>
      </c>
    </row>
    <row r="54" spans="1:27" ht="24" x14ac:dyDescent="0.3">
      <c r="A54" s="9"/>
      <c r="B54" s="314"/>
      <c r="C54" s="419" t="s">
        <v>393</v>
      </c>
      <c r="D54" s="419"/>
      <c r="E54" s="312"/>
      <c r="F54" s="11">
        <v>1544181876</v>
      </c>
      <c r="G54" s="12"/>
      <c r="H54" s="285">
        <v>4673261501</v>
      </c>
      <c r="I54" s="12"/>
      <c r="U54" s="79">
        <v>15441818.76</v>
      </c>
      <c r="V54" s="79">
        <v>0</v>
      </c>
      <c r="W54" s="79">
        <v>46732615.009999998</v>
      </c>
      <c r="X54" s="79">
        <v>0</v>
      </c>
      <c r="Y54" s="79"/>
      <c r="Z54" s="79">
        <v>-31290796.25</v>
      </c>
      <c r="AA54" s="79">
        <v>0</v>
      </c>
    </row>
    <row r="55" spans="1:27" ht="24" x14ac:dyDescent="0.3">
      <c r="A55" s="9"/>
      <c r="B55" s="314"/>
      <c r="C55" s="419" t="s">
        <v>416</v>
      </c>
      <c r="D55" s="419"/>
      <c r="E55" s="312"/>
      <c r="F55" s="11">
        <v>41963725155</v>
      </c>
      <c r="G55" s="12"/>
      <c r="H55" s="285">
        <v>75021861121</v>
      </c>
      <c r="I55" s="12"/>
      <c r="U55" s="79">
        <v>419637251.55000001</v>
      </c>
      <c r="V55" s="79">
        <v>0</v>
      </c>
      <c r="W55" s="79">
        <v>750218611.21000004</v>
      </c>
      <c r="X55" s="79">
        <v>0</v>
      </c>
      <c r="Y55" s="79"/>
      <c r="Z55" s="79">
        <v>-330581359.66000003</v>
      </c>
      <c r="AA55" s="79">
        <v>0</v>
      </c>
    </row>
    <row r="56" spans="1:27" ht="24" hidden="1" customHeight="1" x14ac:dyDescent="0.3">
      <c r="A56" s="9"/>
      <c r="B56" s="314"/>
      <c r="C56" s="419" t="s">
        <v>143</v>
      </c>
      <c r="D56" s="419"/>
      <c r="E56" s="312"/>
      <c r="F56" s="11">
        <v>0</v>
      </c>
      <c r="G56" s="12"/>
      <c r="H56" s="285">
        <v>0</v>
      </c>
      <c r="I56" s="12"/>
      <c r="U56" s="79">
        <v>0</v>
      </c>
      <c r="V56" s="79">
        <v>0</v>
      </c>
      <c r="W56" s="79">
        <v>0</v>
      </c>
      <c r="X56" s="79">
        <v>0</v>
      </c>
      <c r="Y56" s="79"/>
      <c r="Z56" s="79">
        <v>0</v>
      </c>
      <c r="AA56" s="79">
        <v>0</v>
      </c>
    </row>
    <row r="57" spans="1:27" ht="24" hidden="1" customHeight="1" x14ac:dyDescent="0.3">
      <c r="A57" s="9"/>
      <c r="B57" s="314"/>
      <c r="C57" s="419" t="s">
        <v>146</v>
      </c>
      <c r="D57" s="419"/>
      <c r="E57" s="312"/>
      <c r="F57" s="11">
        <v>0</v>
      </c>
      <c r="G57" s="12"/>
      <c r="H57" s="285">
        <v>0</v>
      </c>
      <c r="I57" s="12"/>
      <c r="U57" s="79">
        <v>0</v>
      </c>
      <c r="V57" s="79">
        <v>0</v>
      </c>
      <c r="W57" s="79">
        <v>0</v>
      </c>
      <c r="X57" s="79">
        <v>0</v>
      </c>
      <c r="Y57" s="79"/>
      <c r="Z57" s="79">
        <v>0</v>
      </c>
      <c r="AA57" s="79">
        <v>0</v>
      </c>
    </row>
    <row r="58" spans="1:27" ht="24" x14ac:dyDescent="0.3">
      <c r="A58" s="9"/>
      <c r="B58" s="314"/>
      <c r="C58" s="419" t="s">
        <v>147</v>
      </c>
      <c r="D58" s="419"/>
      <c r="E58" s="312"/>
      <c r="F58" s="11">
        <v>50265264613</v>
      </c>
      <c r="G58" s="12"/>
      <c r="H58" s="285">
        <v>10011158348</v>
      </c>
      <c r="I58" s="12"/>
      <c r="U58" s="79">
        <v>502652646.13</v>
      </c>
      <c r="V58" s="79">
        <v>0</v>
      </c>
      <c r="W58" s="79">
        <v>100111583.48</v>
      </c>
      <c r="X58" s="79">
        <v>0</v>
      </c>
      <c r="Y58" s="79"/>
      <c r="Z58" s="79">
        <v>402541062.64999998</v>
      </c>
      <c r="AA58" s="79">
        <v>0</v>
      </c>
    </row>
    <row r="59" spans="1:27" ht="24" customHeight="1" x14ac:dyDescent="0.3">
      <c r="A59" s="9"/>
      <c r="B59" s="314"/>
      <c r="C59" s="419" t="s">
        <v>422</v>
      </c>
      <c r="D59" s="419"/>
      <c r="E59" s="312"/>
      <c r="F59" s="11">
        <v>1261309354</v>
      </c>
      <c r="G59" s="12"/>
      <c r="H59" s="285">
        <v>431889775</v>
      </c>
      <c r="I59" s="12"/>
      <c r="U59" s="79">
        <v>12613093.539999999</v>
      </c>
      <c r="V59" s="79">
        <v>0</v>
      </c>
      <c r="W59" s="79">
        <v>4318897.75</v>
      </c>
      <c r="X59" s="79">
        <v>0</v>
      </c>
      <c r="Y59" s="79"/>
      <c r="Z59" s="79">
        <v>8294195.7899999991</v>
      </c>
      <c r="AA59" s="79">
        <v>0</v>
      </c>
    </row>
    <row r="60" spans="1:27" ht="24" x14ac:dyDescent="0.3">
      <c r="A60" s="9"/>
      <c r="B60" s="314"/>
      <c r="C60" s="419" t="s">
        <v>407</v>
      </c>
      <c r="D60" s="419"/>
      <c r="E60" s="312"/>
      <c r="F60" s="11">
        <v>55284291842</v>
      </c>
      <c r="G60" s="12"/>
      <c r="H60" s="285">
        <v>27303761861</v>
      </c>
      <c r="I60" s="12"/>
      <c r="U60" s="79">
        <v>552842918.41999996</v>
      </c>
      <c r="V60" s="79">
        <v>0</v>
      </c>
      <c r="W60" s="79">
        <v>273037618.61000001</v>
      </c>
      <c r="X60" s="79">
        <v>0</v>
      </c>
      <c r="Y60" s="79"/>
      <c r="Z60" s="79">
        <v>279805299.80999994</v>
      </c>
      <c r="AA60" s="79">
        <v>0</v>
      </c>
    </row>
    <row r="61" spans="1:27" ht="24" hidden="1" customHeight="1" x14ac:dyDescent="0.3">
      <c r="A61" s="9"/>
      <c r="B61" s="314"/>
      <c r="C61" s="419" t="s">
        <v>412</v>
      </c>
      <c r="D61" s="419"/>
      <c r="E61" s="312"/>
      <c r="F61" s="11">
        <v>0</v>
      </c>
      <c r="G61" s="12"/>
      <c r="H61" s="285">
        <v>0</v>
      </c>
      <c r="I61" s="12"/>
      <c r="U61" s="79">
        <v>0</v>
      </c>
      <c r="V61" s="79">
        <v>0</v>
      </c>
      <c r="W61" s="79">
        <v>0</v>
      </c>
      <c r="X61" s="79">
        <v>0</v>
      </c>
      <c r="Y61" s="79"/>
      <c r="Z61" s="79">
        <v>0</v>
      </c>
      <c r="AA61" s="79">
        <v>0</v>
      </c>
    </row>
    <row r="62" spans="1:27" ht="24" customHeight="1" x14ac:dyDescent="0.3">
      <c r="A62" s="9"/>
      <c r="B62" s="314"/>
      <c r="C62" s="424" t="s">
        <v>404</v>
      </c>
      <c r="D62" s="424"/>
      <c r="E62" s="312"/>
      <c r="F62" s="11">
        <v>10704093214</v>
      </c>
      <c r="G62" s="12"/>
      <c r="H62" s="285">
        <v>4092381786</v>
      </c>
      <c r="I62" s="12"/>
      <c r="U62" s="79">
        <v>107040932.14</v>
      </c>
      <c r="V62" s="79">
        <v>0</v>
      </c>
      <c r="W62" s="79">
        <v>40923817.859999999</v>
      </c>
      <c r="X62" s="79">
        <v>0</v>
      </c>
      <c r="Y62" s="79"/>
      <c r="Z62" s="79">
        <v>66117114.280000001</v>
      </c>
      <c r="AA62" s="79">
        <v>0</v>
      </c>
    </row>
    <row r="63" spans="1:27" ht="24" x14ac:dyDescent="0.3">
      <c r="A63" s="9"/>
      <c r="B63" s="314"/>
      <c r="C63" s="419" t="s">
        <v>238</v>
      </c>
      <c r="D63" s="419"/>
      <c r="E63" s="312"/>
      <c r="F63" s="11">
        <v>210001662000</v>
      </c>
      <c r="G63" s="12"/>
      <c r="H63" s="285">
        <v>248599670000</v>
      </c>
      <c r="I63" s="12"/>
      <c r="U63" s="79">
        <v>2100016620</v>
      </c>
      <c r="V63" s="79">
        <v>0</v>
      </c>
      <c r="W63" s="79">
        <v>2485996700</v>
      </c>
      <c r="X63" s="79">
        <v>0</v>
      </c>
      <c r="Y63" s="79"/>
      <c r="Z63" s="79">
        <v>-385980080</v>
      </c>
      <c r="AA63" s="79">
        <v>0</v>
      </c>
    </row>
    <row r="64" spans="1:27" ht="24" x14ac:dyDescent="0.3">
      <c r="A64" s="9"/>
      <c r="B64" s="314"/>
      <c r="C64" s="436" t="s">
        <v>245</v>
      </c>
      <c r="D64" s="436"/>
      <c r="E64" s="312"/>
      <c r="F64" s="11">
        <v>68904450860</v>
      </c>
      <c r="G64" s="12"/>
      <c r="H64" s="285">
        <v>14721384174</v>
      </c>
      <c r="I64" s="12"/>
      <c r="U64" s="79">
        <v>689044508.60000002</v>
      </c>
      <c r="V64" s="79">
        <v>0</v>
      </c>
      <c r="W64" s="79">
        <v>147213841.74000001</v>
      </c>
      <c r="X64" s="79">
        <v>0</v>
      </c>
      <c r="Y64" s="79"/>
      <c r="Z64" s="79">
        <v>541830666.86000001</v>
      </c>
      <c r="AA64" s="79">
        <v>0</v>
      </c>
    </row>
    <row r="65" spans="1:29" ht="31.5" x14ac:dyDescent="0.3">
      <c r="A65" s="5" t="s">
        <v>425</v>
      </c>
      <c r="B65" s="435" t="s">
        <v>435</v>
      </c>
      <c r="C65" s="435"/>
      <c r="D65" s="435"/>
      <c r="E65" s="334"/>
      <c r="F65" s="7"/>
      <c r="G65" s="8">
        <v>123650587716</v>
      </c>
      <c r="H65" s="268"/>
      <c r="I65" s="8">
        <v>100163616430</v>
      </c>
      <c r="U65" s="79">
        <v>0</v>
      </c>
      <c r="V65" s="80">
        <v>1236505877.1600001</v>
      </c>
      <c r="W65" s="79">
        <v>0</v>
      </c>
      <c r="X65" s="80">
        <v>1001636164.3</v>
      </c>
      <c r="Y65" s="80"/>
      <c r="Z65" s="79">
        <v>0</v>
      </c>
      <c r="AA65" s="80">
        <v>234869712.86000013</v>
      </c>
    </row>
    <row r="66" spans="1:29" ht="24" x14ac:dyDescent="0.3">
      <c r="A66" s="9"/>
      <c r="B66" s="314"/>
      <c r="C66" s="419" t="s">
        <v>408</v>
      </c>
      <c r="D66" s="419"/>
      <c r="E66" s="312"/>
      <c r="F66" s="11">
        <v>105387070482</v>
      </c>
      <c r="G66" s="12"/>
      <c r="H66" s="285">
        <v>84749060656</v>
      </c>
      <c r="I66" s="12"/>
      <c r="U66" s="79">
        <v>1053870704.8200001</v>
      </c>
      <c r="V66" s="79">
        <v>0</v>
      </c>
      <c r="W66" s="79">
        <v>847490606.55999994</v>
      </c>
      <c r="X66" s="79">
        <v>0</v>
      </c>
      <c r="Y66" s="79"/>
      <c r="Z66" s="79">
        <v>206380098.26000011</v>
      </c>
      <c r="AA66" s="79">
        <v>0</v>
      </c>
    </row>
    <row r="67" spans="1:29" ht="24" hidden="1" customHeight="1" x14ac:dyDescent="0.3">
      <c r="A67" s="9"/>
      <c r="B67" s="314"/>
      <c r="C67" s="419" t="s">
        <v>145</v>
      </c>
      <c r="D67" s="419"/>
      <c r="E67" s="312"/>
      <c r="F67" s="11">
        <v>0</v>
      </c>
      <c r="G67" s="12"/>
      <c r="H67" s="285">
        <v>0</v>
      </c>
      <c r="I67" s="12"/>
      <c r="U67" s="79">
        <v>0</v>
      </c>
      <c r="V67" s="79">
        <v>0</v>
      </c>
      <c r="W67" s="79">
        <v>0</v>
      </c>
      <c r="X67" s="79">
        <v>0</v>
      </c>
      <c r="Y67" s="79"/>
      <c r="Z67" s="79">
        <v>0</v>
      </c>
      <c r="AA67" s="79">
        <v>0</v>
      </c>
    </row>
    <row r="68" spans="1:29" ht="24" x14ac:dyDescent="0.3">
      <c r="A68" s="9"/>
      <c r="B68" s="314"/>
      <c r="C68" s="419" t="s">
        <v>148</v>
      </c>
      <c r="D68" s="419"/>
      <c r="E68" s="312"/>
      <c r="F68" s="11">
        <v>89937432</v>
      </c>
      <c r="G68" s="12"/>
      <c r="H68" s="285">
        <v>34350415</v>
      </c>
      <c r="I68" s="12"/>
      <c r="U68" s="79">
        <v>899374.32</v>
      </c>
      <c r="V68" s="79">
        <v>0</v>
      </c>
      <c r="W68" s="79">
        <v>343504.15</v>
      </c>
      <c r="X68" s="79">
        <v>0</v>
      </c>
      <c r="Y68" s="79"/>
      <c r="Z68" s="79">
        <v>555870.16999999993</v>
      </c>
      <c r="AA68" s="79">
        <v>0</v>
      </c>
    </row>
    <row r="69" spans="1:29" ht="24" x14ac:dyDescent="0.3">
      <c r="A69" s="9"/>
      <c r="B69" s="314"/>
      <c r="C69" s="419" t="s">
        <v>240</v>
      </c>
      <c r="D69" s="419"/>
      <c r="E69" s="312"/>
      <c r="F69" s="11">
        <v>66000000</v>
      </c>
      <c r="G69" s="12"/>
      <c r="H69" s="285">
        <v>60000000</v>
      </c>
      <c r="I69" s="12"/>
      <c r="U69" s="79">
        <v>660000</v>
      </c>
      <c r="V69" s="79">
        <v>0</v>
      </c>
      <c r="W69" s="79">
        <v>600000</v>
      </c>
      <c r="X69" s="79">
        <v>0</v>
      </c>
      <c r="Y69" s="79"/>
      <c r="Z69" s="79">
        <v>60000</v>
      </c>
      <c r="AA69" s="79">
        <v>0</v>
      </c>
    </row>
    <row r="70" spans="1:29" ht="24" customHeight="1" x14ac:dyDescent="0.3">
      <c r="A70" s="9"/>
      <c r="B70" s="314"/>
      <c r="C70" s="419" t="s">
        <v>149</v>
      </c>
      <c r="D70" s="419"/>
      <c r="E70" s="312"/>
      <c r="F70" s="11">
        <v>8157119177</v>
      </c>
      <c r="G70" s="12"/>
      <c r="H70" s="285">
        <v>1364301382</v>
      </c>
      <c r="I70" s="12"/>
      <c r="U70" s="79">
        <v>81571191.769999996</v>
      </c>
      <c r="V70" s="79">
        <v>0</v>
      </c>
      <c r="W70" s="79">
        <v>13643013.82</v>
      </c>
      <c r="X70" s="79">
        <v>0</v>
      </c>
      <c r="Y70" s="79"/>
      <c r="Z70" s="79">
        <v>67928177.949999988</v>
      </c>
      <c r="AA70" s="79">
        <v>0</v>
      </c>
    </row>
    <row r="71" spans="1:29" ht="24" hidden="1" x14ac:dyDescent="0.3">
      <c r="A71" s="9"/>
      <c r="B71" s="314"/>
      <c r="C71" s="419" t="s">
        <v>141</v>
      </c>
      <c r="D71" s="419"/>
      <c r="E71" s="312"/>
      <c r="F71" s="11">
        <v>0</v>
      </c>
      <c r="G71" s="12"/>
      <c r="H71" s="285">
        <v>0</v>
      </c>
      <c r="I71" s="12"/>
      <c r="U71" s="79">
        <v>0</v>
      </c>
      <c r="V71" s="79">
        <v>0</v>
      </c>
      <c r="W71" s="79">
        <v>0</v>
      </c>
      <c r="X71" s="79">
        <v>0</v>
      </c>
      <c r="Y71" s="79"/>
      <c r="Z71" s="79">
        <v>0</v>
      </c>
      <c r="AA71" s="79">
        <v>0</v>
      </c>
    </row>
    <row r="72" spans="1:29" ht="24" x14ac:dyDescent="0.3">
      <c r="A72" s="9"/>
      <c r="B72" s="314"/>
      <c r="C72" s="419" t="s">
        <v>142</v>
      </c>
      <c r="D72" s="419"/>
      <c r="E72" s="312"/>
      <c r="F72" s="11">
        <v>5338018664</v>
      </c>
      <c r="G72" s="12"/>
      <c r="H72" s="285">
        <v>6588827927</v>
      </c>
      <c r="I72" s="12"/>
      <c r="U72" s="79">
        <v>53380186.640000001</v>
      </c>
      <c r="V72" s="79">
        <v>0</v>
      </c>
      <c r="W72" s="79">
        <v>65888279.270000003</v>
      </c>
      <c r="X72" s="79">
        <v>0</v>
      </c>
      <c r="Y72" s="79"/>
      <c r="Z72" s="79">
        <v>-12508092.630000003</v>
      </c>
      <c r="AA72" s="79">
        <v>0</v>
      </c>
    </row>
    <row r="73" spans="1:29" ht="24" hidden="1" customHeight="1" x14ac:dyDescent="0.3">
      <c r="A73" s="9"/>
      <c r="B73" s="314"/>
      <c r="C73" s="419" t="s">
        <v>555</v>
      </c>
      <c r="D73" s="419"/>
      <c r="E73" s="312"/>
      <c r="F73" s="11">
        <v>0</v>
      </c>
      <c r="G73" s="12"/>
      <c r="H73" s="285">
        <v>0</v>
      </c>
      <c r="I73" s="12"/>
      <c r="U73" s="79"/>
      <c r="V73" s="79"/>
      <c r="W73" s="79">
        <v>0</v>
      </c>
      <c r="X73" s="79"/>
      <c r="Y73" s="79"/>
      <c r="Z73" s="79"/>
      <c r="AA73" s="79"/>
    </row>
    <row r="74" spans="1:29" ht="24" hidden="1" x14ac:dyDescent="0.3">
      <c r="A74" s="9"/>
      <c r="B74" s="314"/>
      <c r="C74" s="419" t="s">
        <v>150</v>
      </c>
      <c r="D74" s="419"/>
      <c r="E74" s="312"/>
      <c r="F74" s="11">
        <v>0</v>
      </c>
      <c r="G74" s="12"/>
      <c r="H74" s="294">
        <v>0</v>
      </c>
      <c r="I74" s="12"/>
      <c r="U74" s="79">
        <v>0</v>
      </c>
      <c r="V74" s="79">
        <v>0</v>
      </c>
      <c r="W74" s="79">
        <v>0</v>
      </c>
      <c r="X74" s="79">
        <v>0</v>
      </c>
      <c r="Y74" s="79"/>
      <c r="Z74" s="79">
        <v>0</v>
      </c>
      <c r="AA74" s="79">
        <v>0</v>
      </c>
    </row>
    <row r="75" spans="1:29" ht="24" x14ac:dyDescent="0.3">
      <c r="A75" s="9"/>
      <c r="B75" s="314"/>
      <c r="C75" s="419" t="s">
        <v>554</v>
      </c>
      <c r="D75" s="419"/>
      <c r="E75" s="312"/>
      <c r="F75" s="11">
        <v>29613333</v>
      </c>
      <c r="G75" s="12"/>
      <c r="H75" s="285">
        <v>1794000</v>
      </c>
      <c r="I75" s="12"/>
      <c r="U75" s="79"/>
      <c r="V75" s="79"/>
      <c r="W75" s="79">
        <v>17940</v>
      </c>
      <c r="X75" s="79"/>
      <c r="Y75" s="79"/>
      <c r="Z75" s="79"/>
      <c r="AA75" s="79"/>
    </row>
    <row r="76" spans="1:29" ht="24" x14ac:dyDescent="0.3">
      <c r="A76" s="9"/>
      <c r="B76" s="314"/>
      <c r="C76" s="419" t="s">
        <v>144</v>
      </c>
      <c r="D76" s="419"/>
      <c r="E76" s="312"/>
      <c r="F76" s="11">
        <v>982475148</v>
      </c>
      <c r="G76" s="12"/>
      <c r="H76" s="285">
        <v>2373599992</v>
      </c>
      <c r="I76" s="12"/>
      <c r="U76" s="79">
        <v>9824751.4800000004</v>
      </c>
      <c r="V76" s="79">
        <v>0</v>
      </c>
      <c r="W76" s="79">
        <v>23735999.920000002</v>
      </c>
      <c r="X76" s="79">
        <v>0</v>
      </c>
      <c r="Y76" s="79"/>
      <c r="Z76" s="79">
        <v>-13911248.440000001</v>
      </c>
      <c r="AA76" s="79">
        <v>0</v>
      </c>
    </row>
    <row r="77" spans="1:29" ht="24" customHeight="1" x14ac:dyDescent="0.3">
      <c r="A77" s="9"/>
      <c r="B77" s="314"/>
      <c r="C77" s="424" t="s">
        <v>413</v>
      </c>
      <c r="D77" s="424"/>
      <c r="E77" s="312"/>
      <c r="F77" s="11">
        <v>331464495</v>
      </c>
      <c r="G77" s="12"/>
      <c r="H77" s="285">
        <v>102675413</v>
      </c>
      <c r="I77" s="12"/>
      <c r="U77" s="79">
        <v>3314644.95</v>
      </c>
      <c r="V77" s="79">
        <v>0</v>
      </c>
      <c r="W77" s="79">
        <v>1026754.13</v>
      </c>
      <c r="X77" s="79">
        <v>0</v>
      </c>
      <c r="Y77" s="79"/>
      <c r="Z77" s="79">
        <v>2287890.8200000003</v>
      </c>
      <c r="AA77" s="79">
        <v>0</v>
      </c>
    </row>
    <row r="78" spans="1:29" ht="24" hidden="1" customHeight="1" x14ac:dyDescent="0.3">
      <c r="A78" s="9"/>
      <c r="B78" s="314"/>
      <c r="C78" s="419" t="s">
        <v>415</v>
      </c>
      <c r="D78" s="419"/>
      <c r="E78" s="312"/>
      <c r="F78" s="11">
        <v>0</v>
      </c>
      <c r="G78" s="12"/>
      <c r="H78" s="285">
        <v>0</v>
      </c>
      <c r="I78" s="12"/>
      <c r="U78" s="79">
        <v>0</v>
      </c>
      <c r="V78" s="79">
        <v>0</v>
      </c>
      <c r="W78" s="79">
        <v>0</v>
      </c>
      <c r="X78" s="79">
        <v>0</v>
      </c>
      <c r="Y78" s="79"/>
      <c r="Z78" s="79">
        <v>0</v>
      </c>
      <c r="AA78" s="79">
        <v>0</v>
      </c>
    </row>
    <row r="79" spans="1:29" ht="24" x14ac:dyDescent="0.3">
      <c r="A79" s="9"/>
      <c r="B79" s="314"/>
      <c r="C79" s="419" t="s">
        <v>242</v>
      </c>
      <c r="D79" s="419"/>
      <c r="E79" s="312"/>
      <c r="F79" s="11">
        <v>3268888985</v>
      </c>
      <c r="G79" s="12"/>
      <c r="H79" s="285">
        <v>4889006645</v>
      </c>
      <c r="I79" s="12"/>
      <c r="U79" s="79">
        <v>32688889.850000001</v>
      </c>
      <c r="V79" s="79">
        <v>0</v>
      </c>
      <c r="W79" s="79">
        <v>48890066.450000003</v>
      </c>
      <c r="X79" s="79">
        <v>0</v>
      </c>
      <c r="Y79" s="79"/>
      <c r="Z79" s="79">
        <v>-16201176.600000001</v>
      </c>
      <c r="AA79" s="79">
        <v>0</v>
      </c>
    </row>
    <row r="80" spans="1:29" ht="31.5" x14ac:dyDescent="0.3">
      <c r="A80" s="5" t="s">
        <v>431</v>
      </c>
      <c r="B80" s="435" t="s">
        <v>68</v>
      </c>
      <c r="C80" s="435"/>
      <c r="D80" s="435"/>
      <c r="E80" s="334"/>
      <c r="F80" s="7"/>
      <c r="G80" s="16">
        <v>-517287241679</v>
      </c>
      <c r="H80" s="268"/>
      <c r="I80" s="16">
        <v>-641957179800</v>
      </c>
      <c r="U80" s="79">
        <v>0</v>
      </c>
      <c r="V80" s="80">
        <v>-5172872416.79</v>
      </c>
      <c r="W80" s="79">
        <v>0</v>
      </c>
      <c r="X80" s="80">
        <v>-6419571798</v>
      </c>
      <c r="Y80" s="80"/>
      <c r="Z80" s="79">
        <v>0</v>
      </c>
      <c r="AA80" s="80">
        <v>1246699381.21</v>
      </c>
      <c r="AC80" s="85"/>
    </row>
    <row r="81" spans="1:27" ht="24" x14ac:dyDescent="0.3">
      <c r="A81" s="5" t="s">
        <v>259</v>
      </c>
      <c r="B81" s="435" t="s">
        <v>409</v>
      </c>
      <c r="C81" s="435"/>
      <c r="D81" s="435"/>
      <c r="E81" s="334"/>
      <c r="F81" s="7"/>
      <c r="G81" s="8">
        <v>0</v>
      </c>
      <c r="H81" s="268"/>
      <c r="I81" s="8">
        <v>0</v>
      </c>
      <c r="U81" s="79">
        <v>0</v>
      </c>
      <c r="V81" s="79">
        <v>0</v>
      </c>
      <c r="W81" s="79">
        <v>0</v>
      </c>
      <c r="X81" s="79">
        <v>0</v>
      </c>
      <c r="Y81" s="79"/>
      <c r="Z81" s="79">
        <v>0</v>
      </c>
      <c r="AA81" s="79">
        <v>0</v>
      </c>
    </row>
    <row r="82" spans="1:27" ht="32.25" thickBot="1" x14ac:dyDescent="0.35">
      <c r="A82" s="17" t="s">
        <v>254</v>
      </c>
      <c r="B82" s="434" t="s">
        <v>299</v>
      </c>
      <c r="C82" s="434"/>
      <c r="D82" s="434"/>
      <c r="E82" s="18"/>
      <c r="F82" s="19"/>
      <c r="G82" s="20">
        <v>-517287241679</v>
      </c>
      <c r="H82" s="245"/>
      <c r="I82" s="20">
        <v>-641957179800</v>
      </c>
      <c r="U82" s="79">
        <v>0</v>
      </c>
      <c r="V82" s="80">
        <v>-5172872416.79</v>
      </c>
      <c r="W82" s="79">
        <v>0</v>
      </c>
      <c r="X82" s="80">
        <v>-6419571798</v>
      </c>
      <c r="Y82" s="80"/>
      <c r="Z82" s="79">
        <v>0</v>
      </c>
      <c r="AA82" s="80">
        <v>1246699381.21</v>
      </c>
    </row>
  </sheetData>
  <mergeCells count="75">
    <mergeCell ref="C16:D16"/>
    <mergeCell ref="C47:D47"/>
    <mergeCell ref="C48:D48"/>
    <mergeCell ref="C19:D19"/>
    <mergeCell ref="A1:I1"/>
    <mergeCell ref="A2:I2"/>
    <mergeCell ref="A3:I3"/>
    <mergeCell ref="A4:G4"/>
    <mergeCell ref="A5:D5"/>
    <mergeCell ref="B6:D6"/>
    <mergeCell ref="F6:G6"/>
    <mergeCell ref="H6:I6"/>
    <mergeCell ref="B7:D7"/>
    <mergeCell ref="C8:D8"/>
    <mergeCell ref="C12:D12"/>
    <mergeCell ref="B17:D17"/>
    <mergeCell ref="C18:D18"/>
    <mergeCell ref="C34:D34"/>
    <mergeCell ref="B23:D23"/>
    <mergeCell ref="B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46:D46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59:D59"/>
    <mergeCell ref="B49:D49"/>
    <mergeCell ref="B50:D50"/>
    <mergeCell ref="C51:D51"/>
    <mergeCell ref="C53:D53"/>
    <mergeCell ref="C54:D54"/>
    <mergeCell ref="C55:D55"/>
    <mergeCell ref="C56:D56"/>
    <mergeCell ref="C57:D57"/>
    <mergeCell ref="C58:D58"/>
    <mergeCell ref="C52:D52"/>
    <mergeCell ref="C71:D71"/>
    <mergeCell ref="C60:D60"/>
    <mergeCell ref="C61:D61"/>
    <mergeCell ref="C62:D62"/>
    <mergeCell ref="C64:D64"/>
    <mergeCell ref="B65:D65"/>
    <mergeCell ref="C66:D66"/>
    <mergeCell ref="C67:D67"/>
    <mergeCell ref="C68:D68"/>
    <mergeCell ref="C69:D69"/>
    <mergeCell ref="C70:D70"/>
    <mergeCell ref="C63:D63"/>
    <mergeCell ref="B82:D82"/>
    <mergeCell ref="C72:D72"/>
    <mergeCell ref="C74:D74"/>
    <mergeCell ref="C76:D76"/>
    <mergeCell ref="C77:D77"/>
    <mergeCell ref="C78:D78"/>
    <mergeCell ref="C79:D79"/>
    <mergeCell ref="B80:D80"/>
    <mergeCell ref="B81:D81"/>
    <mergeCell ref="C75:D75"/>
    <mergeCell ref="C73:D73"/>
  </mergeCells>
  <phoneticPr fontId="109" type="noConversion"/>
  <pageMargins left="0.25" right="0.25" top="0.75" bottom="0.75" header="0.3" footer="0.3"/>
  <pageSetup paperSize="9" scale="51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rgb="FF00B0F0"/>
    <pageSetUpPr fitToPage="1"/>
  </sheetPr>
  <dimension ref="A1:T36"/>
  <sheetViews>
    <sheetView view="pageBreakPreview" zoomScale="55" zoomScaleNormal="70" zoomScaleSheetLayoutView="55" workbookViewId="0">
      <selection activeCell="G45" sqref="G45"/>
    </sheetView>
  </sheetViews>
  <sheetFormatPr defaultRowHeight="16.5" x14ac:dyDescent="0.3"/>
  <cols>
    <col min="1" max="1" width="5" bestFit="1" customWidth="1"/>
    <col min="2" max="2" width="4.75" customWidth="1"/>
    <col min="3" max="3" width="35.625" customWidth="1"/>
    <col min="4" max="4" width="3.5" customWidth="1"/>
    <col min="5" max="8" width="26.375" customWidth="1"/>
    <col min="9" max="9" width="14.875" hidden="1" customWidth="1"/>
    <col min="10" max="11" width="9" hidden="1" customWidth="1"/>
    <col min="12" max="12" width="14.875" hidden="1" customWidth="1"/>
    <col min="13" max="13" width="16" hidden="1" customWidth="1"/>
    <col min="14" max="14" width="14.875" hidden="1" customWidth="1"/>
    <col min="15" max="15" width="16" hidden="1" customWidth="1"/>
    <col min="16" max="16" width="9" hidden="1" customWidth="1"/>
    <col min="17" max="17" width="13.25" hidden="1" customWidth="1"/>
    <col min="18" max="18" width="12.125" hidden="1" customWidth="1"/>
    <col min="19" max="19" width="9" customWidth="1"/>
    <col min="20" max="20" width="16" bestFit="1" customWidth="1"/>
  </cols>
  <sheetData>
    <row r="1" spans="1:20" ht="39" x14ac:dyDescent="0.3">
      <c r="A1" s="428" t="s">
        <v>168</v>
      </c>
      <c r="B1" s="428"/>
      <c r="C1" s="428"/>
      <c r="D1" s="428"/>
      <c r="E1" s="428"/>
      <c r="F1" s="428"/>
      <c r="G1" s="428"/>
      <c r="H1" s="428"/>
    </row>
    <row r="2" spans="1:20" ht="20.25" x14ac:dyDescent="0.3">
      <c r="A2" s="429" t="s">
        <v>669</v>
      </c>
      <c r="B2" s="429"/>
      <c r="C2" s="429"/>
      <c r="D2" s="429"/>
      <c r="E2" s="429"/>
      <c r="F2" s="429"/>
      <c r="G2" s="429"/>
      <c r="H2" s="429"/>
      <c r="I2" s="69"/>
    </row>
    <row r="3" spans="1:20" ht="20.25" x14ac:dyDescent="0.3">
      <c r="A3" s="429" t="s">
        <v>670</v>
      </c>
      <c r="B3" s="429"/>
      <c r="C3" s="429"/>
      <c r="D3" s="429"/>
      <c r="E3" s="429"/>
      <c r="F3" s="429"/>
      <c r="G3" s="429"/>
      <c r="H3" s="429"/>
      <c r="I3" s="69"/>
    </row>
    <row r="4" spans="1:20" x14ac:dyDescent="0.3">
      <c r="A4" s="437"/>
      <c r="B4" s="437"/>
      <c r="C4" s="437"/>
      <c r="D4" s="437"/>
      <c r="E4" s="437"/>
    </row>
    <row r="5" spans="1:20" ht="21" thickBot="1" x14ac:dyDescent="0.35">
      <c r="A5" s="438" t="s">
        <v>436</v>
      </c>
      <c r="B5" s="438"/>
      <c r="C5" s="438"/>
      <c r="D5" s="1"/>
      <c r="E5" s="3"/>
      <c r="H5" s="3" t="s">
        <v>295</v>
      </c>
    </row>
    <row r="6" spans="1:20" ht="53.25" customHeight="1" thickBot="1" x14ac:dyDescent="0.35">
      <c r="A6" s="68" t="s">
        <v>268</v>
      </c>
      <c r="B6" s="442" t="s">
        <v>341</v>
      </c>
      <c r="C6" s="442"/>
      <c r="D6" s="346"/>
      <c r="E6" s="439" t="s">
        <v>565</v>
      </c>
      <c r="F6" s="431"/>
      <c r="G6" s="439" t="s">
        <v>539</v>
      </c>
      <c r="H6" s="431"/>
    </row>
    <row r="7" spans="1:20" ht="27.95" customHeight="1" x14ac:dyDescent="0.3">
      <c r="A7" s="67" t="s">
        <v>262</v>
      </c>
      <c r="B7" s="443" t="s">
        <v>276</v>
      </c>
      <c r="C7" s="443"/>
      <c r="D7" s="66"/>
      <c r="E7" s="65"/>
      <c r="F7" s="64">
        <v>1151418302421</v>
      </c>
      <c r="G7" s="283"/>
      <c r="H7" s="64">
        <v>1242114149718</v>
      </c>
      <c r="I7" s="21">
        <v>90695847297</v>
      </c>
      <c r="L7" s="79">
        <v>0</v>
      </c>
      <c r="M7" s="80">
        <v>11514183024.209999</v>
      </c>
      <c r="N7" s="79">
        <v>0</v>
      </c>
      <c r="O7" s="80">
        <v>12421141497.18</v>
      </c>
      <c r="Q7" s="79">
        <v>0</v>
      </c>
      <c r="R7" s="80">
        <v>-906958472.97000122</v>
      </c>
      <c r="T7" s="21"/>
    </row>
    <row r="8" spans="1:20" ht="27.95" customHeight="1" x14ac:dyDescent="0.3">
      <c r="A8" s="9"/>
      <c r="B8" s="444" t="s">
        <v>241</v>
      </c>
      <c r="C8" s="444"/>
      <c r="D8" s="10"/>
      <c r="E8" s="241">
        <v>1059469985632</v>
      </c>
      <c r="F8" s="12"/>
      <c r="G8" s="295">
        <v>1072378974508</v>
      </c>
      <c r="H8" s="231"/>
      <c r="L8" s="79">
        <v>10594699856.32</v>
      </c>
      <c r="M8" s="79">
        <v>0</v>
      </c>
      <c r="N8" s="79">
        <v>10723789745.08</v>
      </c>
      <c r="O8" s="79">
        <v>0</v>
      </c>
      <c r="Q8" s="79">
        <v>-129089888.76000023</v>
      </c>
      <c r="R8" s="79">
        <v>0</v>
      </c>
    </row>
    <row r="9" spans="1:20" ht="27.95" customHeight="1" x14ac:dyDescent="0.3">
      <c r="A9" s="13"/>
      <c r="B9" s="444" t="s">
        <v>396</v>
      </c>
      <c r="C9" s="444"/>
      <c r="D9" s="10"/>
      <c r="E9" s="241">
        <v>91948316789</v>
      </c>
      <c r="F9" s="12"/>
      <c r="G9" s="295">
        <v>169735175210</v>
      </c>
      <c r="H9" s="231"/>
      <c r="L9" s="79">
        <v>919483167.88999999</v>
      </c>
      <c r="M9" s="79">
        <v>0</v>
      </c>
      <c r="N9" s="79">
        <v>1697351752.0999999</v>
      </c>
      <c r="O9" s="79">
        <v>0</v>
      </c>
      <c r="Q9" s="79">
        <v>-777868584.20999992</v>
      </c>
      <c r="R9" s="79">
        <v>0</v>
      </c>
    </row>
    <row r="10" spans="1:20" ht="27.75" customHeight="1" x14ac:dyDescent="0.3">
      <c r="A10" s="5" t="s">
        <v>253</v>
      </c>
      <c r="B10" s="445" t="s">
        <v>278</v>
      </c>
      <c r="C10" s="445"/>
      <c r="D10" s="6"/>
      <c r="E10" s="63"/>
      <c r="F10" s="8">
        <v>1308753436529</v>
      </c>
      <c r="G10" s="284"/>
      <c r="H10" s="8">
        <v>1168041532205</v>
      </c>
      <c r="L10" s="79">
        <v>0</v>
      </c>
      <c r="M10" s="80">
        <v>13087534365.290001</v>
      </c>
      <c r="N10" s="79">
        <v>0</v>
      </c>
      <c r="O10" s="80">
        <v>11680415322.049999</v>
      </c>
      <c r="Q10" s="79">
        <v>0</v>
      </c>
      <c r="R10" s="80">
        <v>1407119043.2400017</v>
      </c>
      <c r="T10" s="21"/>
    </row>
    <row r="11" spans="1:20" ht="27.95" customHeight="1" x14ac:dyDescent="0.3">
      <c r="A11" s="9"/>
      <c r="B11" s="446" t="s">
        <v>390</v>
      </c>
      <c r="C11" s="446"/>
      <c r="D11" s="10"/>
      <c r="E11" s="241">
        <v>166252147644</v>
      </c>
      <c r="F11" s="12"/>
      <c r="G11" s="295">
        <v>159706341068</v>
      </c>
      <c r="H11" s="231"/>
      <c r="L11" s="79">
        <v>1662521476.4400001</v>
      </c>
      <c r="M11" s="79">
        <v>0</v>
      </c>
      <c r="N11" s="79">
        <v>1597063410.6800001</v>
      </c>
      <c r="O11" s="79">
        <v>0</v>
      </c>
      <c r="Q11" s="79">
        <v>65458065.75999999</v>
      </c>
      <c r="R11" s="79">
        <v>0</v>
      </c>
    </row>
    <row r="12" spans="1:20" ht="27.95" customHeight="1" x14ac:dyDescent="0.3">
      <c r="A12" s="9"/>
      <c r="B12" s="444" t="s">
        <v>401</v>
      </c>
      <c r="C12" s="444"/>
      <c r="D12" s="10"/>
      <c r="E12" s="241">
        <v>730818818</v>
      </c>
      <c r="F12" s="12"/>
      <c r="G12" s="295">
        <v>597448915</v>
      </c>
      <c r="H12" s="231"/>
      <c r="L12" s="79">
        <v>7308188.1799999997</v>
      </c>
      <c r="M12" s="79">
        <v>0</v>
      </c>
      <c r="N12" s="79">
        <v>5974489.1500000004</v>
      </c>
      <c r="O12" s="79">
        <v>0</v>
      </c>
      <c r="Q12" s="79">
        <v>1333699.0299999993</v>
      </c>
      <c r="R12" s="79">
        <v>0</v>
      </c>
    </row>
    <row r="13" spans="1:20" ht="27.95" customHeight="1" x14ac:dyDescent="0.3">
      <c r="A13" s="5"/>
      <c r="B13" s="444" t="s">
        <v>388</v>
      </c>
      <c r="C13" s="444"/>
      <c r="D13" s="6"/>
      <c r="E13" s="241">
        <v>247053866681</v>
      </c>
      <c r="F13" s="12"/>
      <c r="G13" s="295">
        <v>196952230024</v>
      </c>
      <c r="H13" s="231"/>
      <c r="L13" s="79">
        <v>2470538666.8099999</v>
      </c>
      <c r="M13" s="79">
        <v>0</v>
      </c>
      <c r="N13" s="79">
        <v>1969522300.24</v>
      </c>
      <c r="O13" s="79">
        <v>0</v>
      </c>
      <c r="Q13" s="79">
        <v>501016366.56999993</v>
      </c>
      <c r="R13" s="79">
        <v>0</v>
      </c>
    </row>
    <row r="14" spans="1:20" ht="27.95" customHeight="1" x14ac:dyDescent="0.3">
      <c r="A14" s="5"/>
      <c r="B14" s="444" t="s">
        <v>397</v>
      </c>
      <c r="C14" s="444"/>
      <c r="D14" s="6"/>
      <c r="E14" s="241">
        <v>14395425045</v>
      </c>
      <c r="F14" s="12"/>
      <c r="G14" s="295">
        <v>14577150625</v>
      </c>
      <c r="H14" s="231"/>
      <c r="L14" s="79">
        <v>143954250.44999999</v>
      </c>
      <c r="M14" s="79">
        <v>0</v>
      </c>
      <c r="N14" s="79">
        <v>145771506.25</v>
      </c>
      <c r="O14" s="79">
        <v>0</v>
      </c>
      <c r="Q14" s="79">
        <v>-1817255.8000000119</v>
      </c>
      <c r="R14" s="79">
        <v>0</v>
      </c>
    </row>
    <row r="15" spans="1:20" ht="27.95" customHeight="1" x14ac:dyDescent="0.3">
      <c r="A15" s="9"/>
      <c r="B15" s="444" t="s">
        <v>400</v>
      </c>
      <c r="C15" s="444"/>
      <c r="D15" s="10"/>
      <c r="E15" s="241">
        <v>3991945879</v>
      </c>
      <c r="F15" s="12"/>
      <c r="G15" s="295">
        <v>5431078809</v>
      </c>
      <c r="H15" s="231"/>
      <c r="L15" s="79">
        <v>39919458.789999999</v>
      </c>
      <c r="M15" s="79">
        <v>0</v>
      </c>
      <c r="N15" s="79">
        <v>54310788.090000004</v>
      </c>
      <c r="O15" s="79">
        <v>0</v>
      </c>
      <c r="Q15" s="79">
        <v>-14391329.300000004</v>
      </c>
      <c r="R15" s="79">
        <v>0</v>
      </c>
    </row>
    <row r="16" spans="1:20" ht="27.95" customHeight="1" x14ac:dyDescent="0.3">
      <c r="A16" s="9"/>
      <c r="B16" s="444" t="s">
        <v>391</v>
      </c>
      <c r="C16" s="444"/>
      <c r="D16" s="10"/>
      <c r="E16" s="241">
        <v>536195758</v>
      </c>
      <c r="F16" s="12"/>
      <c r="G16" s="295">
        <v>334085211</v>
      </c>
      <c r="H16" s="231"/>
      <c r="L16" s="79">
        <v>5361957.58</v>
      </c>
      <c r="M16" s="79">
        <v>0</v>
      </c>
      <c r="N16" s="79">
        <v>3340852.11</v>
      </c>
      <c r="O16" s="79">
        <v>0</v>
      </c>
      <c r="Q16" s="79">
        <v>2021105.4700000002</v>
      </c>
      <c r="R16" s="79">
        <v>0</v>
      </c>
    </row>
    <row r="17" spans="1:18" ht="27.95" customHeight="1" x14ac:dyDescent="0.3">
      <c r="A17" s="9"/>
      <c r="B17" s="444" t="s">
        <v>244</v>
      </c>
      <c r="C17" s="444"/>
      <c r="D17" s="10"/>
      <c r="E17" s="241">
        <v>2988602113</v>
      </c>
      <c r="F17" s="12"/>
      <c r="G17" s="295">
        <v>2067313489</v>
      </c>
      <c r="H17" s="231"/>
      <c r="L17" s="79">
        <v>29886021.129999999</v>
      </c>
      <c r="M17" s="79">
        <v>0</v>
      </c>
      <c r="N17" s="79">
        <v>20673134.890000001</v>
      </c>
      <c r="O17" s="79">
        <v>0</v>
      </c>
      <c r="Q17" s="79">
        <v>9212886.2399999984</v>
      </c>
      <c r="R17" s="79">
        <v>0</v>
      </c>
    </row>
    <row r="18" spans="1:18" ht="27.95" customHeight="1" x14ac:dyDescent="0.3">
      <c r="A18" s="9"/>
      <c r="B18" s="448" t="s">
        <v>399</v>
      </c>
      <c r="C18" s="448"/>
      <c r="D18" s="87"/>
      <c r="E18" s="241">
        <v>396934908549</v>
      </c>
      <c r="F18" s="12"/>
      <c r="G18" s="295">
        <v>380711838936</v>
      </c>
      <c r="H18" s="231"/>
      <c r="L18" s="79">
        <v>3969349085.4899998</v>
      </c>
      <c r="M18" s="79">
        <v>0</v>
      </c>
      <c r="N18" s="79">
        <v>3807118389.3600001</v>
      </c>
      <c r="O18" s="79">
        <v>0</v>
      </c>
      <c r="Q18" s="79">
        <v>162230696.12999964</v>
      </c>
      <c r="R18" s="79">
        <v>0</v>
      </c>
    </row>
    <row r="19" spans="1:18" ht="27.95" customHeight="1" x14ac:dyDescent="0.3">
      <c r="A19" s="9"/>
      <c r="B19" s="448" t="s">
        <v>392</v>
      </c>
      <c r="C19" s="448"/>
      <c r="D19" s="87"/>
      <c r="E19" s="241">
        <v>3952048455</v>
      </c>
      <c r="F19" s="12"/>
      <c r="G19" s="295">
        <v>4016568892</v>
      </c>
      <c r="H19" s="231"/>
      <c r="L19" s="79">
        <v>39520484.549999997</v>
      </c>
      <c r="M19" s="79">
        <v>0</v>
      </c>
      <c r="N19" s="79">
        <v>40165688.920000002</v>
      </c>
      <c r="O19" s="79">
        <v>0</v>
      </c>
      <c r="Q19" s="79">
        <v>-645204.37000000477</v>
      </c>
      <c r="R19" s="79">
        <v>0</v>
      </c>
    </row>
    <row r="20" spans="1:18" ht="27.95" customHeight="1" x14ac:dyDescent="0.3">
      <c r="A20" s="9"/>
      <c r="B20" s="448" t="s">
        <v>398</v>
      </c>
      <c r="C20" s="448"/>
      <c r="D20" s="87"/>
      <c r="E20" s="241">
        <v>82374892029</v>
      </c>
      <c r="F20" s="12"/>
      <c r="G20" s="295">
        <v>39941029912</v>
      </c>
      <c r="H20" s="231"/>
      <c r="L20" s="79">
        <v>823748920.28999996</v>
      </c>
      <c r="M20" s="79">
        <v>0</v>
      </c>
      <c r="N20" s="79">
        <v>399410299.12</v>
      </c>
      <c r="O20" s="79">
        <v>0</v>
      </c>
      <c r="Q20" s="79">
        <v>424338621.16999996</v>
      </c>
      <c r="R20" s="79">
        <v>0</v>
      </c>
    </row>
    <row r="21" spans="1:18" ht="27.95" customHeight="1" x14ac:dyDescent="0.3">
      <c r="A21" s="9"/>
      <c r="B21" s="444" t="s">
        <v>418</v>
      </c>
      <c r="C21" s="444"/>
      <c r="D21" s="10"/>
      <c r="E21" s="241">
        <v>324476991</v>
      </c>
      <c r="F21" s="12"/>
      <c r="G21" s="295">
        <v>359341599</v>
      </c>
      <c r="H21" s="231"/>
      <c r="L21" s="79">
        <v>3244769.91</v>
      </c>
      <c r="M21" s="79">
        <v>0</v>
      </c>
      <c r="N21" s="79">
        <v>3593415.99</v>
      </c>
      <c r="O21" s="79">
        <v>0</v>
      </c>
      <c r="Q21" s="79">
        <v>-348646.08000000007</v>
      </c>
      <c r="R21" s="79">
        <v>0</v>
      </c>
    </row>
    <row r="22" spans="1:18" ht="27.95" customHeight="1" x14ac:dyDescent="0.3">
      <c r="A22" s="9"/>
      <c r="B22" s="444" t="s">
        <v>243</v>
      </c>
      <c r="C22" s="444"/>
      <c r="D22" s="10"/>
      <c r="E22" s="241">
        <v>1297750084</v>
      </c>
      <c r="F22" s="12"/>
      <c r="G22" s="295">
        <v>1330491643</v>
      </c>
      <c r="H22" s="231"/>
      <c r="L22" s="79">
        <v>12977500.84</v>
      </c>
      <c r="M22" s="79">
        <v>0</v>
      </c>
      <c r="N22" s="79">
        <v>13304916.43</v>
      </c>
      <c r="O22" s="79">
        <v>0</v>
      </c>
      <c r="Q22" s="79">
        <v>-327415.58999999985</v>
      </c>
      <c r="R22" s="79">
        <v>0</v>
      </c>
    </row>
    <row r="23" spans="1:18" ht="27.95" customHeight="1" x14ac:dyDescent="0.3">
      <c r="A23" s="9"/>
      <c r="B23" s="444" t="s">
        <v>402</v>
      </c>
      <c r="C23" s="444"/>
      <c r="D23" s="10"/>
      <c r="E23" s="241">
        <v>317169462000</v>
      </c>
      <c r="F23" s="12"/>
      <c r="G23" s="295">
        <v>296138715545</v>
      </c>
      <c r="H23" s="231"/>
      <c r="L23" s="79">
        <v>3171694620</v>
      </c>
      <c r="M23" s="79">
        <v>0</v>
      </c>
      <c r="N23" s="79">
        <v>2961387155.4499998</v>
      </c>
      <c r="O23" s="79">
        <v>0</v>
      </c>
      <c r="Q23" s="79">
        <v>210307464.55000019</v>
      </c>
      <c r="R23" s="79">
        <v>0</v>
      </c>
    </row>
    <row r="24" spans="1:18" ht="27.75" customHeight="1" x14ac:dyDescent="0.3">
      <c r="A24" s="9"/>
      <c r="B24" s="444" t="s">
        <v>386</v>
      </c>
      <c r="C24" s="444"/>
      <c r="D24" s="10"/>
      <c r="E24" s="241">
        <v>2115600</v>
      </c>
      <c r="F24" s="12"/>
      <c r="G24" s="295">
        <v>1341600</v>
      </c>
      <c r="H24" s="231"/>
      <c r="L24" s="79">
        <v>21156</v>
      </c>
      <c r="M24" s="79">
        <v>0</v>
      </c>
      <c r="N24" s="79">
        <v>13416</v>
      </c>
      <c r="O24" s="79">
        <v>0</v>
      </c>
      <c r="Q24" s="79">
        <v>7740</v>
      </c>
      <c r="R24" s="79">
        <v>0</v>
      </c>
    </row>
    <row r="25" spans="1:18" ht="27.95" hidden="1" customHeight="1" x14ac:dyDescent="0.3">
      <c r="A25" s="9"/>
      <c r="B25" s="444" t="s">
        <v>405</v>
      </c>
      <c r="C25" s="444"/>
      <c r="D25" s="10"/>
      <c r="E25" s="241">
        <v>0</v>
      </c>
      <c r="F25" s="12"/>
      <c r="G25" s="295">
        <v>0</v>
      </c>
      <c r="H25" s="231"/>
      <c r="L25" s="79">
        <v>0</v>
      </c>
      <c r="M25" s="79">
        <v>0</v>
      </c>
      <c r="N25" s="79">
        <v>0</v>
      </c>
      <c r="O25" s="79">
        <v>0</v>
      </c>
      <c r="Q25" s="79">
        <v>0</v>
      </c>
      <c r="R25" s="79">
        <v>0</v>
      </c>
    </row>
    <row r="26" spans="1:18" ht="27.95" customHeight="1" x14ac:dyDescent="0.3">
      <c r="A26" s="9"/>
      <c r="B26" s="444" t="s">
        <v>417</v>
      </c>
      <c r="C26" s="444"/>
      <c r="D26" s="10"/>
      <c r="E26" s="241">
        <v>5031767835</v>
      </c>
      <c r="F26" s="12"/>
      <c r="G26" s="295">
        <v>4953173932</v>
      </c>
      <c r="H26" s="231"/>
      <c r="L26" s="79">
        <v>50317678.350000001</v>
      </c>
      <c r="M26" s="79">
        <v>0</v>
      </c>
      <c r="N26" s="79">
        <v>49531739.32</v>
      </c>
      <c r="O26" s="79">
        <v>0</v>
      </c>
      <c r="Q26" s="79">
        <v>785939.03000000119</v>
      </c>
      <c r="R26" s="79">
        <v>0</v>
      </c>
    </row>
    <row r="27" spans="1:18" ht="27.95" customHeight="1" x14ac:dyDescent="0.3">
      <c r="A27" s="9"/>
      <c r="B27" s="444" t="s">
        <v>239</v>
      </c>
      <c r="C27" s="444"/>
      <c r="D27" s="10"/>
      <c r="E27" s="241">
        <v>491609719</v>
      </c>
      <c r="F27" s="12"/>
      <c r="G27" s="295">
        <v>0</v>
      </c>
      <c r="H27" s="231"/>
      <c r="L27" s="79">
        <v>4916097.1900000004</v>
      </c>
      <c r="M27" s="79">
        <v>0</v>
      </c>
      <c r="N27" s="79">
        <v>0</v>
      </c>
      <c r="O27" s="79">
        <v>0</v>
      </c>
      <c r="Q27" s="79">
        <v>4916097.1900000004</v>
      </c>
      <c r="R27" s="79">
        <v>0</v>
      </c>
    </row>
    <row r="28" spans="1:18" ht="27.95" hidden="1" customHeight="1" x14ac:dyDescent="0.3">
      <c r="A28" s="9"/>
      <c r="B28" s="444" t="s">
        <v>406</v>
      </c>
      <c r="C28" s="444"/>
      <c r="D28" s="10"/>
      <c r="E28" s="241">
        <v>0</v>
      </c>
      <c r="F28" s="12"/>
      <c r="G28" s="295">
        <v>0</v>
      </c>
      <c r="H28" s="231"/>
      <c r="L28" s="79">
        <v>0</v>
      </c>
      <c r="M28" s="79">
        <v>0</v>
      </c>
      <c r="N28" s="79">
        <v>0</v>
      </c>
      <c r="O28" s="79">
        <v>0</v>
      </c>
      <c r="Q28" s="79">
        <v>0</v>
      </c>
      <c r="R28" s="79">
        <v>0</v>
      </c>
    </row>
    <row r="29" spans="1:18" ht="27.95" customHeight="1" x14ac:dyDescent="0.3">
      <c r="A29" s="9"/>
      <c r="B29" s="444" t="s">
        <v>403</v>
      </c>
      <c r="C29" s="444"/>
      <c r="D29" s="10"/>
      <c r="E29" s="241">
        <v>100388698</v>
      </c>
      <c r="F29" s="12"/>
      <c r="G29" s="295">
        <v>86765112</v>
      </c>
      <c r="H29" s="231"/>
      <c r="L29" s="79">
        <v>1003886.98</v>
      </c>
      <c r="M29" s="79">
        <v>0</v>
      </c>
      <c r="N29" s="79">
        <v>867651.12</v>
      </c>
      <c r="O29" s="79">
        <v>0</v>
      </c>
      <c r="Q29" s="79">
        <v>136235.85999999999</v>
      </c>
      <c r="R29" s="79">
        <v>0</v>
      </c>
    </row>
    <row r="30" spans="1:18" ht="27.95" customHeight="1" x14ac:dyDescent="0.3">
      <c r="A30" s="9"/>
      <c r="B30" s="444" t="s">
        <v>424</v>
      </c>
      <c r="C30" s="444"/>
      <c r="D30" s="10"/>
      <c r="E30" s="241">
        <v>813040678</v>
      </c>
      <c r="F30" s="12"/>
      <c r="G30" s="295">
        <v>247601631</v>
      </c>
      <c r="H30" s="231"/>
      <c r="L30" s="79">
        <v>8130406.7800000003</v>
      </c>
      <c r="M30" s="79">
        <v>0</v>
      </c>
      <c r="N30" s="79">
        <v>2476016.31</v>
      </c>
      <c r="O30" s="79">
        <v>0</v>
      </c>
      <c r="Q30" s="79">
        <v>5654390.4700000007</v>
      </c>
      <c r="R30" s="79">
        <v>0</v>
      </c>
    </row>
    <row r="31" spans="1:18" ht="27.95" customHeight="1" x14ac:dyDescent="0.3">
      <c r="A31" s="9"/>
      <c r="B31" s="446" t="s">
        <v>421</v>
      </c>
      <c r="C31" s="446"/>
      <c r="D31" s="10"/>
      <c r="E31" s="241">
        <v>43505048847</v>
      </c>
      <c r="F31" s="12"/>
      <c r="G31" s="295">
        <v>41686717486</v>
      </c>
      <c r="H31" s="231"/>
      <c r="L31" s="79">
        <v>435050488.47000003</v>
      </c>
      <c r="M31" s="79">
        <v>0</v>
      </c>
      <c r="N31" s="79">
        <v>416867174.86000001</v>
      </c>
      <c r="O31" s="79">
        <v>0</v>
      </c>
      <c r="Q31" s="79">
        <v>18183313.610000014</v>
      </c>
      <c r="R31" s="79">
        <v>0</v>
      </c>
    </row>
    <row r="32" spans="1:18" ht="27.95" customHeight="1" thickBot="1" x14ac:dyDescent="0.35">
      <c r="A32" s="59"/>
      <c r="B32" s="447" t="s">
        <v>237</v>
      </c>
      <c r="C32" s="447"/>
      <c r="D32" s="58"/>
      <c r="E32" s="241">
        <v>20806925106</v>
      </c>
      <c r="F32" s="60"/>
      <c r="G32" s="295">
        <v>18902297776</v>
      </c>
      <c r="H32" s="232"/>
      <c r="L32" s="79">
        <v>208069251.06</v>
      </c>
      <c r="M32" s="79">
        <v>0</v>
      </c>
      <c r="N32" s="79">
        <v>189022977.75999999</v>
      </c>
      <c r="O32" s="79">
        <v>0</v>
      </c>
      <c r="Q32" s="79">
        <v>19046273.300000012</v>
      </c>
      <c r="R32" s="79">
        <v>0</v>
      </c>
    </row>
    <row r="33" spans="1:18" ht="27.95" customHeight="1" thickBot="1" x14ac:dyDescent="0.35">
      <c r="A33" s="59"/>
      <c r="B33" s="420" t="s">
        <v>279</v>
      </c>
      <c r="C33" s="420"/>
      <c r="D33" s="58"/>
      <c r="E33" s="74"/>
      <c r="F33" s="57">
        <v>2460171738950</v>
      </c>
      <c r="G33" s="74"/>
      <c r="H33" s="57">
        <v>2410155681923</v>
      </c>
      <c r="I33" s="32">
        <v>-50016057027</v>
      </c>
      <c r="L33" s="79">
        <v>0</v>
      </c>
      <c r="M33" s="80">
        <v>24601717389.5</v>
      </c>
      <c r="N33" s="79">
        <v>0</v>
      </c>
      <c r="O33" s="80">
        <v>24101556819.23</v>
      </c>
      <c r="Q33" s="79">
        <v>0</v>
      </c>
      <c r="R33" s="80">
        <v>500160570.27000046</v>
      </c>
    </row>
    <row r="36" spans="1:18" s="233" customFormat="1" x14ac:dyDescent="0.3">
      <c r="F36" s="238" t="b">
        <v>1</v>
      </c>
      <c r="G36" s="237"/>
      <c r="H36" s="238" t="b">
        <v>1</v>
      </c>
    </row>
  </sheetData>
  <mergeCells count="35">
    <mergeCell ref="B24:C24"/>
    <mergeCell ref="B19:C19"/>
    <mergeCell ref="B20:C20"/>
    <mergeCell ref="B21:C21"/>
    <mergeCell ref="B22:C22"/>
    <mergeCell ref="B23:C23"/>
    <mergeCell ref="B17:C17"/>
    <mergeCell ref="B33:C33"/>
    <mergeCell ref="B9:C9"/>
    <mergeCell ref="B31:C31"/>
    <mergeCell ref="B32:C32"/>
    <mergeCell ref="B25:C25"/>
    <mergeCell ref="B26:C26"/>
    <mergeCell ref="B27:C27"/>
    <mergeCell ref="B28:C28"/>
    <mergeCell ref="B29:C29"/>
    <mergeCell ref="B18:C18"/>
    <mergeCell ref="B13:C13"/>
    <mergeCell ref="B14:C14"/>
    <mergeCell ref="B15:C15"/>
    <mergeCell ref="B16:C16"/>
    <mergeCell ref="B30:C30"/>
    <mergeCell ref="B7:C7"/>
    <mergeCell ref="B8:C8"/>
    <mergeCell ref="B12:C12"/>
    <mergeCell ref="B10:C10"/>
    <mergeCell ref="B11:C11"/>
    <mergeCell ref="G6:H6"/>
    <mergeCell ref="A1:H1"/>
    <mergeCell ref="A3:H3"/>
    <mergeCell ref="A2:H2"/>
    <mergeCell ref="A4:E4"/>
    <mergeCell ref="A5:C5"/>
    <mergeCell ref="B6:C6"/>
    <mergeCell ref="E6:F6"/>
  </mergeCells>
  <phoneticPr fontId="109" type="noConversion"/>
  <pageMargins left="0.69999998807907104" right="0.69999998807907104" top="0.75" bottom="0.75" header="0.30000001192092896" footer="0.30000001192092896"/>
  <pageSetup paperSize="9" scale="52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tabColor rgb="FF00B0F0"/>
    <pageSetUpPr fitToPage="1"/>
  </sheetPr>
  <dimension ref="A1:H40"/>
  <sheetViews>
    <sheetView view="pageBreakPreview" zoomScale="55" zoomScaleNormal="70" zoomScaleSheetLayoutView="55" workbookViewId="0">
      <selection activeCell="D21" sqref="D21"/>
    </sheetView>
  </sheetViews>
  <sheetFormatPr defaultRowHeight="16.5" x14ac:dyDescent="0.3"/>
  <cols>
    <col min="1" max="1" width="5" bestFit="1" customWidth="1"/>
    <col min="2" max="2" width="4.75" bestFit="1" customWidth="1"/>
    <col min="3" max="3" width="35.625" customWidth="1"/>
    <col min="4" max="4" width="3.5" customWidth="1"/>
    <col min="5" max="8" width="26" customWidth="1"/>
  </cols>
  <sheetData>
    <row r="1" spans="1:8" ht="52.5" customHeight="1" x14ac:dyDescent="0.3">
      <c r="A1" s="428" t="s">
        <v>166</v>
      </c>
      <c r="B1" s="428"/>
      <c r="C1" s="428"/>
      <c r="D1" s="428"/>
      <c r="E1" s="428"/>
      <c r="F1" s="428"/>
      <c r="G1" s="428"/>
      <c r="H1" s="428"/>
    </row>
    <row r="2" spans="1:8" ht="20.25" x14ac:dyDescent="0.3">
      <c r="A2" s="429" t="s">
        <v>669</v>
      </c>
      <c r="B2" s="429"/>
      <c r="C2" s="429"/>
      <c r="D2" s="429"/>
      <c r="E2" s="429"/>
      <c r="F2" s="429"/>
      <c r="G2" s="429"/>
      <c r="H2" s="429"/>
    </row>
    <row r="3" spans="1:8" ht="20.25" x14ac:dyDescent="0.3">
      <c r="A3" s="429" t="s">
        <v>670</v>
      </c>
      <c r="B3" s="429"/>
      <c r="C3" s="429"/>
      <c r="D3" s="429"/>
      <c r="E3" s="429"/>
      <c r="F3" s="429"/>
      <c r="G3" s="429"/>
      <c r="H3" s="429"/>
    </row>
    <row r="4" spans="1:8" x14ac:dyDescent="0.3">
      <c r="A4" s="437"/>
      <c r="B4" s="437"/>
      <c r="C4" s="437"/>
      <c r="D4" s="437"/>
      <c r="E4" s="437"/>
    </row>
    <row r="5" spans="1:8" ht="21" thickBot="1" x14ac:dyDescent="0.35">
      <c r="A5" s="438" t="s">
        <v>436</v>
      </c>
      <c r="B5" s="438"/>
      <c r="C5" s="438"/>
      <c r="D5" s="1"/>
      <c r="E5" s="3"/>
      <c r="H5" s="3" t="s">
        <v>295</v>
      </c>
    </row>
    <row r="6" spans="1:8" ht="51" customHeight="1" thickBot="1" x14ac:dyDescent="0.35">
      <c r="A6" s="68" t="s">
        <v>268</v>
      </c>
      <c r="B6" s="442" t="s">
        <v>495</v>
      </c>
      <c r="C6" s="442"/>
      <c r="D6" s="346"/>
      <c r="E6" s="439" t="s">
        <v>565</v>
      </c>
      <c r="F6" s="431"/>
      <c r="G6" s="439" t="s">
        <v>539</v>
      </c>
      <c r="H6" s="431"/>
    </row>
    <row r="7" spans="1:8" ht="27.95" customHeight="1" x14ac:dyDescent="0.3">
      <c r="A7" s="67" t="s">
        <v>262</v>
      </c>
      <c r="B7" s="443" t="s">
        <v>276</v>
      </c>
      <c r="C7" s="443"/>
      <c r="D7" s="66"/>
      <c r="E7" s="65"/>
      <c r="F7" s="64">
        <v>39612077686</v>
      </c>
      <c r="G7" s="283"/>
      <c r="H7" s="64">
        <v>39032141841</v>
      </c>
    </row>
    <row r="8" spans="1:8" ht="27.95" customHeight="1" x14ac:dyDescent="0.3">
      <c r="A8" s="9"/>
      <c r="B8" s="444" t="s">
        <v>241</v>
      </c>
      <c r="C8" s="444"/>
      <c r="D8" s="10"/>
      <c r="E8" s="62">
        <v>36112407740</v>
      </c>
      <c r="F8" s="12"/>
      <c r="G8" s="295">
        <v>35046304356</v>
      </c>
      <c r="H8" s="231"/>
    </row>
    <row r="9" spans="1:8" ht="27.75" customHeight="1" x14ac:dyDescent="0.3">
      <c r="A9" s="13"/>
      <c r="B9" s="444" t="s">
        <v>396</v>
      </c>
      <c r="C9" s="444"/>
      <c r="D9" s="10"/>
      <c r="E9" s="62">
        <v>3499669946</v>
      </c>
      <c r="F9" s="12"/>
      <c r="G9" s="295">
        <v>3985837485</v>
      </c>
      <c r="H9" s="231"/>
    </row>
    <row r="10" spans="1:8" ht="27.75" customHeight="1" x14ac:dyDescent="0.3">
      <c r="A10" s="5" t="s">
        <v>253</v>
      </c>
      <c r="B10" s="445" t="s">
        <v>278</v>
      </c>
      <c r="C10" s="445"/>
      <c r="D10" s="6"/>
      <c r="E10" s="63"/>
      <c r="F10" s="8">
        <v>53671945172</v>
      </c>
      <c r="G10" s="287"/>
      <c r="H10" s="8">
        <v>43656634522</v>
      </c>
    </row>
    <row r="11" spans="1:8" ht="27.95" customHeight="1" x14ac:dyDescent="0.3">
      <c r="A11" s="9"/>
      <c r="B11" s="444" t="s">
        <v>390</v>
      </c>
      <c r="C11" s="444"/>
      <c r="D11" s="10"/>
      <c r="E11" s="62">
        <v>6795295451</v>
      </c>
      <c r="F11" s="12"/>
      <c r="G11" s="295">
        <v>6408112511</v>
      </c>
      <c r="H11" s="231"/>
    </row>
    <row r="12" spans="1:8" ht="27.95" customHeight="1" x14ac:dyDescent="0.3">
      <c r="A12" s="9"/>
      <c r="B12" s="444" t="s">
        <v>401</v>
      </c>
      <c r="C12" s="444"/>
      <c r="D12" s="10"/>
      <c r="E12" s="62">
        <v>17986497</v>
      </c>
      <c r="F12" s="12"/>
      <c r="G12" s="295">
        <v>14757621</v>
      </c>
      <c r="H12" s="231"/>
    </row>
    <row r="13" spans="1:8" ht="27.95" customHeight="1" x14ac:dyDescent="0.3">
      <c r="A13" s="5"/>
      <c r="B13" s="444" t="s">
        <v>388</v>
      </c>
      <c r="C13" s="444"/>
      <c r="D13" s="6"/>
      <c r="E13" s="62">
        <v>12021733866</v>
      </c>
      <c r="F13" s="12"/>
      <c r="G13" s="295">
        <v>9467259479</v>
      </c>
      <c r="H13" s="231"/>
    </row>
    <row r="14" spans="1:8" ht="27.95" customHeight="1" x14ac:dyDescent="0.3">
      <c r="A14" s="5"/>
      <c r="B14" s="444" t="s">
        <v>397</v>
      </c>
      <c r="C14" s="444"/>
      <c r="D14" s="6"/>
      <c r="E14" s="62">
        <v>696475553</v>
      </c>
      <c r="F14" s="12"/>
      <c r="G14" s="295">
        <v>572795810</v>
      </c>
      <c r="H14" s="231"/>
    </row>
    <row r="15" spans="1:8" ht="27.95" customHeight="1" x14ac:dyDescent="0.3">
      <c r="A15" s="9"/>
      <c r="B15" s="444" t="s">
        <v>400</v>
      </c>
      <c r="C15" s="444"/>
      <c r="D15" s="10"/>
      <c r="E15" s="62">
        <v>693368874</v>
      </c>
      <c r="F15" s="12"/>
      <c r="G15" s="295">
        <v>766551185</v>
      </c>
      <c r="H15" s="231"/>
    </row>
    <row r="16" spans="1:8" ht="27.95" customHeight="1" x14ac:dyDescent="0.3">
      <c r="A16" s="9"/>
      <c r="B16" s="444" t="s">
        <v>391</v>
      </c>
      <c r="C16" s="444"/>
      <c r="D16" s="10"/>
      <c r="E16" s="62">
        <v>32261702</v>
      </c>
      <c r="F16" s="12"/>
      <c r="G16" s="295">
        <v>14943213</v>
      </c>
      <c r="H16" s="231"/>
    </row>
    <row r="17" spans="1:8" ht="27.75" customHeight="1" x14ac:dyDescent="0.3">
      <c r="A17" s="9"/>
      <c r="B17" s="444" t="s">
        <v>244</v>
      </c>
      <c r="C17" s="444"/>
      <c r="D17" s="10"/>
      <c r="E17" s="62">
        <v>510255562</v>
      </c>
      <c r="F17" s="12"/>
      <c r="G17" s="295">
        <v>493945984</v>
      </c>
      <c r="H17" s="231"/>
    </row>
    <row r="18" spans="1:8" ht="27.75" hidden="1" customHeight="1" x14ac:dyDescent="0.3">
      <c r="A18" s="9"/>
      <c r="B18" s="448" t="s">
        <v>399</v>
      </c>
      <c r="C18" s="448"/>
      <c r="D18" s="10"/>
      <c r="E18" s="62">
        <v>0</v>
      </c>
      <c r="F18" s="12"/>
      <c r="G18" s="295">
        <v>0</v>
      </c>
      <c r="H18" s="231"/>
    </row>
    <row r="19" spans="1:8" ht="27.75" hidden="1" customHeight="1" x14ac:dyDescent="0.3">
      <c r="A19" s="9"/>
      <c r="B19" s="444" t="s">
        <v>392</v>
      </c>
      <c r="C19" s="444"/>
      <c r="D19" s="10"/>
      <c r="E19" s="62">
        <v>0</v>
      </c>
      <c r="F19" s="12"/>
      <c r="G19" s="295">
        <v>0</v>
      </c>
      <c r="H19" s="231"/>
    </row>
    <row r="20" spans="1:8" ht="27.95" customHeight="1" x14ac:dyDescent="0.3">
      <c r="A20" s="9"/>
      <c r="B20" s="444" t="s">
        <v>398</v>
      </c>
      <c r="C20" s="444"/>
      <c r="D20" s="10"/>
      <c r="E20" s="62">
        <v>5726938672</v>
      </c>
      <c r="F20" s="12"/>
      <c r="G20" s="295">
        <v>1381962940</v>
      </c>
      <c r="H20" s="231"/>
    </row>
    <row r="21" spans="1:8" ht="27.95" customHeight="1" x14ac:dyDescent="0.3">
      <c r="A21" s="9"/>
      <c r="B21" s="444" t="s">
        <v>418</v>
      </c>
      <c r="C21" s="444"/>
      <c r="D21" s="10"/>
      <c r="E21" s="62">
        <v>5965391</v>
      </c>
      <c r="F21" s="12"/>
      <c r="G21" s="295">
        <v>5207674</v>
      </c>
      <c r="H21" s="231"/>
    </row>
    <row r="22" spans="1:8" ht="27.95" customHeight="1" x14ac:dyDescent="0.3">
      <c r="A22" s="9"/>
      <c r="B22" s="444" t="s">
        <v>243</v>
      </c>
      <c r="C22" s="444"/>
      <c r="D22" s="10"/>
      <c r="E22" s="62">
        <v>1377569025</v>
      </c>
      <c r="F22" s="12"/>
      <c r="G22" s="295">
        <v>1232669234</v>
      </c>
      <c r="H22" s="231"/>
    </row>
    <row r="23" spans="1:8" ht="27.95" customHeight="1" x14ac:dyDescent="0.3">
      <c r="A23" s="9"/>
      <c r="B23" s="444" t="s">
        <v>402</v>
      </c>
      <c r="C23" s="444"/>
      <c r="D23" s="10"/>
      <c r="E23" s="62">
        <v>22612896235</v>
      </c>
      <c r="F23" s="12"/>
      <c r="G23" s="295">
        <v>21411246560</v>
      </c>
      <c r="H23" s="231"/>
    </row>
    <row r="24" spans="1:8" ht="27.95" customHeight="1" x14ac:dyDescent="0.3">
      <c r="A24" s="9"/>
      <c r="B24" s="444" t="s">
        <v>386</v>
      </c>
      <c r="C24" s="444"/>
      <c r="D24" s="10"/>
      <c r="E24" s="62">
        <v>6456200</v>
      </c>
      <c r="F24" s="12"/>
      <c r="G24" s="295">
        <v>1260400</v>
      </c>
      <c r="H24" s="231"/>
    </row>
    <row r="25" spans="1:8" ht="27.95" customHeight="1" x14ac:dyDescent="0.3">
      <c r="A25" s="9"/>
      <c r="B25" s="444" t="s">
        <v>405</v>
      </c>
      <c r="C25" s="444"/>
      <c r="D25" s="10"/>
      <c r="E25" s="62">
        <v>1334500</v>
      </c>
      <c r="F25" s="12"/>
      <c r="G25" s="295">
        <v>0</v>
      </c>
      <c r="H25" s="231"/>
    </row>
    <row r="26" spans="1:8" ht="27.95" customHeight="1" x14ac:dyDescent="0.3">
      <c r="A26" s="9"/>
      <c r="B26" s="444" t="s">
        <v>417</v>
      </c>
      <c r="C26" s="444"/>
      <c r="D26" s="10"/>
      <c r="E26" s="62">
        <v>147180012</v>
      </c>
      <c r="F26" s="12"/>
      <c r="G26" s="295">
        <v>144601648</v>
      </c>
      <c r="H26" s="231"/>
    </row>
    <row r="27" spans="1:8" ht="27.75" customHeight="1" x14ac:dyDescent="0.3">
      <c r="A27" s="9"/>
      <c r="B27" s="444" t="s">
        <v>239</v>
      </c>
      <c r="C27" s="444"/>
      <c r="D27" s="10"/>
      <c r="E27" s="62">
        <v>13288015</v>
      </c>
      <c r="F27" s="12"/>
      <c r="G27" s="295">
        <v>18560170</v>
      </c>
      <c r="H27" s="231"/>
    </row>
    <row r="28" spans="1:8" ht="27.75" customHeight="1" x14ac:dyDescent="0.3">
      <c r="A28" s="9"/>
      <c r="B28" s="444" t="s">
        <v>406</v>
      </c>
      <c r="C28" s="444"/>
      <c r="D28" s="10"/>
      <c r="E28" s="62">
        <v>6271100</v>
      </c>
      <c r="F28" s="12"/>
      <c r="G28" s="295">
        <v>9047700</v>
      </c>
      <c r="H28" s="231"/>
    </row>
    <row r="29" spans="1:8" ht="27.95" customHeight="1" x14ac:dyDescent="0.3">
      <c r="A29" s="9"/>
      <c r="B29" s="444" t="s">
        <v>403</v>
      </c>
      <c r="C29" s="444"/>
      <c r="D29" s="10"/>
      <c r="E29" s="62">
        <v>2252147390</v>
      </c>
      <c r="F29" s="12"/>
      <c r="G29" s="295">
        <v>1274310274</v>
      </c>
      <c r="H29" s="231"/>
    </row>
    <row r="30" spans="1:8" ht="27.75" hidden="1" customHeight="1" x14ac:dyDescent="0.3">
      <c r="A30" s="9"/>
      <c r="B30" s="444" t="s">
        <v>424</v>
      </c>
      <c r="C30" s="444"/>
      <c r="D30" s="10"/>
      <c r="E30" s="62">
        <v>0</v>
      </c>
      <c r="F30" s="12"/>
      <c r="G30" s="295">
        <v>0</v>
      </c>
      <c r="H30" s="231"/>
    </row>
    <row r="31" spans="1:8" ht="27.75" hidden="1" customHeight="1" x14ac:dyDescent="0.3">
      <c r="A31" s="9"/>
      <c r="B31" s="444" t="s">
        <v>421</v>
      </c>
      <c r="C31" s="444"/>
      <c r="D31" s="10"/>
      <c r="E31" s="62">
        <v>0</v>
      </c>
      <c r="F31" s="12"/>
      <c r="G31" s="295">
        <v>0</v>
      </c>
      <c r="H31" s="231"/>
    </row>
    <row r="32" spans="1:8" ht="27.95" customHeight="1" thickBot="1" x14ac:dyDescent="0.35">
      <c r="A32" s="9"/>
      <c r="B32" s="444" t="s">
        <v>237</v>
      </c>
      <c r="C32" s="444"/>
      <c r="D32" s="10"/>
      <c r="E32" s="62">
        <v>754521127</v>
      </c>
      <c r="F32" s="12"/>
      <c r="G32" s="295">
        <v>439402119</v>
      </c>
      <c r="H32" s="231"/>
    </row>
    <row r="33" spans="1:8" ht="27.95" hidden="1" customHeight="1" x14ac:dyDescent="0.3">
      <c r="A33" s="9"/>
      <c r="B33" s="444" t="s">
        <v>423</v>
      </c>
      <c r="C33" s="444"/>
      <c r="D33" s="10"/>
      <c r="E33" s="241">
        <v>0</v>
      </c>
      <c r="F33" s="12"/>
      <c r="G33" s="62">
        <v>0</v>
      </c>
      <c r="H33" s="12"/>
    </row>
    <row r="34" spans="1:8" ht="27.95" hidden="1" customHeight="1" thickBot="1" x14ac:dyDescent="0.35">
      <c r="A34" s="59"/>
      <c r="B34" s="447" t="s">
        <v>414</v>
      </c>
      <c r="C34" s="447"/>
      <c r="D34" s="58"/>
      <c r="E34" s="241">
        <v>0</v>
      </c>
      <c r="F34" s="60"/>
      <c r="G34" s="61">
        <v>0</v>
      </c>
      <c r="H34" s="60"/>
    </row>
    <row r="35" spans="1:8" ht="27.95" customHeight="1" thickBot="1" x14ac:dyDescent="0.35">
      <c r="A35" s="70"/>
      <c r="B35" s="449" t="s">
        <v>279</v>
      </c>
      <c r="C35" s="449"/>
      <c r="D35" s="71"/>
      <c r="E35" s="72"/>
      <c r="F35" s="73">
        <v>93284022858</v>
      </c>
      <c r="G35" s="72"/>
      <c r="H35" s="73">
        <v>82688776363</v>
      </c>
    </row>
    <row r="37" spans="1:8" x14ac:dyDescent="0.3">
      <c r="F37" s="240" t="b">
        <v>1</v>
      </c>
      <c r="G37" s="233"/>
      <c r="H37" s="240" t="b">
        <v>1</v>
      </c>
    </row>
    <row r="38" spans="1:8" x14ac:dyDescent="0.3">
      <c r="F38" s="240"/>
      <c r="G38" s="233"/>
      <c r="H38" s="233"/>
    </row>
    <row r="39" spans="1:8" hidden="1" x14ac:dyDescent="0.3">
      <c r="F39" s="233" t="b">
        <v>1</v>
      </c>
      <c r="G39" s="233"/>
      <c r="H39" s="233" t="b">
        <v>1</v>
      </c>
    </row>
    <row r="40" spans="1:8" x14ac:dyDescent="0.3">
      <c r="F40" s="233"/>
      <c r="G40" s="233"/>
      <c r="H40" s="233"/>
    </row>
  </sheetData>
  <mergeCells count="37">
    <mergeCell ref="B31:C31"/>
    <mergeCell ref="B32:C32"/>
    <mergeCell ref="B33:C33"/>
    <mergeCell ref="B34:C34"/>
    <mergeCell ref="B35:C35"/>
    <mergeCell ref="B30:C30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18:C18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6:C6"/>
    <mergeCell ref="E6:F6"/>
    <mergeCell ref="G6:H6"/>
    <mergeCell ref="A1:H1"/>
    <mergeCell ref="A2:H2"/>
    <mergeCell ref="A3:H3"/>
    <mergeCell ref="A4:E4"/>
    <mergeCell ref="A5:C5"/>
  </mergeCells>
  <phoneticPr fontId="109" type="noConversion"/>
  <pageMargins left="0.69999998807907104" right="0.69999998807907104" top="0.75" bottom="0.75" header="0.30000001192092896" footer="0.30000001192092896"/>
  <pageSetup paperSize="9" scale="52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tabColor rgb="FF00B0F0"/>
    <pageSetUpPr fitToPage="1"/>
  </sheetPr>
  <dimension ref="A1:P39"/>
  <sheetViews>
    <sheetView view="pageBreakPreview" zoomScale="55" zoomScaleNormal="70" zoomScaleSheetLayoutView="55" workbookViewId="0">
      <selection activeCell="D21" sqref="D21"/>
    </sheetView>
  </sheetViews>
  <sheetFormatPr defaultRowHeight="16.5" x14ac:dyDescent="0.3"/>
  <cols>
    <col min="1" max="1" width="5" bestFit="1" customWidth="1"/>
    <col min="2" max="2" width="4.75" bestFit="1" customWidth="1"/>
    <col min="3" max="3" width="35.625" customWidth="1"/>
    <col min="4" max="4" width="3.5" customWidth="1"/>
    <col min="5" max="8" width="26.375" customWidth="1"/>
    <col min="9" max="9" width="18.125" bestFit="1" customWidth="1"/>
    <col min="10" max="10" width="14.875" hidden="1" customWidth="1"/>
    <col min="11" max="11" width="16.125" hidden="1" customWidth="1"/>
    <col min="12" max="12" width="8.625" hidden="1" customWidth="1"/>
    <col min="13" max="16" width="0" hidden="1" customWidth="1"/>
  </cols>
  <sheetData>
    <row r="1" spans="1:16" ht="48.75" customHeight="1" x14ac:dyDescent="0.3">
      <c r="A1" s="428" t="s">
        <v>124</v>
      </c>
      <c r="B1" s="428"/>
      <c r="C1" s="428"/>
      <c r="D1" s="428"/>
      <c r="E1" s="428"/>
      <c r="F1" s="428"/>
      <c r="G1" s="428"/>
      <c r="H1" s="428"/>
    </row>
    <row r="2" spans="1:16" ht="20.25" x14ac:dyDescent="0.3">
      <c r="A2" s="429" t="s">
        <v>669</v>
      </c>
      <c r="B2" s="429"/>
      <c r="C2" s="429"/>
      <c r="D2" s="429"/>
      <c r="E2" s="429"/>
      <c r="F2" s="429"/>
      <c r="G2" s="429"/>
      <c r="H2" s="429"/>
      <c r="I2" s="69"/>
    </row>
    <row r="3" spans="1:16" ht="20.25" x14ac:dyDescent="0.3">
      <c r="A3" s="429" t="s">
        <v>670</v>
      </c>
      <c r="B3" s="429"/>
      <c r="C3" s="429"/>
      <c r="D3" s="429"/>
      <c r="E3" s="429"/>
      <c r="F3" s="429"/>
      <c r="G3" s="429"/>
      <c r="H3" s="429"/>
      <c r="I3" s="69"/>
    </row>
    <row r="4" spans="1:16" x14ac:dyDescent="0.3">
      <c r="A4" s="437"/>
      <c r="B4" s="437"/>
      <c r="C4" s="437"/>
      <c r="D4" s="437"/>
      <c r="E4" s="437"/>
    </row>
    <row r="5" spans="1:16" ht="21" thickBot="1" x14ac:dyDescent="0.35">
      <c r="A5" s="438" t="s">
        <v>436</v>
      </c>
      <c r="B5" s="438"/>
      <c r="C5" s="438"/>
      <c r="D5" s="1"/>
      <c r="E5" s="3"/>
      <c r="H5" s="3" t="s">
        <v>295</v>
      </c>
    </row>
    <row r="6" spans="1:16" ht="53.25" customHeight="1" thickBot="1" x14ac:dyDescent="0.35">
      <c r="A6" s="68" t="s">
        <v>268</v>
      </c>
      <c r="B6" s="442" t="s">
        <v>341</v>
      </c>
      <c r="C6" s="442"/>
      <c r="D6" s="346"/>
      <c r="E6" s="439" t="s">
        <v>565</v>
      </c>
      <c r="F6" s="431"/>
      <c r="G6" s="439" t="s">
        <v>539</v>
      </c>
      <c r="H6" s="431"/>
    </row>
    <row r="7" spans="1:16" ht="27.95" customHeight="1" x14ac:dyDescent="0.3">
      <c r="A7" s="67" t="s">
        <v>262</v>
      </c>
      <c r="B7" s="443" t="s">
        <v>276</v>
      </c>
      <c r="C7" s="443"/>
      <c r="D7" s="66"/>
      <c r="E7" s="65"/>
      <c r="F7" s="64">
        <v>1220240588196</v>
      </c>
      <c r="G7" s="288"/>
      <c r="H7" s="64">
        <v>1314871463084</v>
      </c>
      <c r="I7" s="21"/>
      <c r="J7" s="21"/>
      <c r="M7" s="79">
        <v>0</v>
      </c>
      <c r="N7" s="107">
        <v>12202405881.959999</v>
      </c>
      <c r="O7" s="79">
        <v>0</v>
      </c>
      <c r="P7" s="107">
        <v>13148714630.84</v>
      </c>
    </row>
    <row r="8" spans="1:16" ht="27.95" customHeight="1" x14ac:dyDescent="0.3">
      <c r="A8" s="9"/>
      <c r="B8" s="444" t="s">
        <v>241</v>
      </c>
      <c r="C8" s="444"/>
      <c r="D8" s="10"/>
      <c r="E8" s="62">
        <v>1122033002317</v>
      </c>
      <c r="F8" s="12"/>
      <c r="G8" s="295">
        <v>1133859940264</v>
      </c>
      <c r="H8" s="12"/>
      <c r="J8" s="21"/>
      <c r="M8" s="79">
        <v>11220330023.17</v>
      </c>
      <c r="N8" s="79">
        <v>0</v>
      </c>
      <c r="O8" s="79">
        <v>11338599402.639999</v>
      </c>
      <c r="P8" s="79">
        <v>0</v>
      </c>
    </row>
    <row r="9" spans="1:16" ht="27.95" customHeight="1" x14ac:dyDescent="0.3">
      <c r="A9" s="13"/>
      <c r="B9" s="444" t="s">
        <v>396</v>
      </c>
      <c r="C9" s="444"/>
      <c r="D9" s="10"/>
      <c r="E9" s="62">
        <v>98207585879</v>
      </c>
      <c r="F9" s="12"/>
      <c r="G9" s="295">
        <v>181011522820</v>
      </c>
      <c r="H9" s="12"/>
      <c r="J9" s="21">
        <v>-63447136041</v>
      </c>
      <c r="K9" s="21"/>
      <c r="M9" s="79">
        <v>982075858.78999996</v>
      </c>
      <c r="N9" s="79">
        <v>0</v>
      </c>
      <c r="O9" s="79">
        <v>1810115228.2</v>
      </c>
      <c r="P9" s="79">
        <v>0</v>
      </c>
    </row>
    <row r="10" spans="1:16" ht="27.95" customHeight="1" x14ac:dyDescent="0.3">
      <c r="A10" s="5" t="s">
        <v>253</v>
      </c>
      <c r="B10" s="445" t="s">
        <v>278</v>
      </c>
      <c r="C10" s="445"/>
      <c r="D10" s="6"/>
      <c r="E10" s="63"/>
      <c r="F10" s="8">
        <v>1495687947904</v>
      </c>
      <c r="G10" s="289"/>
      <c r="H10" s="8">
        <v>1388015801003</v>
      </c>
      <c r="M10" s="79">
        <v>0</v>
      </c>
      <c r="N10" s="107">
        <v>14956879479.040001</v>
      </c>
      <c r="O10" s="79">
        <v>0</v>
      </c>
      <c r="P10" s="107">
        <v>13880158010.030001</v>
      </c>
    </row>
    <row r="11" spans="1:16" ht="27.95" customHeight="1" x14ac:dyDescent="0.3">
      <c r="A11" s="9"/>
      <c r="B11" s="446" t="s">
        <v>390</v>
      </c>
      <c r="C11" s="446"/>
      <c r="D11" s="10"/>
      <c r="E11" s="62">
        <v>176335011617</v>
      </c>
      <c r="F11" s="12"/>
      <c r="G11" s="295">
        <v>169208467217</v>
      </c>
      <c r="H11" s="12"/>
      <c r="I11" s="83"/>
      <c r="J11" s="84"/>
      <c r="K11" s="444"/>
      <c r="L11" s="444"/>
      <c r="M11" s="79">
        <v>1763350116.1700001</v>
      </c>
      <c r="N11" s="79">
        <v>0</v>
      </c>
      <c r="O11" s="79">
        <v>1692084672.1700001</v>
      </c>
      <c r="P11" s="79">
        <v>0</v>
      </c>
    </row>
    <row r="12" spans="1:16" ht="27.95" customHeight="1" x14ac:dyDescent="0.3">
      <c r="A12" s="9"/>
      <c r="B12" s="444" t="s">
        <v>401</v>
      </c>
      <c r="C12" s="444"/>
      <c r="D12" s="10"/>
      <c r="E12" s="62">
        <v>822056692</v>
      </c>
      <c r="F12" s="12"/>
      <c r="G12" s="295">
        <v>714713968</v>
      </c>
      <c r="H12" s="12"/>
      <c r="I12" s="444"/>
      <c r="J12" s="444"/>
      <c r="K12" s="444"/>
      <c r="L12" s="444"/>
      <c r="M12" s="79">
        <v>8220566.9199999999</v>
      </c>
      <c r="N12" s="79">
        <v>0</v>
      </c>
      <c r="O12" s="79">
        <v>7147139.6799999997</v>
      </c>
      <c r="P12" s="79">
        <v>0</v>
      </c>
    </row>
    <row r="13" spans="1:16" ht="27.95" customHeight="1" x14ac:dyDescent="0.3">
      <c r="A13" s="5"/>
      <c r="B13" s="446" t="s">
        <v>388</v>
      </c>
      <c r="C13" s="446"/>
      <c r="D13" s="6"/>
      <c r="E13" s="62">
        <v>247327373050</v>
      </c>
      <c r="F13" s="12"/>
      <c r="G13" s="295">
        <v>197168192444</v>
      </c>
      <c r="H13" s="12"/>
      <c r="I13" s="451"/>
      <c r="J13" s="451"/>
      <c r="K13" s="451"/>
      <c r="L13" s="451"/>
      <c r="M13" s="79">
        <v>2473273730.5</v>
      </c>
      <c r="N13" s="79">
        <v>0</v>
      </c>
      <c r="O13" s="79">
        <v>1971681924.4400001</v>
      </c>
      <c r="P13" s="79">
        <v>0</v>
      </c>
    </row>
    <row r="14" spans="1:16" ht="27.95" customHeight="1" x14ac:dyDescent="0.3">
      <c r="A14" s="5"/>
      <c r="B14" s="444" t="s">
        <v>397</v>
      </c>
      <c r="C14" s="444"/>
      <c r="D14" s="6"/>
      <c r="E14" s="62">
        <v>15824155815</v>
      </c>
      <c r="F14" s="12"/>
      <c r="G14" s="295">
        <v>15654907514</v>
      </c>
      <c r="H14" s="12"/>
      <c r="I14" s="451"/>
      <c r="J14" s="451"/>
      <c r="K14" s="451"/>
      <c r="L14" s="451"/>
      <c r="M14" s="79">
        <v>158241558.15000001</v>
      </c>
      <c r="N14" s="79">
        <v>0</v>
      </c>
      <c r="O14" s="79">
        <v>156549075.13999999</v>
      </c>
      <c r="P14" s="79">
        <v>0</v>
      </c>
    </row>
    <row r="15" spans="1:16" ht="27.95" customHeight="1" x14ac:dyDescent="0.3">
      <c r="A15" s="9"/>
      <c r="B15" s="446" t="s">
        <v>400</v>
      </c>
      <c r="C15" s="446"/>
      <c r="D15" s="10"/>
      <c r="E15" s="62">
        <v>4188179379</v>
      </c>
      <c r="F15" s="12"/>
      <c r="G15" s="295">
        <v>5623317428</v>
      </c>
      <c r="H15" s="12"/>
      <c r="I15" s="444"/>
      <c r="J15" s="444"/>
      <c r="K15" s="444"/>
      <c r="L15" s="444"/>
      <c r="M15" s="79">
        <v>41881793.789999999</v>
      </c>
      <c r="N15" s="79">
        <v>0</v>
      </c>
      <c r="O15" s="79">
        <v>56233174.280000001</v>
      </c>
      <c r="P15" s="79">
        <v>0</v>
      </c>
    </row>
    <row r="16" spans="1:16" ht="27.95" customHeight="1" x14ac:dyDescent="0.3">
      <c r="A16" s="9"/>
      <c r="B16" s="444" t="s">
        <v>391</v>
      </c>
      <c r="C16" s="444"/>
      <c r="D16" s="10"/>
      <c r="E16" s="62">
        <v>785639989</v>
      </c>
      <c r="F16" s="12"/>
      <c r="G16" s="295">
        <v>566130580</v>
      </c>
      <c r="H16" s="12"/>
      <c r="I16" s="444"/>
      <c r="J16" s="444"/>
      <c r="K16" s="444"/>
      <c r="L16" s="444"/>
      <c r="M16" s="79">
        <v>7856399.8899999997</v>
      </c>
      <c r="N16" s="79">
        <v>0</v>
      </c>
      <c r="O16" s="79">
        <v>5661305.7999999998</v>
      </c>
      <c r="P16" s="79">
        <v>0</v>
      </c>
    </row>
    <row r="17" spans="1:16" ht="27.95" customHeight="1" x14ac:dyDescent="0.3">
      <c r="A17" s="9"/>
      <c r="B17" s="444" t="s">
        <v>244</v>
      </c>
      <c r="C17" s="444"/>
      <c r="D17" s="10"/>
      <c r="E17" s="62">
        <v>3121712646</v>
      </c>
      <c r="F17" s="12"/>
      <c r="G17" s="295">
        <v>2186780124</v>
      </c>
      <c r="H17" s="12"/>
      <c r="I17" s="444"/>
      <c r="J17" s="444"/>
      <c r="K17" s="444"/>
      <c r="L17" s="444"/>
      <c r="M17" s="79">
        <v>31217126.460000001</v>
      </c>
      <c r="N17" s="79">
        <v>0</v>
      </c>
      <c r="O17" s="79">
        <v>21867801.239999998</v>
      </c>
      <c r="P17" s="79">
        <v>0</v>
      </c>
    </row>
    <row r="18" spans="1:16" ht="27.95" customHeight="1" x14ac:dyDescent="0.3">
      <c r="A18" s="9"/>
      <c r="B18" s="446" t="s">
        <v>399</v>
      </c>
      <c r="C18" s="446"/>
      <c r="D18" s="10"/>
      <c r="E18" s="62">
        <v>403533709062</v>
      </c>
      <c r="F18" s="12"/>
      <c r="G18" s="295">
        <v>385649778777</v>
      </c>
      <c r="H18" s="12"/>
      <c r="I18" s="444"/>
      <c r="J18" s="444"/>
      <c r="K18" s="444"/>
      <c r="L18" s="444"/>
      <c r="M18" s="79">
        <v>4035337090.6199999</v>
      </c>
      <c r="N18" s="79">
        <v>0</v>
      </c>
      <c r="O18" s="79">
        <v>3856497787.77</v>
      </c>
      <c r="P18" s="79">
        <v>0</v>
      </c>
    </row>
    <row r="19" spans="1:16" ht="27.95" customHeight="1" x14ac:dyDescent="0.3">
      <c r="A19" s="9"/>
      <c r="B19" s="444" t="s">
        <v>392</v>
      </c>
      <c r="C19" s="444"/>
      <c r="D19" s="10"/>
      <c r="E19" s="62">
        <v>6197948882</v>
      </c>
      <c r="F19" s="12"/>
      <c r="G19" s="295">
        <v>7071333517</v>
      </c>
      <c r="H19" s="12"/>
      <c r="I19" s="444"/>
      <c r="J19" s="444"/>
      <c r="K19" s="444"/>
      <c r="L19" s="444"/>
      <c r="M19" s="79">
        <v>61979488.82</v>
      </c>
      <c r="N19" s="79">
        <v>0</v>
      </c>
      <c r="O19" s="79">
        <v>70713335.170000002</v>
      </c>
      <c r="P19" s="79">
        <v>0</v>
      </c>
    </row>
    <row r="20" spans="1:16" ht="27.95" customHeight="1" x14ac:dyDescent="0.3">
      <c r="A20" s="9"/>
      <c r="B20" s="446" t="s">
        <v>398</v>
      </c>
      <c r="C20" s="446"/>
      <c r="D20" s="10"/>
      <c r="E20" s="62">
        <v>82917694763</v>
      </c>
      <c r="F20" s="12"/>
      <c r="G20" s="295">
        <v>40457034050</v>
      </c>
      <c r="H20" s="12"/>
      <c r="I20" s="444"/>
      <c r="J20" s="444"/>
      <c r="K20" s="444"/>
      <c r="L20" s="444"/>
      <c r="M20" s="79">
        <v>829176947.63</v>
      </c>
      <c r="N20" s="79">
        <v>0</v>
      </c>
      <c r="O20" s="79">
        <v>404570340.5</v>
      </c>
      <c r="P20" s="79">
        <v>0</v>
      </c>
    </row>
    <row r="21" spans="1:16" ht="27.95" customHeight="1" x14ac:dyDescent="0.3">
      <c r="A21" s="9"/>
      <c r="B21" s="444" t="s">
        <v>418</v>
      </c>
      <c r="C21" s="444"/>
      <c r="D21" s="10"/>
      <c r="E21" s="62">
        <v>341014341</v>
      </c>
      <c r="F21" s="12"/>
      <c r="G21" s="295">
        <v>373617538</v>
      </c>
      <c r="H21" s="12"/>
      <c r="I21" s="444"/>
      <c r="J21" s="444"/>
      <c r="K21" s="444"/>
      <c r="L21" s="444"/>
      <c r="M21" s="79">
        <v>3410143.41</v>
      </c>
      <c r="N21" s="79">
        <v>0</v>
      </c>
      <c r="O21" s="79">
        <v>3736175.38</v>
      </c>
      <c r="P21" s="79">
        <v>0</v>
      </c>
    </row>
    <row r="22" spans="1:16" ht="27.95" customHeight="1" x14ac:dyDescent="0.3">
      <c r="A22" s="9"/>
      <c r="B22" s="444" t="s">
        <v>243</v>
      </c>
      <c r="C22" s="444"/>
      <c r="D22" s="10"/>
      <c r="E22" s="62">
        <v>1311097976</v>
      </c>
      <c r="F22" s="12"/>
      <c r="G22" s="295">
        <v>1340826611</v>
      </c>
      <c r="H22" s="12"/>
      <c r="I22" s="444"/>
      <c r="J22" s="444"/>
      <c r="K22" s="444"/>
      <c r="L22" s="444"/>
      <c r="M22" s="79">
        <v>13110979.76</v>
      </c>
      <c r="N22" s="79">
        <v>0</v>
      </c>
      <c r="O22" s="79">
        <v>13408266.109999999</v>
      </c>
      <c r="P22" s="79">
        <v>0</v>
      </c>
    </row>
    <row r="23" spans="1:16" ht="27.95" customHeight="1" x14ac:dyDescent="0.3">
      <c r="A23" s="9"/>
      <c r="B23" s="446" t="s">
        <v>402</v>
      </c>
      <c r="C23" s="446"/>
      <c r="D23" s="10"/>
      <c r="E23" s="62">
        <v>327316042085</v>
      </c>
      <c r="F23" s="12"/>
      <c r="G23" s="295">
        <v>307077992043</v>
      </c>
      <c r="H23" s="12"/>
      <c r="I23" s="444"/>
      <c r="J23" s="444"/>
      <c r="K23" s="444"/>
      <c r="L23" s="444"/>
      <c r="M23" s="79">
        <v>3273160420.8499999</v>
      </c>
      <c r="N23" s="79">
        <v>0</v>
      </c>
      <c r="O23" s="79">
        <v>3070779920.4299998</v>
      </c>
      <c r="P23" s="79">
        <v>0</v>
      </c>
    </row>
    <row r="24" spans="1:16" ht="27.75" customHeight="1" x14ac:dyDescent="0.3">
      <c r="A24" s="9"/>
      <c r="B24" s="444" t="s">
        <v>386</v>
      </c>
      <c r="C24" s="444"/>
      <c r="D24" s="10"/>
      <c r="E24" s="62">
        <v>155241424</v>
      </c>
      <c r="F24" s="12"/>
      <c r="G24" s="295">
        <v>114825720</v>
      </c>
      <c r="H24" s="12"/>
      <c r="I24" s="444"/>
      <c r="J24" s="444"/>
      <c r="K24" s="444"/>
      <c r="L24" s="444"/>
      <c r="M24" s="79">
        <v>1552414.24</v>
      </c>
      <c r="N24" s="79">
        <v>0</v>
      </c>
      <c r="O24" s="79">
        <v>1148257.2</v>
      </c>
      <c r="P24" s="79">
        <v>0</v>
      </c>
    </row>
    <row r="25" spans="1:16" ht="27.95" customHeight="1" x14ac:dyDescent="0.3">
      <c r="A25" s="9"/>
      <c r="B25" s="444" t="s">
        <v>405</v>
      </c>
      <c r="C25" s="444"/>
      <c r="D25" s="10"/>
      <c r="E25" s="62">
        <v>325365504</v>
      </c>
      <c r="F25" s="12"/>
      <c r="G25" s="295">
        <v>278798933</v>
      </c>
      <c r="H25" s="12"/>
      <c r="I25" s="444"/>
      <c r="J25" s="444"/>
      <c r="K25" s="444"/>
      <c r="L25" s="444"/>
      <c r="M25" s="79">
        <v>3253655.04</v>
      </c>
      <c r="N25" s="79">
        <v>0</v>
      </c>
      <c r="O25" s="79">
        <v>2787989.33</v>
      </c>
      <c r="P25" s="79">
        <v>0</v>
      </c>
    </row>
    <row r="26" spans="1:16" ht="27.95" customHeight="1" x14ac:dyDescent="0.3">
      <c r="A26" s="9"/>
      <c r="B26" s="444" t="s">
        <v>417</v>
      </c>
      <c r="C26" s="444"/>
      <c r="D26" s="10"/>
      <c r="E26" s="62">
        <v>5391775377</v>
      </c>
      <c r="F26" s="12"/>
      <c r="G26" s="295">
        <v>5286299005</v>
      </c>
      <c r="H26" s="12"/>
      <c r="I26" s="444"/>
      <c r="J26" s="444"/>
      <c r="K26" s="444"/>
      <c r="L26" s="444"/>
      <c r="M26" s="79">
        <v>53917753.770000003</v>
      </c>
      <c r="N26" s="79">
        <v>0</v>
      </c>
      <c r="O26" s="79">
        <v>52862990.049999997</v>
      </c>
      <c r="P26" s="79">
        <v>0</v>
      </c>
    </row>
    <row r="27" spans="1:16" ht="27.95" customHeight="1" x14ac:dyDescent="0.3">
      <c r="A27" s="9"/>
      <c r="B27" s="444" t="s">
        <v>239</v>
      </c>
      <c r="C27" s="444"/>
      <c r="D27" s="10"/>
      <c r="E27" s="62">
        <v>1160023414</v>
      </c>
      <c r="F27" s="12"/>
      <c r="G27" s="295">
        <v>1037613061</v>
      </c>
      <c r="H27" s="12"/>
      <c r="I27" s="444"/>
      <c r="J27" s="444"/>
      <c r="K27" s="444"/>
      <c r="L27" s="444"/>
      <c r="M27" s="79">
        <v>11600234.140000001</v>
      </c>
      <c r="N27" s="79">
        <v>0</v>
      </c>
      <c r="O27" s="79">
        <v>10376130.609999999</v>
      </c>
      <c r="P27" s="79">
        <v>0</v>
      </c>
    </row>
    <row r="28" spans="1:16" ht="27.95" customHeight="1" x14ac:dyDescent="0.3">
      <c r="A28" s="9"/>
      <c r="B28" s="444" t="s">
        <v>406</v>
      </c>
      <c r="C28" s="444"/>
      <c r="D28" s="10"/>
      <c r="E28" s="62">
        <v>1070444425</v>
      </c>
      <c r="F28" s="12"/>
      <c r="G28" s="295">
        <v>1262350280</v>
      </c>
      <c r="H28" s="12"/>
      <c r="I28" s="444"/>
      <c r="J28" s="444"/>
      <c r="K28" s="444"/>
      <c r="L28" s="444"/>
      <c r="M28" s="79">
        <v>10704444.25</v>
      </c>
      <c r="N28" s="79">
        <v>0</v>
      </c>
      <c r="O28" s="79">
        <v>12623502.800000001</v>
      </c>
      <c r="P28" s="79">
        <v>0</v>
      </c>
    </row>
    <row r="29" spans="1:16" ht="27.95" customHeight="1" x14ac:dyDescent="0.3">
      <c r="A29" s="9"/>
      <c r="B29" s="444" t="s">
        <v>403</v>
      </c>
      <c r="C29" s="444"/>
      <c r="D29" s="10"/>
      <c r="E29" s="62">
        <v>56021478448</v>
      </c>
      <c r="F29" s="12"/>
      <c r="G29" s="295">
        <v>100240293277</v>
      </c>
      <c r="H29" s="12"/>
      <c r="I29" s="444"/>
      <c r="J29" s="444"/>
      <c r="K29" s="444"/>
      <c r="L29" s="444"/>
      <c r="M29" s="79">
        <v>560214784.48000002</v>
      </c>
      <c r="N29" s="79">
        <v>0</v>
      </c>
      <c r="O29" s="79">
        <v>1002402932.77</v>
      </c>
      <c r="P29" s="79">
        <v>0</v>
      </c>
    </row>
    <row r="30" spans="1:16" ht="27.95" customHeight="1" x14ac:dyDescent="0.3">
      <c r="A30" s="9"/>
      <c r="B30" s="444" t="s">
        <v>424</v>
      </c>
      <c r="C30" s="444"/>
      <c r="D30" s="10"/>
      <c r="E30" s="62">
        <v>972862960</v>
      </c>
      <c r="F30" s="12"/>
      <c r="G30" s="295">
        <v>655723568</v>
      </c>
      <c r="H30" s="12"/>
      <c r="I30" s="444"/>
      <c r="J30" s="444"/>
      <c r="K30" s="444"/>
      <c r="L30" s="444"/>
      <c r="M30" s="79">
        <v>9728629.5999999996</v>
      </c>
      <c r="N30" s="79">
        <v>0</v>
      </c>
      <c r="O30" s="79">
        <v>6557235.6799999997</v>
      </c>
      <c r="P30" s="79">
        <v>0</v>
      </c>
    </row>
    <row r="31" spans="1:16" ht="27.95" customHeight="1" x14ac:dyDescent="0.3">
      <c r="A31" s="9"/>
      <c r="B31" s="444" t="s">
        <v>421</v>
      </c>
      <c r="C31" s="444"/>
      <c r="D31" s="10"/>
      <c r="E31" s="62">
        <v>43505048847</v>
      </c>
      <c r="F31" s="12"/>
      <c r="G31" s="295">
        <v>41686717486</v>
      </c>
      <c r="H31" s="12"/>
      <c r="I31" s="444"/>
      <c r="J31" s="444"/>
      <c r="K31" s="444"/>
      <c r="L31" s="444"/>
      <c r="M31" s="79">
        <v>435050488.47000003</v>
      </c>
      <c r="N31" s="79">
        <v>0</v>
      </c>
      <c r="O31" s="79">
        <v>416867174.86000001</v>
      </c>
      <c r="P31" s="79">
        <v>0</v>
      </c>
    </row>
    <row r="32" spans="1:16" ht="27.75" customHeight="1" x14ac:dyDescent="0.3">
      <c r="A32" s="9"/>
      <c r="B32" s="444" t="s">
        <v>301</v>
      </c>
      <c r="C32" s="444"/>
      <c r="D32" s="10"/>
      <c r="E32" s="62">
        <v>1986796846</v>
      </c>
      <c r="F32" s="12"/>
      <c r="G32" s="295">
        <v>1911119682</v>
      </c>
      <c r="H32" s="12"/>
      <c r="I32" s="347"/>
      <c r="J32" s="347"/>
      <c r="K32" s="347"/>
      <c r="L32" s="347"/>
      <c r="M32" s="79">
        <v>19867968.460000001</v>
      </c>
      <c r="N32" s="79">
        <v>0</v>
      </c>
      <c r="O32" s="79">
        <v>19111196.82</v>
      </c>
      <c r="P32" s="79">
        <v>0</v>
      </c>
    </row>
    <row r="33" spans="1:16" ht="27.95" customHeight="1" x14ac:dyDescent="0.3">
      <c r="A33" s="9"/>
      <c r="B33" s="444" t="s">
        <v>237</v>
      </c>
      <c r="C33" s="444"/>
      <c r="D33" s="10"/>
      <c r="E33" s="62">
        <v>21793251504</v>
      </c>
      <c r="F33" s="12"/>
      <c r="G33" s="295">
        <v>19760191817</v>
      </c>
      <c r="H33" s="12"/>
      <c r="I33" s="450"/>
      <c r="J33" s="444"/>
      <c r="K33" s="444"/>
      <c r="L33" s="444"/>
      <c r="M33" s="79">
        <v>217932515.03999999</v>
      </c>
      <c r="N33" s="79">
        <v>0</v>
      </c>
      <c r="O33" s="79">
        <v>197601918.16999999</v>
      </c>
      <c r="P33" s="79">
        <v>0</v>
      </c>
    </row>
    <row r="34" spans="1:16" ht="27.95" customHeight="1" thickBot="1" x14ac:dyDescent="0.35">
      <c r="A34" s="59"/>
      <c r="B34" s="452" t="s">
        <v>429</v>
      </c>
      <c r="C34" s="452"/>
      <c r="D34" s="58"/>
      <c r="E34" s="62">
        <v>93284022858</v>
      </c>
      <c r="F34" s="60"/>
      <c r="G34" s="295">
        <v>82688776363</v>
      </c>
      <c r="H34" s="60"/>
      <c r="M34" s="106">
        <v>932840228.58000004</v>
      </c>
      <c r="N34" s="79">
        <v>0</v>
      </c>
      <c r="O34" s="106">
        <v>826887763.63</v>
      </c>
      <c r="P34" s="79">
        <v>0</v>
      </c>
    </row>
    <row r="35" spans="1:16" ht="27.95" customHeight="1" thickBot="1" x14ac:dyDescent="0.35">
      <c r="A35" s="59"/>
      <c r="B35" s="420" t="s">
        <v>279</v>
      </c>
      <c r="C35" s="420"/>
      <c r="D35" s="58"/>
      <c r="E35" s="74"/>
      <c r="F35" s="57">
        <v>2715928536100</v>
      </c>
      <c r="G35" s="74"/>
      <c r="H35" s="57">
        <v>2702887264087</v>
      </c>
      <c r="M35" s="79">
        <v>0</v>
      </c>
      <c r="N35" s="107">
        <v>27159285361</v>
      </c>
      <c r="O35" s="79">
        <v>0</v>
      </c>
      <c r="P35" s="107">
        <v>27028872640.869999</v>
      </c>
    </row>
    <row r="36" spans="1:16" ht="16.5" customHeight="1" x14ac:dyDescent="0.3"/>
    <row r="37" spans="1:16" x14ac:dyDescent="0.3">
      <c r="F37" s="240"/>
    </row>
    <row r="38" spans="1:16" x14ac:dyDescent="0.3">
      <c r="F38" s="240" t="b">
        <v>1</v>
      </c>
      <c r="G38" s="233"/>
      <c r="H38" s="240" t="b">
        <v>1</v>
      </c>
    </row>
    <row r="39" spans="1:16" x14ac:dyDescent="0.3">
      <c r="F39" s="233"/>
      <c r="G39" s="233"/>
      <c r="H39" s="233"/>
    </row>
  </sheetData>
  <mergeCells count="80">
    <mergeCell ref="B34:C34"/>
    <mergeCell ref="B35:C35"/>
    <mergeCell ref="B33:C33"/>
    <mergeCell ref="B25:C25"/>
    <mergeCell ref="B26:C26"/>
    <mergeCell ref="B27:C27"/>
    <mergeCell ref="B28:C28"/>
    <mergeCell ref="B29:C29"/>
    <mergeCell ref="B30:C30"/>
    <mergeCell ref="B24:C24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12:C12"/>
    <mergeCell ref="A1:H1"/>
    <mergeCell ref="A2:H2"/>
    <mergeCell ref="A3:H3"/>
    <mergeCell ref="A4:E4"/>
    <mergeCell ref="A5:C5"/>
    <mergeCell ref="B6:C6"/>
    <mergeCell ref="E6:F6"/>
    <mergeCell ref="G6:H6"/>
    <mergeCell ref="B7:C7"/>
    <mergeCell ref="B8:C8"/>
    <mergeCell ref="B9:C9"/>
    <mergeCell ref="B10:C10"/>
    <mergeCell ref="B11:C11"/>
    <mergeCell ref="I12:J12"/>
    <mergeCell ref="I13:J13"/>
    <mergeCell ref="I14:J14"/>
    <mergeCell ref="I15:J15"/>
    <mergeCell ref="I16:J16"/>
    <mergeCell ref="I17:J17"/>
    <mergeCell ref="I18:J18"/>
    <mergeCell ref="I19:J19"/>
    <mergeCell ref="I20:J20"/>
    <mergeCell ref="K21:L21"/>
    <mergeCell ref="K22:L22"/>
    <mergeCell ref="K23:L23"/>
    <mergeCell ref="K24:L24"/>
    <mergeCell ref="I26:J26"/>
    <mergeCell ref="I21:J21"/>
    <mergeCell ref="I22:J22"/>
    <mergeCell ref="I23:J23"/>
    <mergeCell ref="I24:J24"/>
    <mergeCell ref="I25:J25"/>
    <mergeCell ref="K16:L16"/>
    <mergeCell ref="K17:L17"/>
    <mergeCell ref="K18:L18"/>
    <mergeCell ref="K19:L19"/>
    <mergeCell ref="K20:L20"/>
    <mergeCell ref="K11:L11"/>
    <mergeCell ref="K12:L12"/>
    <mergeCell ref="K13:L13"/>
    <mergeCell ref="K14:L14"/>
    <mergeCell ref="K15:L15"/>
    <mergeCell ref="K30:L30"/>
    <mergeCell ref="K31:L31"/>
    <mergeCell ref="K33:L33"/>
    <mergeCell ref="B32:C32"/>
    <mergeCell ref="K25:L25"/>
    <mergeCell ref="K26:L26"/>
    <mergeCell ref="K27:L27"/>
    <mergeCell ref="K28:L28"/>
    <mergeCell ref="K29:L29"/>
    <mergeCell ref="I31:J31"/>
    <mergeCell ref="I33:J33"/>
    <mergeCell ref="I27:J27"/>
    <mergeCell ref="I28:J28"/>
    <mergeCell ref="I29:J29"/>
    <mergeCell ref="I30:J30"/>
    <mergeCell ref="B31:C31"/>
  </mergeCells>
  <phoneticPr fontId="109" type="noConversion"/>
  <pageMargins left="0.69999998807907104" right="0.69999998807907104" top="0.75" bottom="0.75" header="0.30000001192092896" footer="0.30000001192092896"/>
  <pageSetup paperSize="9" scale="52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E26"/>
  <sheetViews>
    <sheetView view="pageBreakPreview" zoomScale="70" zoomScaleNormal="55" zoomScaleSheetLayoutView="70" workbookViewId="0">
      <selection activeCell="G17" sqref="G17"/>
    </sheetView>
  </sheetViews>
  <sheetFormatPr defaultRowHeight="16.5" x14ac:dyDescent="0.3"/>
  <cols>
    <col min="1" max="1" width="35.875" style="348" customWidth="1"/>
    <col min="2" max="2" width="27.875" style="348" bestFit="1" customWidth="1"/>
    <col min="3" max="3" width="26.25" style="348" bestFit="1" customWidth="1"/>
    <col min="4" max="4" width="28.875" style="348" bestFit="1" customWidth="1"/>
    <col min="5" max="5" width="26.25" style="348" bestFit="1" customWidth="1"/>
    <col min="6" max="16384" width="9" style="348"/>
  </cols>
  <sheetData>
    <row r="1" spans="1:5" ht="39" x14ac:dyDescent="0.3">
      <c r="A1" s="453" t="s">
        <v>632</v>
      </c>
      <c r="B1" s="453"/>
      <c r="C1" s="453"/>
      <c r="D1" s="453"/>
      <c r="E1" s="453"/>
    </row>
    <row r="2" spans="1:5" ht="20.25" customHeight="1" x14ac:dyDescent="0.3">
      <c r="A2" s="454" t="s">
        <v>673</v>
      </c>
      <c r="B2" s="454"/>
      <c r="C2" s="454"/>
      <c r="D2" s="454"/>
      <c r="E2" s="454"/>
    </row>
    <row r="3" spans="1:5" ht="20.25" customHeight="1" x14ac:dyDescent="0.3">
      <c r="A3" s="454" t="s">
        <v>631</v>
      </c>
      <c r="B3" s="454"/>
      <c r="C3" s="454"/>
      <c r="D3" s="454"/>
      <c r="E3" s="454"/>
    </row>
    <row r="4" spans="1:5" ht="21" thickBot="1" x14ac:dyDescent="0.4">
      <c r="A4" s="359" t="s">
        <v>436</v>
      </c>
      <c r="B4" s="358"/>
      <c r="C4" s="358"/>
      <c r="D4" s="358"/>
      <c r="E4" s="357" t="s">
        <v>295</v>
      </c>
    </row>
    <row r="5" spans="1:5" ht="24" x14ac:dyDescent="0.3">
      <c r="A5" s="356" t="s">
        <v>630</v>
      </c>
      <c r="B5" s="355" t="s">
        <v>629</v>
      </c>
      <c r="C5" s="355" t="s">
        <v>327</v>
      </c>
      <c r="D5" s="355" t="s">
        <v>628</v>
      </c>
      <c r="E5" s="354" t="s">
        <v>627</v>
      </c>
    </row>
    <row r="6" spans="1:5" ht="24" x14ac:dyDescent="0.3">
      <c r="A6" s="352" t="s">
        <v>680</v>
      </c>
      <c r="B6" s="351">
        <v>22278516874820</v>
      </c>
      <c r="C6" s="351">
        <v>3231180568654</v>
      </c>
      <c r="D6" s="351">
        <v>-17032881747341</v>
      </c>
      <c r="E6" s="351">
        <v>8476815696133</v>
      </c>
    </row>
    <row r="7" spans="1:5" s="353" customFormat="1" ht="24" x14ac:dyDescent="0.3">
      <c r="A7" s="352" t="s">
        <v>685</v>
      </c>
      <c r="B7" s="351"/>
      <c r="C7" s="351"/>
      <c r="D7" s="351">
        <v>-5927683908</v>
      </c>
      <c r="E7" s="351">
        <v>-5927683908</v>
      </c>
    </row>
    <row r="8" spans="1:5" s="353" customFormat="1" ht="24" x14ac:dyDescent="0.3">
      <c r="A8" s="352" t="s">
        <v>675</v>
      </c>
      <c r="B8" s="351">
        <v>22278516874820</v>
      </c>
      <c r="C8" s="351">
        <v>3231180568654</v>
      </c>
      <c r="D8" s="351">
        <v>-17038809431249</v>
      </c>
      <c r="E8" s="351">
        <v>8470888012225</v>
      </c>
    </row>
    <row r="9" spans="1:5" s="353" customFormat="1" ht="24" x14ac:dyDescent="0.3">
      <c r="A9" s="352" t="s">
        <v>686</v>
      </c>
      <c r="B9" s="351">
        <v>196529331000</v>
      </c>
      <c r="C9" s="351" t="s">
        <v>283</v>
      </c>
      <c r="D9" s="351" t="s">
        <v>283</v>
      </c>
      <c r="E9" s="351">
        <v>196529331000</v>
      </c>
    </row>
    <row r="10" spans="1:5" ht="24" x14ac:dyDescent="0.3">
      <c r="A10" s="352" t="s">
        <v>687</v>
      </c>
      <c r="B10" s="351">
        <v>800776746274</v>
      </c>
      <c r="C10" s="351" t="s">
        <v>283</v>
      </c>
      <c r="D10" s="351" t="s">
        <v>283</v>
      </c>
      <c r="E10" s="351">
        <v>800776746274</v>
      </c>
    </row>
    <row r="11" spans="1:5" ht="24" x14ac:dyDescent="0.3">
      <c r="A11" s="352" t="s">
        <v>676</v>
      </c>
      <c r="B11" s="351" t="s">
        <v>283</v>
      </c>
      <c r="C11" s="351">
        <v>39451833096</v>
      </c>
      <c r="D11" s="351" t="s">
        <v>283</v>
      </c>
      <c r="E11" s="351">
        <v>39451833096</v>
      </c>
    </row>
    <row r="12" spans="1:5" ht="24" x14ac:dyDescent="0.3">
      <c r="A12" s="352" t="s">
        <v>677</v>
      </c>
      <c r="B12" s="351" t="s">
        <v>283</v>
      </c>
      <c r="C12" s="351">
        <v>30693100</v>
      </c>
      <c r="D12" s="351" t="s">
        <v>283</v>
      </c>
      <c r="E12" s="351">
        <v>30693100</v>
      </c>
    </row>
    <row r="13" spans="1:5" ht="24" x14ac:dyDescent="0.3">
      <c r="A13" s="352" t="s">
        <v>678</v>
      </c>
      <c r="B13" s="351" t="s">
        <v>283</v>
      </c>
      <c r="C13" s="351">
        <v>-385422</v>
      </c>
      <c r="D13" s="351" t="s">
        <v>283</v>
      </c>
      <c r="E13" s="351">
        <v>-385422</v>
      </c>
    </row>
    <row r="14" spans="1:5" ht="24" x14ac:dyDescent="0.3">
      <c r="A14" s="352" t="s">
        <v>679</v>
      </c>
      <c r="B14" s="351" t="s">
        <v>283</v>
      </c>
      <c r="C14" s="351" t="s">
        <v>283</v>
      </c>
      <c r="D14" s="351">
        <v>337110</v>
      </c>
      <c r="E14" s="351">
        <v>337110</v>
      </c>
    </row>
    <row r="15" spans="1:5" ht="24" x14ac:dyDescent="0.3">
      <c r="A15" s="352" t="s">
        <v>688</v>
      </c>
      <c r="B15" s="351" t="s">
        <v>283</v>
      </c>
      <c r="C15" s="351" t="s">
        <v>283</v>
      </c>
      <c r="D15" s="351">
        <v>-641957179800</v>
      </c>
      <c r="E15" s="351">
        <v>-641957179800</v>
      </c>
    </row>
    <row r="16" spans="1:5" ht="24" x14ac:dyDescent="0.3">
      <c r="A16" s="352" t="s">
        <v>683</v>
      </c>
      <c r="B16" s="351">
        <v>23275822952094</v>
      </c>
      <c r="C16" s="351">
        <v>3270662709428</v>
      </c>
      <c r="D16" s="351">
        <v>-17680766273939</v>
      </c>
      <c r="E16" s="351">
        <v>8865719387583</v>
      </c>
    </row>
    <row r="17" spans="1:5" ht="24" x14ac:dyDescent="0.3">
      <c r="A17" s="352" t="s">
        <v>681</v>
      </c>
      <c r="B17" s="351">
        <v>554095949000</v>
      </c>
      <c r="C17" s="351" t="s">
        <v>283</v>
      </c>
      <c r="D17" s="351" t="s">
        <v>283</v>
      </c>
      <c r="E17" s="351">
        <v>554095949000</v>
      </c>
    </row>
    <row r="18" spans="1:5" ht="24" x14ac:dyDescent="0.3">
      <c r="A18" s="352" t="s">
        <v>682</v>
      </c>
      <c r="B18" s="351" t="s">
        <v>283</v>
      </c>
      <c r="C18" s="351" t="s">
        <v>283</v>
      </c>
      <c r="D18" s="351" t="s">
        <v>283</v>
      </c>
      <c r="E18" s="351" t="s">
        <v>283</v>
      </c>
    </row>
    <row r="19" spans="1:5" ht="24" x14ac:dyDescent="0.3">
      <c r="A19" s="352" t="s">
        <v>676</v>
      </c>
      <c r="B19" s="351" t="s">
        <v>283</v>
      </c>
      <c r="C19" s="351">
        <v>-67138954347</v>
      </c>
      <c r="D19" s="351" t="s">
        <v>283</v>
      </c>
      <c r="E19" s="351">
        <v>-67138954347</v>
      </c>
    </row>
    <row r="20" spans="1:5" ht="24" x14ac:dyDescent="0.3">
      <c r="A20" s="352" t="s">
        <v>677</v>
      </c>
      <c r="B20" s="351" t="s">
        <v>283</v>
      </c>
      <c r="C20" s="351">
        <v>21409840</v>
      </c>
      <c r="D20" s="351" t="s">
        <v>283</v>
      </c>
      <c r="E20" s="351">
        <v>21409840</v>
      </c>
    </row>
    <row r="21" spans="1:5" ht="24" x14ac:dyDescent="0.3">
      <c r="A21" s="352" t="s">
        <v>678</v>
      </c>
      <c r="B21" s="351" t="s">
        <v>283</v>
      </c>
      <c r="C21" s="351">
        <v>304764</v>
      </c>
      <c r="D21" s="351" t="s">
        <v>283</v>
      </c>
      <c r="E21" s="351">
        <v>304764</v>
      </c>
    </row>
    <row r="22" spans="1:5" ht="24" x14ac:dyDescent="0.3">
      <c r="A22" s="352" t="s">
        <v>684</v>
      </c>
      <c r="B22" s="351" t="s">
        <v>283</v>
      </c>
      <c r="C22" s="351" t="s">
        <v>283</v>
      </c>
      <c r="D22" s="351">
        <v>-517287241679</v>
      </c>
      <c r="E22" s="351">
        <v>-517287241679</v>
      </c>
    </row>
    <row r="23" spans="1:5" ht="24.75" thickBot="1" x14ac:dyDescent="0.35">
      <c r="A23" s="350" t="s">
        <v>626</v>
      </c>
      <c r="B23" s="395">
        <f>SUM(B16:B22)</f>
        <v>23829918901094</v>
      </c>
      <c r="C23" s="395">
        <f t="shared" ref="C23:E23" si="0">SUM(C16:C22)</f>
        <v>3203545469685</v>
      </c>
      <c r="D23" s="395">
        <f t="shared" si="0"/>
        <v>-18198053515618</v>
      </c>
      <c r="E23" s="395">
        <f t="shared" si="0"/>
        <v>8835410855161</v>
      </c>
    </row>
    <row r="25" spans="1:5" x14ac:dyDescent="0.3">
      <c r="E25" s="349"/>
    </row>
    <row r="26" spans="1:5" x14ac:dyDescent="0.3">
      <c r="E26" s="349"/>
    </row>
  </sheetData>
  <mergeCells count="3">
    <mergeCell ref="A1:E1"/>
    <mergeCell ref="A2:E2"/>
    <mergeCell ref="A3:E3"/>
  </mergeCells>
  <phoneticPr fontId="109" type="noConversion"/>
  <pageMargins left="0.7" right="0.7" top="0.75" bottom="0.75" header="0.3" footer="0.3"/>
  <pageSetup paperSize="9" scale="55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J92"/>
  <sheetViews>
    <sheetView view="pageBreakPreview" zoomScale="55" zoomScaleNormal="55" zoomScaleSheetLayoutView="55" workbookViewId="0">
      <selection activeCell="H18" sqref="H18"/>
    </sheetView>
  </sheetViews>
  <sheetFormatPr defaultRowHeight="16.5" x14ac:dyDescent="0.3"/>
  <cols>
    <col min="1" max="1" width="66.125" style="360" customWidth="1"/>
    <col min="2" max="4" width="27.125" style="360" bestFit="1" customWidth="1"/>
    <col min="5" max="5" width="25.875" style="360" bestFit="1" customWidth="1"/>
    <col min="6" max="6" width="9" style="360"/>
    <col min="7" max="8" width="25.375" style="361" bestFit="1" customWidth="1"/>
    <col min="9" max="9" width="27.625" style="361" bestFit="1" customWidth="1"/>
    <col min="10" max="10" width="25.375" style="361" bestFit="1" customWidth="1"/>
    <col min="11" max="16384" width="9" style="360"/>
  </cols>
  <sheetData>
    <row r="1" spans="1:10" ht="39" x14ac:dyDescent="0.3">
      <c r="A1" s="455" t="s">
        <v>660</v>
      </c>
      <c r="B1" s="455"/>
      <c r="C1" s="455"/>
      <c r="D1" s="455"/>
      <c r="E1" s="455"/>
    </row>
    <row r="2" spans="1:10" ht="27.95" customHeight="1" x14ac:dyDescent="0.3">
      <c r="A2" s="456" t="s">
        <v>674</v>
      </c>
      <c r="B2" s="456"/>
      <c r="C2" s="456"/>
      <c r="D2" s="456"/>
      <c r="E2" s="456"/>
    </row>
    <row r="3" spans="1:10" ht="27.95" customHeight="1" x14ac:dyDescent="0.3">
      <c r="A3" s="456" t="s">
        <v>659</v>
      </c>
      <c r="B3" s="456"/>
      <c r="C3" s="456"/>
      <c r="D3" s="456"/>
      <c r="E3" s="456"/>
    </row>
    <row r="4" spans="1:10" ht="27.95" customHeight="1" x14ac:dyDescent="0.35">
      <c r="A4" s="377" t="s">
        <v>436</v>
      </c>
      <c r="B4" s="376"/>
      <c r="C4" s="376"/>
      <c r="D4" s="376"/>
      <c r="E4" s="375" t="s">
        <v>295</v>
      </c>
    </row>
    <row r="5" spans="1:10" s="362" customFormat="1" ht="27.95" customHeight="1" x14ac:dyDescent="0.3">
      <c r="A5" s="374" t="s">
        <v>613</v>
      </c>
      <c r="B5" s="457" t="s">
        <v>689</v>
      </c>
      <c r="C5" s="458"/>
      <c r="D5" s="457" t="s">
        <v>690</v>
      </c>
      <c r="E5" s="458"/>
      <c r="G5" s="363"/>
      <c r="H5" s="363"/>
      <c r="I5" s="363"/>
      <c r="J5" s="363"/>
    </row>
    <row r="6" spans="1:10" s="372" customFormat="1" ht="27.95" customHeight="1" x14ac:dyDescent="0.3">
      <c r="A6" s="368" t="s">
        <v>612</v>
      </c>
      <c r="B6" s="396"/>
      <c r="C6" s="396">
        <v>-398645074385</v>
      </c>
      <c r="D6" s="396"/>
      <c r="E6" s="396">
        <v>-196411562464</v>
      </c>
      <c r="G6" s="373"/>
      <c r="H6" s="373"/>
      <c r="I6" s="373"/>
      <c r="J6" s="373"/>
    </row>
    <row r="7" spans="1:10" s="362" customFormat="1" ht="27.95" customHeight="1" x14ac:dyDescent="0.3">
      <c r="A7" s="371" t="s">
        <v>658</v>
      </c>
      <c r="B7" s="396">
        <v>-517287241679</v>
      </c>
      <c r="C7" s="396"/>
      <c r="D7" s="396">
        <v>-641957179800</v>
      </c>
      <c r="E7" s="396"/>
      <c r="G7" s="363"/>
      <c r="H7" s="363"/>
      <c r="I7" s="363"/>
      <c r="J7" s="363"/>
    </row>
    <row r="8" spans="1:10" s="362" customFormat="1" ht="27.95" customHeight="1" x14ac:dyDescent="0.3">
      <c r="A8" s="371" t="s">
        <v>657</v>
      </c>
      <c r="B8" s="396">
        <v>529411838864</v>
      </c>
      <c r="C8" s="396"/>
      <c r="D8" s="396">
        <v>594731288851</v>
      </c>
      <c r="E8" s="396"/>
      <c r="G8" s="363"/>
      <c r="H8" s="363"/>
      <c r="I8" s="363"/>
      <c r="J8" s="363"/>
    </row>
    <row r="9" spans="1:10" s="362" customFormat="1" ht="27.95" customHeight="1" x14ac:dyDescent="0.3">
      <c r="A9" s="370" t="s">
        <v>591</v>
      </c>
      <c r="B9" s="397">
        <v>101707255825</v>
      </c>
      <c r="C9" s="397"/>
      <c r="D9" s="397">
        <v>184997360305</v>
      </c>
      <c r="E9" s="397"/>
      <c r="G9" s="363"/>
      <c r="H9" s="363"/>
      <c r="I9" s="363"/>
      <c r="J9" s="363"/>
    </row>
    <row r="10" spans="1:10" s="362" customFormat="1" ht="27.95" customHeight="1" x14ac:dyDescent="0.3">
      <c r="A10" s="370" t="s">
        <v>593</v>
      </c>
      <c r="B10" s="397">
        <v>403533709062</v>
      </c>
      <c r="C10" s="397"/>
      <c r="D10" s="397">
        <v>385649778777</v>
      </c>
      <c r="E10" s="397"/>
      <c r="G10" s="363"/>
      <c r="H10" s="363"/>
      <c r="I10" s="363"/>
      <c r="J10" s="363"/>
    </row>
    <row r="11" spans="1:10" s="362" customFormat="1" ht="27.95" customHeight="1" x14ac:dyDescent="0.3">
      <c r="A11" s="370" t="s">
        <v>586</v>
      </c>
      <c r="B11" s="397">
        <v>8157119177</v>
      </c>
      <c r="C11" s="397"/>
      <c r="D11" s="397">
        <v>1364301382</v>
      </c>
      <c r="E11" s="397"/>
      <c r="G11" s="363"/>
      <c r="H11" s="363"/>
      <c r="I11" s="363"/>
      <c r="J11" s="363"/>
    </row>
    <row r="12" spans="1:10" s="362" customFormat="1" ht="27.95" customHeight="1" x14ac:dyDescent="0.3">
      <c r="A12" s="370" t="s">
        <v>594</v>
      </c>
      <c r="B12" s="397">
        <v>6197948882</v>
      </c>
      <c r="C12" s="397"/>
      <c r="D12" s="397">
        <v>7071333517</v>
      </c>
      <c r="E12" s="397"/>
      <c r="G12" s="363"/>
      <c r="H12" s="363"/>
      <c r="I12" s="363"/>
      <c r="J12" s="363"/>
    </row>
    <row r="13" spans="1:10" s="362" customFormat="1" ht="27.95" customHeight="1" x14ac:dyDescent="0.3">
      <c r="A13" s="370" t="s">
        <v>589</v>
      </c>
      <c r="B13" s="397">
        <v>1986796846</v>
      </c>
      <c r="C13" s="397"/>
      <c r="D13" s="397">
        <v>1911119682</v>
      </c>
      <c r="E13" s="397"/>
      <c r="G13" s="363"/>
      <c r="H13" s="363"/>
      <c r="I13" s="363"/>
      <c r="J13" s="363"/>
    </row>
    <row r="14" spans="1:10" s="362" customFormat="1" ht="27.95" customHeight="1" x14ac:dyDescent="0.3">
      <c r="A14" s="370" t="s">
        <v>656</v>
      </c>
      <c r="B14" s="397">
        <v>0</v>
      </c>
      <c r="C14" s="397"/>
      <c r="D14" s="397">
        <v>13297310</v>
      </c>
      <c r="E14" s="397"/>
      <c r="G14" s="363"/>
      <c r="H14" s="363"/>
      <c r="I14" s="363"/>
      <c r="J14" s="363"/>
    </row>
    <row r="15" spans="1:10" s="362" customFormat="1" ht="27.95" customHeight="1" x14ac:dyDescent="0.3">
      <c r="A15" s="370" t="s">
        <v>584</v>
      </c>
      <c r="B15" s="397">
        <v>89937432</v>
      </c>
      <c r="C15" s="397"/>
      <c r="D15" s="397">
        <v>34350415</v>
      </c>
      <c r="E15" s="397"/>
      <c r="G15" s="363"/>
      <c r="H15" s="363"/>
      <c r="I15" s="363"/>
      <c r="J15" s="363"/>
    </row>
    <row r="16" spans="1:10" s="362" customFormat="1" ht="27.95" customHeight="1" x14ac:dyDescent="0.3">
      <c r="A16" s="370" t="s">
        <v>587</v>
      </c>
      <c r="B16" s="397">
        <v>5338018664</v>
      </c>
      <c r="C16" s="397"/>
      <c r="D16" s="397">
        <v>6588827927</v>
      </c>
      <c r="E16" s="397"/>
      <c r="G16" s="363"/>
      <c r="H16" s="363"/>
      <c r="I16" s="363"/>
      <c r="J16" s="363"/>
    </row>
    <row r="17" spans="1:10" s="362" customFormat="1" ht="27.95" customHeight="1" x14ac:dyDescent="0.3">
      <c r="A17" s="370" t="s">
        <v>585</v>
      </c>
      <c r="B17" s="397">
        <v>29613333</v>
      </c>
      <c r="C17" s="397"/>
      <c r="D17" s="397">
        <v>1794000</v>
      </c>
      <c r="E17" s="397"/>
      <c r="G17" s="363"/>
      <c r="H17" s="363"/>
      <c r="I17" s="363"/>
      <c r="J17" s="363"/>
    </row>
    <row r="18" spans="1:10" s="362" customFormat="1" ht="27.95" customHeight="1" x14ac:dyDescent="0.3">
      <c r="A18" s="370" t="s">
        <v>588</v>
      </c>
      <c r="B18" s="397">
        <v>982475148</v>
      </c>
      <c r="C18" s="397"/>
      <c r="D18" s="397">
        <v>2373599992</v>
      </c>
      <c r="E18" s="397"/>
      <c r="G18" s="363"/>
      <c r="H18" s="363"/>
      <c r="I18" s="363"/>
      <c r="J18" s="363"/>
    </row>
    <row r="19" spans="1:10" s="362" customFormat="1" ht="27.95" customHeight="1" x14ac:dyDescent="0.3">
      <c r="A19" s="370" t="s">
        <v>592</v>
      </c>
      <c r="B19" s="397">
        <v>1057500000</v>
      </c>
      <c r="C19" s="397"/>
      <c r="D19" s="397">
        <v>4622850131</v>
      </c>
      <c r="E19" s="397"/>
      <c r="G19" s="363"/>
      <c r="H19" s="363"/>
      <c r="I19" s="363"/>
      <c r="J19" s="363"/>
    </row>
    <row r="20" spans="1:10" s="362" customFormat="1" ht="27.75" customHeight="1" x14ac:dyDescent="0.3">
      <c r="A20" s="370" t="s">
        <v>655</v>
      </c>
      <c r="B20" s="397">
        <v>331464495</v>
      </c>
      <c r="C20" s="397"/>
      <c r="D20" s="397">
        <v>102675413</v>
      </c>
      <c r="E20" s="397"/>
      <c r="G20" s="363"/>
      <c r="H20" s="363"/>
      <c r="I20" s="363"/>
      <c r="J20" s="363"/>
    </row>
    <row r="21" spans="1:10" s="362" customFormat="1" ht="27.95" customHeight="1" x14ac:dyDescent="0.3">
      <c r="A21" s="371" t="s">
        <v>611</v>
      </c>
      <c r="B21" s="396">
        <v>-117805299875</v>
      </c>
      <c r="C21" s="396"/>
      <c r="D21" s="396">
        <v>-46615153271</v>
      </c>
      <c r="E21" s="369"/>
      <c r="G21" s="363"/>
      <c r="H21" s="363"/>
      <c r="I21" s="363"/>
      <c r="J21" s="363"/>
    </row>
    <row r="22" spans="1:10" s="362" customFormat="1" ht="27.95" customHeight="1" x14ac:dyDescent="0.3">
      <c r="A22" s="370" t="s">
        <v>581</v>
      </c>
      <c r="B22" s="397">
        <v>1544181876</v>
      </c>
      <c r="C22" s="397"/>
      <c r="D22" s="397">
        <v>4673261501</v>
      </c>
      <c r="E22" s="369"/>
      <c r="G22" s="363"/>
      <c r="H22" s="363"/>
      <c r="I22" s="363"/>
      <c r="J22" s="363"/>
    </row>
    <row r="23" spans="1:10" s="362" customFormat="1" ht="27.95" customHeight="1" x14ac:dyDescent="0.3">
      <c r="A23" s="370" t="s">
        <v>583</v>
      </c>
      <c r="B23" s="397">
        <v>50265264613</v>
      </c>
      <c r="C23" s="397"/>
      <c r="D23" s="397">
        <v>10011158348</v>
      </c>
      <c r="E23" s="369"/>
      <c r="G23" s="363"/>
      <c r="H23" s="363"/>
      <c r="I23" s="363"/>
      <c r="J23" s="363"/>
    </row>
    <row r="24" spans="1:10" s="362" customFormat="1" ht="27.95" customHeight="1" x14ac:dyDescent="0.3">
      <c r="A24" s="370" t="s">
        <v>624</v>
      </c>
      <c r="B24" s="397">
        <v>55284291842</v>
      </c>
      <c r="C24" s="397"/>
      <c r="D24" s="397">
        <v>27303761861</v>
      </c>
      <c r="E24" s="369"/>
      <c r="G24" s="363"/>
      <c r="H24" s="363"/>
      <c r="I24" s="363"/>
      <c r="J24" s="363"/>
    </row>
    <row r="25" spans="1:10" s="362" customFormat="1" ht="27.95" customHeight="1" x14ac:dyDescent="0.3">
      <c r="A25" s="370" t="s">
        <v>582</v>
      </c>
      <c r="B25" s="397">
        <v>10704093214</v>
      </c>
      <c r="C25" s="397"/>
      <c r="D25" s="397">
        <v>4092381786</v>
      </c>
      <c r="E25" s="369"/>
      <c r="G25" s="363"/>
      <c r="H25" s="363"/>
      <c r="I25" s="363"/>
      <c r="J25" s="363"/>
    </row>
    <row r="26" spans="1:10" s="362" customFormat="1" ht="27.75" customHeight="1" x14ac:dyDescent="0.3">
      <c r="A26" s="370" t="s">
        <v>602</v>
      </c>
      <c r="B26" s="397">
        <v>7468330</v>
      </c>
      <c r="C26" s="397"/>
      <c r="D26" s="397">
        <v>102700000</v>
      </c>
      <c r="E26" s="369"/>
      <c r="G26" s="363"/>
      <c r="H26" s="363"/>
      <c r="I26" s="363"/>
      <c r="J26" s="363"/>
    </row>
    <row r="27" spans="1:10" s="362" customFormat="1" ht="27.75" customHeight="1" x14ac:dyDescent="0.3">
      <c r="A27" s="370" t="s">
        <v>623</v>
      </c>
      <c r="B27" s="397">
        <v>0</v>
      </c>
      <c r="C27" s="397"/>
      <c r="D27" s="397">
        <v>431889775</v>
      </c>
      <c r="E27" s="369"/>
      <c r="G27" s="363"/>
      <c r="H27" s="363"/>
      <c r="I27" s="363"/>
      <c r="J27" s="363"/>
    </row>
    <row r="28" spans="1:10" s="372" customFormat="1" ht="27.95" customHeight="1" x14ac:dyDescent="0.3">
      <c r="A28" s="371" t="s">
        <v>610</v>
      </c>
      <c r="B28" s="396">
        <v>-292964371695</v>
      </c>
      <c r="C28" s="367"/>
      <c r="D28" s="367">
        <v>-102570518244</v>
      </c>
      <c r="E28" s="367"/>
      <c r="G28" s="373"/>
      <c r="H28" s="373"/>
      <c r="I28" s="373"/>
      <c r="J28" s="373"/>
    </row>
    <row r="29" spans="1:10" s="362" customFormat="1" ht="27.95" customHeight="1" x14ac:dyDescent="0.3">
      <c r="A29" s="370" t="s">
        <v>693</v>
      </c>
      <c r="B29" s="397">
        <v>-25755998444</v>
      </c>
      <c r="C29" s="369"/>
      <c r="D29" s="369">
        <v>-8313496310</v>
      </c>
      <c r="E29" s="369"/>
      <c r="G29" s="363"/>
      <c r="H29" s="363"/>
      <c r="I29" s="363"/>
      <c r="J29" s="363"/>
    </row>
    <row r="30" spans="1:10" s="362" customFormat="1" ht="27.95" customHeight="1" x14ac:dyDescent="0.3">
      <c r="A30" s="370" t="s">
        <v>694</v>
      </c>
      <c r="B30" s="397">
        <v>5646901288</v>
      </c>
      <c r="C30" s="369"/>
      <c r="D30" s="369">
        <v>35804504263</v>
      </c>
      <c r="E30" s="369"/>
      <c r="G30" s="363"/>
      <c r="H30" s="363"/>
      <c r="I30" s="363"/>
      <c r="J30" s="363"/>
    </row>
    <row r="31" spans="1:10" s="362" customFormat="1" ht="27.95" customHeight="1" x14ac:dyDescent="0.3">
      <c r="A31" s="370" t="s">
        <v>695</v>
      </c>
      <c r="B31" s="397">
        <v>852142815</v>
      </c>
      <c r="C31" s="369"/>
      <c r="D31" s="369">
        <v>-1045869559</v>
      </c>
      <c r="E31" s="369"/>
      <c r="G31" s="363"/>
      <c r="H31" s="363"/>
      <c r="I31" s="363"/>
      <c r="J31" s="363"/>
    </row>
    <row r="32" spans="1:10" s="362" customFormat="1" ht="27.95" customHeight="1" x14ac:dyDescent="0.3">
      <c r="A32" s="370" t="s">
        <v>696</v>
      </c>
      <c r="B32" s="397">
        <v>1027796290</v>
      </c>
      <c r="C32" s="369"/>
      <c r="D32" s="369">
        <v>-738935750</v>
      </c>
      <c r="E32" s="369"/>
      <c r="G32" s="363"/>
      <c r="H32" s="363"/>
      <c r="I32" s="363"/>
      <c r="J32" s="363"/>
    </row>
    <row r="33" spans="1:10" s="362" customFormat="1" ht="27.95" customHeight="1" x14ac:dyDescent="0.3">
      <c r="A33" s="370" t="s">
        <v>697</v>
      </c>
      <c r="B33" s="397">
        <v>-123242971</v>
      </c>
      <c r="C33" s="369"/>
      <c r="D33" s="369">
        <v>-984735375</v>
      </c>
      <c r="E33" s="369"/>
      <c r="G33" s="363"/>
      <c r="H33" s="363"/>
      <c r="I33" s="363"/>
      <c r="J33" s="363"/>
    </row>
    <row r="34" spans="1:10" s="362" customFormat="1" ht="27.95" customHeight="1" x14ac:dyDescent="0.3">
      <c r="A34" s="370" t="s">
        <v>698</v>
      </c>
      <c r="B34" s="397">
        <v>-937468320</v>
      </c>
      <c r="C34" s="369"/>
      <c r="D34" s="369">
        <v>-756975260</v>
      </c>
      <c r="E34" s="369"/>
      <c r="G34" s="363"/>
      <c r="H34" s="363"/>
      <c r="I34" s="363"/>
      <c r="J34" s="363"/>
    </row>
    <row r="35" spans="1:10" s="362" customFormat="1" ht="27.95" customHeight="1" x14ac:dyDescent="0.3">
      <c r="A35" s="370" t="s">
        <v>699</v>
      </c>
      <c r="B35" s="397">
        <v>22141400</v>
      </c>
      <c r="C35" s="369"/>
      <c r="D35" s="369">
        <v>59279675</v>
      </c>
      <c r="E35" s="369"/>
      <c r="G35" s="363"/>
      <c r="H35" s="363"/>
      <c r="I35" s="363"/>
      <c r="J35" s="363"/>
    </row>
    <row r="36" spans="1:10" s="362" customFormat="1" ht="27.95" customHeight="1" x14ac:dyDescent="0.3">
      <c r="A36" s="370" t="s">
        <v>700</v>
      </c>
      <c r="B36" s="397">
        <v>-11549163268</v>
      </c>
      <c r="C36" s="369"/>
      <c r="D36" s="369">
        <v>-6356810124</v>
      </c>
      <c r="E36" s="369"/>
      <c r="G36" s="363"/>
      <c r="H36" s="363"/>
      <c r="I36" s="363"/>
      <c r="J36" s="363"/>
    </row>
    <row r="37" spans="1:10" s="362" customFormat="1" ht="27.95" customHeight="1" x14ac:dyDescent="0.3">
      <c r="A37" s="370" t="s">
        <v>701</v>
      </c>
      <c r="B37" s="369">
        <v>-76362908435</v>
      </c>
      <c r="C37" s="369"/>
      <c r="D37" s="369">
        <v>92263598951</v>
      </c>
      <c r="E37" s="369"/>
      <c r="G37" s="363"/>
      <c r="H37" s="363"/>
      <c r="I37" s="363"/>
      <c r="J37" s="363"/>
    </row>
    <row r="38" spans="1:10" s="362" customFormat="1" ht="27.95" customHeight="1" x14ac:dyDescent="0.3">
      <c r="A38" s="370" t="s">
        <v>702</v>
      </c>
      <c r="B38" s="397">
        <v>2454283799</v>
      </c>
      <c r="C38" s="369"/>
      <c r="D38" s="369">
        <v>-886965569</v>
      </c>
      <c r="E38" s="369"/>
      <c r="G38" s="363"/>
      <c r="H38" s="363"/>
      <c r="I38" s="363"/>
      <c r="J38" s="363"/>
    </row>
    <row r="39" spans="1:10" s="362" customFormat="1" ht="27.95" customHeight="1" x14ac:dyDescent="0.3">
      <c r="A39" s="370" t="s">
        <v>703</v>
      </c>
      <c r="B39" s="397">
        <v>3444652677</v>
      </c>
      <c r="C39" s="369"/>
      <c r="D39" s="369">
        <v>-31417164973</v>
      </c>
      <c r="E39" s="369"/>
      <c r="G39" s="363"/>
      <c r="H39" s="363"/>
      <c r="I39" s="363"/>
      <c r="J39" s="363"/>
    </row>
    <row r="40" spans="1:10" s="362" customFormat="1" ht="27.95" customHeight="1" x14ac:dyDescent="0.3">
      <c r="A40" s="370" t="s">
        <v>654</v>
      </c>
      <c r="B40" s="397">
        <v>7346145118</v>
      </c>
      <c r="C40" s="369"/>
      <c r="D40" s="369">
        <v>-121618793474</v>
      </c>
      <c r="E40" s="369"/>
      <c r="G40" s="363"/>
      <c r="H40" s="363"/>
      <c r="I40" s="363"/>
      <c r="J40" s="363"/>
    </row>
    <row r="41" spans="1:10" s="362" customFormat="1" ht="27.95" customHeight="1" x14ac:dyDescent="0.3">
      <c r="A41" s="370" t="s">
        <v>704</v>
      </c>
      <c r="B41" s="397">
        <v>-5882127910</v>
      </c>
      <c r="C41" s="369"/>
      <c r="D41" s="369">
        <v>2391267953</v>
      </c>
      <c r="E41" s="369"/>
      <c r="G41" s="363"/>
      <c r="H41" s="363"/>
      <c r="I41" s="363"/>
      <c r="J41" s="363"/>
    </row>
    <row r="42" spans="1:10" s="362" customFormat="1" ht="27.95" customHeight="1" x14ac:dyDescent="0.3">
      <c r="A42" s="370" t="s">
        <v>705</v>
      </c>
      <c r="B42" s="397">
        <v>-4262966256</v>
      </c>
      <c r="C42" s="369"/>
      <c r="D42" s="369">
        <v>3576231170</v>
      </c>
      <c r="E42" s="369"/>
      <c r="G42" s="363"/>
      <c r="H42" s="363"/>
      <c r="I42" s="363"/>
      <c r="J42" s="363"/>
    </row>
    <row r="43" spans="1:10" s="362" customFormat="1" ht="27.95" customHeight="1" x14ac:dyDescent="0.3">
      <c r="A43" s="370" t="s">
        <v>706</v>
      </c>
      <c r="B43" s="397">
        <v>-90818732043</v>
      </c>
      <c r="C43" s="369"/>
      <c r="D43" s="369">
        <v>19673218896</v>
      </c>
      <c r="E43" s="369"/>
      <c r="G43" s="363"/>
      <c r="H43" s="363"/>
      <c r="I43" s="363"/>
      <c r="J43" s="363"/>
    </row>
    <row r="44" spans="1:10" s="362" customFormat="1" ht="27.95" customHeight="1" x14ac:dyDescent="0.3">
      <c r="A44" s="370" t="s">
        <v>653</v>
      </c>
      <c r="B44" s="397">
        <v>190930239</v>
      </c>
      <c r="C44" s="369"/>
      <c r="D44" s="369">
        <v>-207656297</v>
      </c>
      <c r="E44" s="369"/>
      <c r="G44" s="363"/>
      <c r="H44" s="363"/>
      <c r="I44" s="363"/>
      <c r="J44" s="363"/>
    </row>
    <row r="45" spans="1:10" s="362" customFormat="1" ht="27.95" customHeight="1" x14ac:dyDescent="0.3">
      <c r="A45" s="370" t="s">
        <v>652</v>
      </c>
      <c r="B45" s="397">
        <v>-19306281759</v>
      </c>
      <c r="C45" s="369"/>
      <c r="D45" s="369">
        <v>-16890316540</v>
      </c>
      <c r="E45" s="369"/>
      <c r="G45" s="363"/>
      <c r="H45" s="363"/>
      <c r="I45" s="363"/>
      <c r="J45" s="363"/>
    </row>
    <row r="46" spans="1:10" s="362" customFormat="1" ht="27.95" customHeight="1" x14ac:dyDescent="0.3">
      <c r="A46" s="370" t="s">
        <v>707</v>
      </c>
      <c r="B46" s="397">
        <v>408917709</v>
      </c>
      <c r="C46" s="369"/>
      <c r="D46" s="369">
        <v>-4381279551</v>
      </c>
      <c r="E46" s="369"/>
      <c r="G46" s="363"/>
      <c r="H46" s="363"/>
      <c r="I46" s="363"/>
      <c r="J46" s="363"/>
    </row>
    <row r="47" spans="1:10" s="362" customFormat="1" ht="27.95" customHeight="1" x14ac:dyDescent="0.3">
      <c r="A47" s="370" t="s">
        <v>708</v>
      </c>
      <c r="B47" s="397">
        <v>0</v>
      </c>
      <c r="C47" s="369"/>
      <c r="D47" s="369">
        <v>6798653737</v>
      </c>
      <c r="E47" s="369"/>
      <c r="G47" s="363"/>
      <c r="H47" s="363"/>
      <c r="I47" s="363"/>
      <c r="J47" s="363"/>
    </row>
    <row r="48" spans="1:10" s="362" customFormat="1" ht="27.95" customHeight="1" x14ac:dyDescent="0.3">
      <c r="A48" s="370" t="s">
        <v>651</v>
      </c>
      <c r="B48" s="397">
        <v>-81779388580</v>
      </c>
      <c r="C48" s="369"/>
      <c r="D48" s="369">
        <v>-67925454691</v>
      </c>
      <c r="E48" s="369"/>
      <c r="G48" s="363"/>
      <c r="H48" s="363"/>
      <c r="I48" s="363"/>
      <c r="J48" s="363"/>
    </row>
    <row r="49" spans="1:10" s="362" customFormat="1" ht="27.75" customHeight="1" x14ac:dyDescent="0.3">
      <c r="A49" s="370" t="s">
        <v>709</v>
      </c>
      <c r="B49" s="397">
        <v>11224900</v>
      </c>
      <c r="C49" s="369"/>
      <c r="D49" s="369">
        <v>13572100</v>
      </c>
      <c r="E49" s="369"/>
      <c r="G49" s="363"/>
      <c r="H49" s="363"/>
      <c r="I49" s="363"/>
      <c r="J49" s="363"/>
    </row>
    <row r="50" spans="1:10" s="362" customFormat="1" ht="27.95" customHeight="1" x14ac:dyDescent="0.3">
      <c r="A50" s="370" t="s">
        <v>650</v>
      </c>
      <c r="B50" s="397">
        <v>1100000000</v>
      </c>
      <c r="C50" s="369"/>
      <c r="D50" s="369">
        <v>5100000000</v>
      </c>
      <c r="E50" s="369"/>
      <c r="G50" s="363"/>
      <c r="H50" s="363"/>
      <c r="I50" s="363"/>
      <c r="J50" s="363"/>
    </row>
    <row r="51" spans="1:10" s="362" customFormat="1" ht="27.95" customHeight="1" x14ac:dyDescent="0.3">
      <c r="A51" s="370" t="s">
        <v>710</v>
      </c>
      <c r="B51" s="397">
        <v>1308770056</v>
      </c>
      <c r="C51" s="369"/>
      <c r="D51" s="369">
        <v>-6726391516</v>
      </c>
      <c r="E51" s="369"/>
      <c r="G51" s="363"/>
      <c r="H51" s="363"/>
      <c r="I51" s="363"/>
      <c r="J51" s="363"/>
    </row>
    <row r="52" spans="1:10" s="372" customFormat="1" ht="27.95" customHeight="1" x14ac:dyDescent="0.3">
      <c r="A52" s="368" t="s">
        <v>649</v>
      </c>
      <c r="B52" s="396"/>
      <c r="C52" s="396">
        <v>-547247540382</v>
      </c>
      <c r="D52" s="396"/>
      <c r="E52" s="396">
        <v>-575193787383</v>
      </c>
      <c r="G52" s="373"/>
      <c r="H52" s="373"/>
      <c r="I52" s="373"/>
      <c r="J52" s="373"/>
    </row>
    <row r="53" spans="1:10" s="362" customFormat="1" ht="27.95" customHeight="1" x14ac:dyDescent="0.3">
      <c r="A53" s="371" t="s">
        <v>609</v>
      </c>
      <c r="B53" s="396">
        <v>130758748731</v>
      </c>
      <c r="C53" s="396"/>
      <c r="D53" s="396">
        <v>109340557703</v>
      </c>
      <c r="E53" s="396"/>
      <c r="G53" s="363"/>
      <c r="H53" s="363"/>
      <c r="I53" s="363"/>
      <c r="J53" s="363"/>
    </row>
    <row r="54" spans="1:10" s="362" customFormat="1" ht="27.95" customHeight="1" x14ac:dyDescent="0.3">
      <c r="A54" s="370" t="s">
        <v>648</v>
      </c>
      <c r="B54" s="397">
        <v>2068421970</v>
      </c>
      <c r="C54" s="397"/>
      <c r="D54" s="397">
        <v>2129731120</v>
      </c>
      <c r="E54" s="397"/>
      <c r="G54" s="363"/>
      <c r="H54" s="363"/>
      <c r="I54" s="363"/>
      <c r="J54" s="363"/>
    </row>
    <row r="55" spans="1:10" s="362" customFormat="1" ht="27.95" customHeight="1" x14ac:dyDescent="0.3">
      <c r="A55" s="370" t="s">
        <v>647</v>
      </c>
      <c r="B55" s="397">
        <v>5944856253</v>
      </c>
      <c r="C55" s="397"/>
      <c r="D55" s="397">
        <v>4752759162</v>
      </c>
      <c r="E55" s="397"/>
      <c r="G55" s="363"/>
      <c r="H55" s="363"/>
      <c r="I55" s="363"/>
      <c r="J55" s="363"/>
    </row>
    <row r="56" spans="1:10" s="362" customFormat="1" ht="27.95" customHeight="1" x14ac:dyDescent="0.3">
      <c r="A56" s="370" t="s">
        <v>597</v>
      </c>
      <c r="B56" s="397">
        <v>47842872831</v>
      </c>
      <c r="C56" s="397"/>
      <c r="D56" s="397">
        <v>6406252660</v>
      </c>
      <c r="E56" s="397"/>
      <c r="G56" s="363"/>
      <c r="H56" s="363"/>
      <c r="I56" s="363"/>
      <c r="J56" s="363"/>
    </row>
    <row r="57" spans="1:10" s="362" customFormat="1" ht="27.95" customHeight="1" x14ac:dyDescent="0.3">
      <c r="A57" s="370" t="s">
        <v>711</v>
      </c>
      <c r="B57" s="397">
        <v>1805781662</v>
      </c>
      <c r="C57" s="397"/>
      <c r="D57" s="397">
        <v>0</v>
      </c>
      <c r="E57" s="369"/>
      <c r="G57" s="363"/>
      <c r="H57" s="363"/>
      <c r="I57" s="363"/>
      <c r="J57" s="363"/>
    </row>
    <row r="58" spans="1:10" s="362" customFormat="1" ht="27.95" customHeight="1" x14ac:dyDescent="0.3">
      <c r="A58" s="370" t="s">
        <v>691</v>
      </c>
      <c r="B58" s="397">
        <v>0</v>
      </c>
      <c r="C58" s="397"/>
      <c r="D58" s="397">
        <v>3515694506</v>
      </c>
      <c r="E58" s="369"/>
      <c r="G58" s="363"/>
      <c r="H58" s="363"/>
      <c r="I58" s="363"/>
      <c r="J58" s="363"/>
    </row>
    <row r="59" spans="1:10" s="362" customFormat="1" ht="27.95" customHeight="1" x14ac:dyDescent="0.3">
      <c r="A59" s="370" t="s">
        <v>692</v>
      </c>
      <c r="B59" s="397">
        <v>0</v>
      </c>
      <c r="C59" s="397"/>
      <c r="D59" s="397">
        <v>28286209</v>
      </c>
      <c r="E59" s="369"/>
      <c r="G59" s="363"/>
      <c r="H59" s="363"/>
      <c r="I59" s="363"/>
      <c r="J59" s="363"/>
    </row>
    <row r="60" spans="1:10" s="362" customFormat="1" ht="27.95" customHeight="1" x14ac:dyDescent="0.3">
      <c r="A60" s="370" t="s">
        <v>608</v>
      </c>
      <c r="B60" s="397">
        <v>8834410867</v>
      </c>
      <c r="C60" s="397"/>
      <c r="D60" s="397">
        <v>4519195336</v>
      </c>
      <c r="E60" s="369"/>
      <c r="G60" s="363"/>
      <c r="H60" s="363"/>
      <c r="I60" s="363"/>
      <c r="J60" s="363"/>
    </row>
    <row r="61" spans="1:10" s="362" customFormat="1" ht="27.95" customHeight="1" x14ac:dyDescent="0.3">
      <c r="A61" s="370" t="s">
        <v>601</v>
      </c>
      <c r="B61" s="397">
        <v>57094199946</v>
      </c>
      <c r="C61" s="397"/>
      <c r="D61" s="397">
        <v>82496222904</v>
      </c>
      <c r="E61" s="369"/>
      <c r="G61" s="363"/>
      <c r="H61" s="363"/>
      <c r="I61" s="363"/>
      <c r="J61" s="363"/>
    </row>
    <row r="62" spans="1:10" s="362" customFormat="1" ht="27.95" customHeight="1" x14ac:dyDescent="0.3">
      <c r="A62" s="370" t="s">
        <v>599</v>
      </c>
      <c r="B62" s="397">
        <v>252410000</v>
      </c>
      <c r="C62" s="397"/>
      <c r="D62" s="397">
        <v>56270000</v>
      </c>
      <c r="E62" s="369"/>
      <c r="G62" s="363"/>
      <c r="H62" s="363"/>
      <c r="I62" s="363"/>
      <c r="J62" s="363"/>
    </row>
    <row r="63" spans="1:10" s="362" customFormat="1" ht="27.95" customHeight="1" x14ac:dyDescent="0.3">
      <c r="A63" s="370" t="s">
        <v>598</v>
      </c>
      <c r="B63" s="397">
        <v>6915795202</v>
      </c>
      <c r="C63" s="397"/>
      <c r="D63" s="397">
        <v>5436145806</v>
      </c>
      <c r="E63" s="369"/>
      <c r="G63" s="363"/>
      <c r="H63" s="363"/>
      <c r="I63" s="363"/>
      <c r="J63" s="363"/>
    </row>
    <row r="64" spans="1:10" s="362" customFormat="1" ht="27.95" customHeight="1" x14ac:dyDescent="0.3">
      <c r="A64" s="371" t="s">
        <v>607</v>
      </c>
      <c r="B64" s="367">
        <f>-SUM(B65:B77)</f>
        <v>-678006289113</v>
      </c>
      <c r="C64" s="367"/>
      <c r="D64" s="367">
        <v>-684534345086</v>
      </c>
      <c r="E64" s="367"/>
      <c r="G64" s="363"/>
      <c r="H64" s="363"/>
      <c r="I64" s="363"/>
      <c r="J64" s="363"/>
    </row>
    <row r="65" spans="1:10" s="362" customFormat="1" ht="27.95" hidden="1" customHeight="1" x14ac:dyDescent="0.3">
      <c r="A65" s="370" t="s">
        <v>646</v>
      </c>
      <c r="B65" s="369" t="s">
        <v>713</v>
      </c>
      <c r="C65" s="369"/>
      <c r="D65" s="369" t="s">
        <v>283</v>
      </c>
      <c r="E65" s="369"/>
      <c r="G65" s="363"/>
      <c r="H65" s="363"/>
      <c r="I65" s="363"/>
      <c r="J65" s="363"/>
    </row>
    <row r="66" spans="1:10" s="362" customFormat="1" ht="27.95" customHeight="1" x14ac:dyDescent="0.3">
      <c r="A66" s="370" t="s">
        <v>645</v>
      </c>
      <c r="B66" s="397">
        <v>6629157608</v>
      </c>
      <c r="C66" s="397"/>
      <c r="D66" s="397">
        <v>6611654128</v>
      </c>
      <c r="E66" s="369"/>
      <c r="G66" s="363"/>
      <c r="H66" s="363"/>
      <c r="I66" s="363"/>
      <c r="J66" s="363"/>
    </row>
    <row r="67" spans="1:10" s="362" customFormat="1" ht="27.95" customHeight="1" x14ac:dyDescent="0.3">
      <c r="A67" s="370" t="s">
        <v>712</v>
      </c>
      <c r="B67" s="397">
        <v>2900000000</v>
      </c>
      <c r="C67" s="369"/>
      <c r="D67" s="369" t="s">
        <v>713</v>
      </c>
      <c r="E67" s="369"/>
      <c r="G67" s="363"/>
      <c r="H67" s="363"/>
      <c r="I67" s="363"/>
      <c r="J67" s="363"/>
    </row>
    <row r="68" spans="1:10" s="362" customFormat="1" ht="27.95" customHeight="1" x14ac:dyDescent="0.3">
      <c r="A68" s="370" t="s">
        <v>714</v>
      </c>
      <c r="B68" s="398">
        <v>3226220401</v>
      </c>
      <c r="C68" s="369"/>
      <c r="D68" s="369" t="s">
        <v>283</v>
      </c>
      <c r="E68" s="369"/>
      <c r="G68" s="363"/>
      <c r="H68" s="363"/>
      <c r="I68" s="363"/>
      <c r="J68" s="363"/>
    </row>
    <row r="69" spans="1:10" s="362" customFormat="1" ht="27.95" customHeight="1" x14ac:dyDescent="0.3">
      <c r="A69" s="370" t="s">
        <v>715</v>
      </c>
      <c r="B69" s="398">
        <v>38991001599</v>
      </c>
      <c r="C69" s="369"/>
      <c r="D69" s="369" t="s">
        <v>283</v>
      </c>
      <c r="E69" s="369"/>
      <c r="G69" s="363"/>
      <c r="H69" s="363"/>
      <c r="I69" s="363"/>
      <c r="J69" s="363"/>
    </row>
    <row r="70" spans="1:10" s="362" customFormat="1" ht="27.95" customHeight="1" x14ac:dyDescent="0.3">
      <c r="A70" s="370" t="s">
        <v>596</v>
      </c>
      <c r="B70" s="397">
        <v>110309480</v>
      </c>
      <c r="C70" s="397"/>
      <c r="D70" s="397">
        <v>452100000</v>
      </c>
      <c r="E70" s="369"/>
      <c r="G70" s="363"/>
      <c r="H70" s="363"/>
      <c r="I70" s="363"/>
      <c r="J70" s="363"/>
    </row>
    <row r="71" spans="1:10" s="362" customFormat="1" ht="27.95" customHeight="1" x14ac:dyDescent="0.3">
      <c r="A71" s="370" t="s">
        <v>595</v>
      </c>
      <c r="B71" s="397">
        <v>100190520</v>
      </c>
      <c r="C71" s="397"/>
      <c r="D71" s="397">
        <v>120000000</v>
      </c>
      <c r="E71" s="369"/>
      <c r="G71" s="363"/>
      <c r="H71" s="363"/>
      <c r="I71" s="363"/>
      <c r="J71" s="363"/>
    </row>
    <row r="72" spans="1:10" s="362" customFormat="1" ht="27.95" customHeight="1" x14ac:dyDescent="0.3">
      <c r="A72" s="370" t="s">
        <v>644</v>
      </c>
      <c r="B72" s="397">
        <v>32183000</v>
      </c>
      <c r="C72" s="397"/>
      <c r="D72" s="397">
        <v>0</v>
      </c>
      <c r="E72" s="369"/>
      <c r="G72" s="363"/>
      <c r="H72" s="363"/>
      <c r="I72" s="363"/>
      <c r="J72" s="363"/>
    </row>
    <row r="73" spans="1:10" s="362" customFormat="1" ht="27.95" customHeight="1" x14ac:dyDescent="0.3">
      <c r="A73" s="370" t="s">
        <v>643</v>
      </c>
      <c r="B73" s="397">
        <v>601691855169</v>
      </c>
      <c r="C73" s="397"/>
      <c r="D73" s="397">
        <v>609236694418</v>
      </c>
      <c r="E73" s="369"/>
      <c r="G73" s="363"/>
      <c r="H73" s="363"/>
      <c r="I73" s="363"/>
      <c r="J73" s="363"/>
    </row>
    <row r="74" spans="1:10" s="362" customFormat="1" ht="27.95" customHeight="1" x14ac:dyDescent="0.3">
      <c r="A74" s="370" t="s">
        <v>642</v>
      </c>
      <c r="B74" s="397">
        <v>3835031849</v>
      </c>
      <c r="C74" s="397"/>
      <c r="D74" s="397">
        <v>12530133648</v>
      </c>
      <c r="E74" s="369"/>
      <c r="G74" s="363"/>
      <c r="H74" s="363"/>
      <c r="I74" s="363"/>
      <c r="J74" s="363"/>
    </row>
    <row r="75" spans="1:10" s="362" customFormat="1" ht="27.95" customHeight="1" x14ac:dyDescent="0.3">
      <c r="A75" s="370" t="s">
        <v>641</v>
      </c>
      <c r="B75" s="397">
        <v>0</v>
      </c>
      <c r="C75" s="397"/>
      <c r="D75" s="397">
        <v>28286209</v>
      </c>
      <c r="E75" s="369"/>
      <c r="G75" s="363"/>
      <c r="H75" s="363"/>
      <c r="I75" s="363"/>
      <c r="J75" s="363"/>
    </row>
    <row r="76" spans="1:10" s="362" customFormat="1" ht="27.95" customHeight="1" x14ac:dyDescent="0.3">
      <c r="A76" s="370" t="s">
        <v>640</v>
      </c>
      <c r="B76" s="397">
        <v>90837233</v>
      </c>
      <c r="C76" s="397"/>
      <c r="D76" s="397">
        <v>3249029006</v>
      </c>
      <c r="E76" s="369"/>
      <c r="G76" s="363"/>
      <c r="H76" s="363"/>
      <c r="I76" s="363"/>
      <c r="J76" s="363"/>
    </row>
    <row r="77" spans="1:10" s="362" customFormat="1" ht="27.95" customHeight="1" x14ac:dyDescent="0.3">
      <c r="A77" s="370" t="s">
        <v>639</v>
      </c>
      <c r="B77" s="397">
        <v>20399502254</v>
      </c>
      <c r="C77" s="397"/>
      <c r="D77" s="397">
        <v>52306447677</v>
      </c>
      <c r="E77" s="369"/>
      <c r="G77" s="363"/>
      <c r="H77" s="363"/>
      <c r="I77" s="363"/>
      <c r="J77" s="363"/>
    </row>
    <row r="78" spans="1:10" s="372" customFormat="1" ht="27.75" customHeight="1" x14ac:dyDescent="0.3">
      <c r="A78" s="368" t="s">
        <v>606</v>
      </c>
      <c r="B78" s="396"/>
      <c r="C78" s="396">
        <v>996065627170</v>
      </c>
      <c r="D78" s="396"/>
      <c r="E78" s="396">
        <v>915009150039</v>
      </c>
      <c r="G78" s="373"/>
      <c r="H78" s="373"/>
      <c r="I78" s="373"/>
      <c r="J78" s="373"/>
    </row>
    <row r="79" spans="1:10" s="372" customFormat="1" ht="27.95" customHeight="1" x14ac:dyDescent="0.3">
      <c r="A79" s="371" t="s">
        <v>605</v>
      </c>
      <c r="B79" s="396">
        <v>1886320820687</v>
      </c>
      <c r="C79" s="396"/>
      <c r="D79" s="396">
        <v>1465009150039</v>
      </c>
      <c r="E79" s="396"/>
      <c r="G79" s="373"/>
      <c r="H79" s="373"/>
      <c r="I79" s="373"/>
      <c r="J79" s="373"/>
    </row>
    <row r="80" spans="1:10" s="362" customFormat="1" ht="27.95" customHeight="1" x14ac:dyDescent="0.3">
      <c r="A80" s="370" t="s">
        <v>638</v>
      </c>
      <c r="B80" s="397">
        <v>230000000000</v>
      </c>
      <c r="C80" s="397"/>
      <c r="D80" s="397">
        <v>350000000000</v>
      </c>
      <c r="E80" s="397"/>
      <c r="G80" s="363"/>
      <c r="H80" s="363"/>
      <c r="I80" s="363"/>
      <c r="J80" s="363"/>
    </row>
    <row r="81" spans="1:10" s="362" customFormat="1" ht="27.95" customHeight="1" x14ac:dyDescent="0.3">
      <c r="A81" s="370" t="s">
        <v>637</v>
      </c>
      <c r="B81" s="397">
        <v>930134055516</v>
      </c>
      <c r="C81" s="397"/>
      <c r="D81" s="397">
        <v>899733394362</v>
      </c>
      <c r="E81" s="397"/>
      <c r="G81" s="363"/>
      <c r="H81" s="363"/>
      <c r="I81" s="363"/>
      <c r="J81" s="363"/>
    </row>
    <row r="82" spans="1:10" s="362" customFormat="1" ht="27.95" customHeight="1" x14ac:dyDescent="0.3">
      <c r="A82" s="370" t="s">
        <v>716</v>
      </c>
      <c r="B82" s="397">
        <v>150000000000</v>
      </c>
      <c r="C82" s="397"/>
      <c r="D82" s="397"/>
      <c r="E82" s="397"/>
      <c r="G82" s="363"/>
      <c r="H82" s="363"/>
      <c r="I82" s="363"/>
      <c r="J82" s="363"/>
    </row>
    <row r="83" spans="1:10" s="362" customFormat="1" ht="27.95" customHeight="1" x14ac:dyDescent="0.3">
      <c r="A83" s="370" t="s">
        <v>636</v>
      </c>
      <c r="B83" s="397">
        <v>22090816171</v>
      </c>
      <c r="C83" s="397"/>
      <c r="D83" s="397">
        <v>18746424677</v>
      </c>
      <c r="E83" s="397"/>
      <c r="G83" s="363"/>
      <c r="H83" s="363"/>
      <c r="I83" s="363"/>
      <c r="J83" s="363"/>
    </row>
    <row r="84" spans="1:10" s="362" customFormat="1" ht="27.95" customHeight="1" x14ac:dyDescent="0.3">
      <c r="A84" s="370" t="s">
        <v>590</v>
      </c>
      <c r="B84" s="397">
        <v>554095949000</v>
      </c>
      <c r="C84" s="397"/>
      <c r="D84" s="397">
        <v>196529331000</v>
      </c>
      <c r="E84" s="397"/>
      <c r="G84" s="363"/>
      <c r="H84" s="363"/>
      <c r="I84" s="363"/>
      <c r="J84" s="363"/>
    </row>
    <row r="85" spans="1:10" s="362" customFormat="1" ht="27.95" hidden="1" customHeight="1" x14ac:dyDescent="0.3">
      <c r="A85" s="370" t="s">
        <v>601</v>
      </c>
      <c r="B85" s="397">
        <v>0</v>
      </c>
      <c r="C85" s="397"/>
      <c r="D85" s="397">
        <v>0</v>
      </c>
      <c r="E85" s="397"/>
      <c r="G85" s="363"/>
      <c r="H85" s="363"/>
      <c r="I85" s="363"/>
      <c r="J85" s="363"/>
    </row>
    <row r="86" spans="1:10" s="362" customFormat="1" ht="27.95" customHeight="1" x14ac:dyDescent="0.3">
      <c r="A86" s="371" t="s">
        <v>635</v>
      </c>
      <c r="B86" s="396">
        <v>-890255193517</v>
      </c>
      <c r="C86" s="396"/>
      <c r="D86" s="396">
        <v>-550000000000</v>
      </c>
      <c r="E86" s="367"/>
      <c r="G86" s="363"/>
      <c r="H86" s="363"/>
      <c r="I86" s="363"/>
      <c r="J86" s="363"/>
    </row>
    <row r="87" spans="1:10" s="362" customFormat="1" ht="27.95" customHeight="1" x14ac:dyDescent="0.3">
      <c r="A87" s="370" t="s">
        <v>634</v>
      </c>
      <c r="B87" s="397">
        <v>230000000000</v>
      </c>
      <c r="C87" s="397"/>
      <c r="D87" s="397">
        <v>350000000000</v>
      </c>
      <c r="E87" s="369"/>
      <c r="G87" s="363"/>
      <c r="H87" s="363"/>
      <c r="I87" s="363"/>
      <c r="J87" s="363"/>
    </row>
    <row r="88" spans="1:10" s="362" customFormat="1" ht="27.95" customHeight="1" x14ac:dyDescent="0.3">
      <c r="A88" s="370" t="s">
        <v>633</v>
      </c>
      <c r="B88" s="397">
        <v>660000000000</v>
      </c>
      <c r="C88" s="397"/>
      <c r="D88" s="397">
        <v>200000000000</v>
      </c>
      <c r="E88" s="369"/>
      <c r="G88" s="363"/>
      <c r="H88" s="363"/>
      <c r="I88" s="363"/>
      <c r="J88" s="363"/>
    </row>
    <row r="89" spans="1:10" s="362" customFormat="1" ht="27.95" customHeight="1" x14ac:dyDescent="0.3">
      <c r="A89" s="370" t="s">
        <v>600</v>
      </c>
      <c r="B89" s="397">
        <v>255193517</v>
      </c>
      <c r="C89" s="397"/>
      <c r="D89" s="397">
        <v>0</v>
      </c>
      <c r="E89" s="369"/>
      <c r="G89" s="363"/>
      <c r="H89" s="363"/>
      <c r="I89" s="363"/>
      <c r="J89" s="363"/>
    </row>
    <row r="90" spans="1:10" s="362" customFormat="1" ht="27.95" customHeight="1" x14ac:dyDescent="0.3">
      <c r="A90" s="368" t="s">
        <v>625</v>
      </c>
      <c r="B90" s="367"/>
      <c r="C90" s="367">
        <v>50173012403</v>
      </c>
      <c r="D90" s="367"/>
      <c r="E90" s="367">
        <v>143403800192</v>
      </c>
      <c r="G90" s="363"/>
      <c r="H90" s="363"/>
      <c r="I90" s="363"/>
      <c r="J90" s="363"/>
    </row>
    <row r="91" spans="1:10" s="362" customFormat="1" ht="27.95" customHeight="1" x14ac:dyDescent="0.3">
      <c r="A91" s="368" t="s">
        <v>604</v>
      </c>
      <c r="B91" s="367"/>
      <c r="C91" s="367">
        <v>500860394657</v>
      </c>
      <c r="D91" s="367"/>
      <c r="E91" s="367">
        <v>357456594465</v>
      </c>
      <c r="G91" s="363"/>
      <c r="H91" s="363"/>
      <c r="I91" s="363"/>
      <c r="J91" s="363"/>
    </row>
    <row r="92" spans="1:10" s="362" customFormat="1" ht="27.95" customHeight="1" x14ac:dyDescent="0.3">
      <c r="A92" s="366" t="s">
        <v>603</v>
      </c>
      <c r="B92" s="365"/>
      <c r="C92" s="365">
        <v>551033407060</v>
      </c>
      <c r="D92" s="364"/>
      <c r="E92" s="364">
        <v>500860394657</v>
      </c>
      <c r="G92" s="363"/>
      <c r="H92" s="363"/>
      <c r="I92" s="363"/>
      <c r="J92" s="363"/>
    </row>
  </sheetData>
  <mergeCells count="5">
    <mergeCell ref="A1:E1"/>
    <mergeCell ref="A2:E2"/>
    <mergeCell ref="A3:E3"/>
    <mergeCell ref="B5:C5"/>
    <mergeCell ref="D5:E5"/>
  </mergeCells>
  <phoneticPr fontId="109" type="noConversion"/>
  <pageMargins left="0.7" right="0.7" top="0.75" bottom="0.75" header="0.3" footer="0.3"/>
  <pageSetup paperSize="9" scale="46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L252"/>
  <sheetViews>
    <sheetView view="pageBreakPreview" zoomScale="85" zoomScaleNormal="100" zoomScaleSheetLayoutView="85" workbookViewId="0">
      <selection activeCell="P17" sqref="P17"/>
    </sheetView>
  </sheetViews>
  <sheetFormatPr defaultRowHeight="16.5" x14ac:dyDescent="0.3"/>
  <cols>
    <col min="1" max="2" width="22.125" style="379" bestFit="1" customWidth="1"/>
    <col min="3" max="3" width="47.125" style="379" customWidth="1"/>
    <col min="4" max="5" width="22.125" style="379" bestFit="1" customWidth="1"/>
    <col min="6" max="6" width="25.75" style="379" hidden="1" customWidth="1"/>
    <col min="7" max="7" width="9" style="378" hidden="1" customWidth="1"/>
    <col min="8" max="8" width="22.75" style="378" hidden="1" customWidth="1"/>
    <col min="9" max="9" width="19.375" style="378" hidden="1" customWidth="1"/>
    <col min="10" max="10" width="20.875" style="378" hidden="1" customWidth="1"/>
    <col min="11" max="11" width="9" style="378" hidden="1" customWidth="1"/>
    <col min="12" max="12" width="17.625" style="378" hidden="1" customWidth="1"/>
    <col min="13" max="13" width="0" style="378" hidden="1" customWidth="1"/>
    <col min="14" max="16384" width="9" style="378"/>
  </cols>
  <sheetData>
    <row r="1" spans="1:12" ht="33.75" x14ac:dyDescent="0.3">
      <c r="A1" s="459" t="s">
        <v>517</v>
      </c>
      <c r="B1" s="459"/>
      <c r="C1" s="459"/>
      <c r="D1" s="459"/>
      <c r="E1" s="459"/>
      <c r="I1" s="378" t="s">
        <v>784</v>
      </c>
      <c r="J1" s="378" t="s">
        <v>785</v>
      </c>
    </row>
    <row r="2" spans="1:12" x14ac:dyDescent="0.3">
      <c r="I2" s="378" t="s">
        <v>781</v>
      </c>
      <c r="J2" s="400">
        <v>15667575253119</v>
      </c>
      <c r="L2" s="401"/>
    </row>
    <row r="3" spans="1:12" s="392" customFormat="1" ht="17.25" thickBot="1" x14ac:dyDescent="0.35">
      <c r="A3" s="393" t="s">
        <v>518</v>
      </c>
      <c r="B3" s="393"/>
      <c r="C3" s="393"/>
      <c r="D3" s="393"/>
      <c r="E3" s="394" t="s">
        <v>519</v>
      </c>
      <c r="F3" s="393"/>
      <c r="I3" s="392" t="s">
        <v>782</v>
      </c>
      <c r="J3" s="400">
        <v>-6832164397958</v>
      </c>
      <c r="K3" s="378"/>
      <c r="L3" s="402"/>
    </row>
    <row r="4" spans="1:12" ht="18" thickBot="1" x14ac:dyDescent="0.35">
      <c r="A4" s="391" t="s">
        <v>662</v>
      </c>
      <c r="B4" s="391" t="s">
        <v>668</v>
      </c>
      <c r="C4" s="391" t="s">
        <v>667</v>
      </c>
      <c r="D4" s="391" t="s">
        <v>666</v>
      </c>
      <c r="E4" s="391" t="s">
        <v>665</v>
      </c>
      <c r="F4" s="390" t="s">
        <v>664</v>
      </c>
      <c r="G4" s="389" t="s">
        <v>663</v>
      </c>
      <c r="H4" s="388" t="s">
        <v>662</v>
      </c>
      <c r="I4" s="378" t="s">
        <v>783</v>
      </c>
      <c r="J4" s="400">
        <v>-8835410855161</v>
      </c>
      <c r="L4" s="381"/>
    </row>
    <row r="5" spans="1:12" x14ac:dyDescent="0.3">
      <c r="A5" s="404">
        <v>4525945280</v>
      </c>
      <c r="B5" s="404">
        <v>252807064753</v>
      </c>
      <c r="C5" s="399" t="s">
        <v>717</v>
      </c>
      <c r="D5" s="404">
        <v>248281119473</v>
      </c>
      <c r="E5" s="404">
        <v>0</v>
      </c>
      <c r="F5" s="380">
        <f t="shared" ref="F5:F68" si="0">B5-D5</f>
        <v>4525945280</v>
      </c>
      <c r="G5" s="378" t="b">
        <f t="shared" ref="G5:G66" si="1">F5=H5</f>
        <v>1</v>
      </c>
      <c r="H5" s="385">
        <f t="shared" ref="H5:H66" si="2">A5-E5</f>
        <v>4525945280</v>
      </c>
    </row>
    <row r="6" spans="1:12" x14ac:dyDescent="0.3">
      <c r="A6" s="404">
        <v>0</v>
      </c>
      <c r="B6" s="404">
        <v>232500830130</v>
      </c>
      <c r="C6" s="399" t="s">
        <v>718</v>
      </c>
      <c r="D6" s="404">
        <v>232500830130</v>
      </c>
      <c r="E6" s="404">
        <v>0</v>
      </c>
      <c r="F6" s="380">
        <f t="shared" si="0"/>
        <v>0</v>
      </c>
      <c r="G6" s="378" t="b">
        <f t="shared" si="1"/>
        <v>1</v>
      </c>
      <c r="H6" s="385">
        <f t="shared" si="2"/>
        <v>0</v>
      </c>
    </row>
    <row r="7" spans="1:12" x14ac:dyDescent="0.3">
      <c r="A7" s="404">
        <v>15858148333</v>
      </c>
      <c r="B7" s="404">
        <v>22228005219002</v>
      </c>
      <c r="C7" s="399" t="s">
        <v>719</v>
      </c>
      <c r="D7" s="404">
        <v>22212147070669</v>
      </c>
      <c r="E7" s="404">
        <v>0</v>
      </c>
      <c r="F7" s="380">
        <f t="shared" si="0"/>
        <v>15858148333</v>
      </c>
      <c r="G7" s="378" t="b">
        <f t="shared" si="1"/>
        <v>1</v>
      </c>
      <c r="H7" s="385">
        <f t="shared" si="2"/>
        <v>15858148333</v>
      </c>
    </row>
    <row r="8" spans="1:12" x14ac:dyDescent="0.3">
      <c r="A8" s="404">
        <v>530649313447</v>
      </c>
      <c r="B8" s="404">
        <v>6903488365769</v>
      </c>
      <c r="C8" s="399" t="s">
        <v>720</v>
      </c>
      <c r="D8" s="404">
        <v>6372839052322</v>
      </c>
      <c r="E8" s="404">
        <v>0</v>
      </c>
      <c r="F8" s="380">
        <f t="shared" si="0"/>
        <v>530649313447</v>
      </c>
      <c r="G8" s="378" t="b">
        <f t="shared" si="1"/>
        <v>1</v>
      </c>
      <c r="H8" s="385">
        <f t="shared" si="2"/>
        <v>530649313447</v>
      </c>
    </row>
    <row r="9" spans="1:12" x14ac:dyDescent="0.3">
      <c r="A9" s="404">
        <v>0</v>
      </c>
      <c r="B9" s="404">
        <v>157826436460</v>
      </c>
      <c r="C9" s="399" t="s">
        <v>721</v>
      </c>
      <c r="D9" s="404">
        <v>249873859408</v>
      </c>
      <c r="E9" s="404">
        <v>92047422948</v>
      </c>
      <c r="F9" s="380">
        <f t="shared" si="0"/>
        <v>-92047422948</v>
      </c>
      <c r="G9" s="378" t="b">
        <f t="shared" si="1"/>
        <v>1</v>
      </c>
      <c r="H9" s="385">
        <f t="shared" si="2"/>
        <v>-92047422948</v>
      </c>
    </row>
    <row r="10" spans="1:12" x14ac:dyDescent="0.3">
      <c r="A10" s="404">
        <v>0</v>
      </c>
      <c r="B10" s="404">
        <v>1203160143</v>
      </c>
      <c r="C10" s="399" t="s">
        <v>722</v>
      </c>
      <c r="D10" s="404">
        <v>2034664961</v>
      </c>
      <c r="E10" s="404">
        <v>831504818</v>
      </c>
      <c r="F10" s="380">
        <f t="shared" si="0"/>
        <v>-831504818</v>
      </c>
      <c r="G10" s="378" t="b">
        <f t="shared" si="1"/>
        <v>1</v>
      </c>
      <c r="H10" s="385">
        <f t="shared" si="2"/>
        <v>-831504818</v>
      </c>
    </row>
    <row r="11" spans="1:12" x14ac:dyDescent="0.3">
      <c r="A11" s="404">
        <v>0</v>
      </c>
      <c r="B11" s="404">
        <v>11431173956</v>
      </c>
      <c r="C11" s="399" t="s">
        <v>723</v>
      </c>
      <c r="D11" s="404">
        <v>18339715206</v>
      </c>
      <c r="E11" s="404">
        <v>6908541250</v>
      </c>
      <c r="F11" s="380">
        <f t="shared" si="0"/>
        <v>-6908541250</v>
      </c>
      <c r="G11" s="387" t="b">
        <f t="shared" si="1"/>
        <v>1</v>
      </c>
      <c r="H11" s="385">
        <f t="shared" si="2"/>
        <v>-6908541250</v>
      </c>
    </row>
    <row r="12" spans="1:12" x14ac:dyDescent="0.3">
      <c r="A12" s="404">
        <v>118402009024</v>
      </c>
      <c r="B12" s="404">
        <v>2137103659134</v>
      </c>
      <c r="C12" s="399" t="s">
        <v>724</v>
      </c>
      <c r="D12" s="404">
        <v>2018701650110</v>
      </c>
      <c r="E12" s="404">
        <v>0</v>
      </c>
      <c r="F12" s="380">
        <f t="shared" si="0"/>
        <v>118402009024</v>
      </c>
      <c r="G12" s="387" t="b">
        <f t="shared" si="1"/>
        <v>1</v>
      </c>
      <c r="H12" s="385">
        <f t="shared" si="2"/>
        <v>118402009024</v>
      </c>
    </row>
    <row r="13" spans="1:12" x14ac:dyDescent="0.3">
      <c r="A13" s="404">
        <v>0</v>
      </c>
      <c r="B13" s="404">
        <v>3074548039</v>
      </c>
      <c r="C13" s="399" t="s">
        <v>725</v>
      </c>
      <c r="D13" s="404">
        <v>32099121209</v>
      </c>
      <c r="E13" s="404">
        <v>29024573170</v>
      </c>
      <c r="F13" s="380">
        <f t="shared" si="0"/>
        <v>-29024573170</v>
      </c>
      <c r="G13" s="387" t="b">
        <f t="shared" si="1"/>
        <v>1</v>
      </c>
      <c r="H13" s="385">
        <f t="shared" si="2"/>
        <v>-29024573170</v>
      </c>
    </row>
    <row r="14" spans="1:12" x14ac:dyDescent="0.3">
      <c r="A14" s="404">
        <v>1224834050</v>
      </c>
      <c r="B14" s="404">
        <v>2068421970</v>
      </c>
      <c r="C14" s="399" t="s">
        <v>726</v>
      </c>
      <c r="D14" s="404">
        <v>843587920</v>
      </c>
      <c r="E14" s="404">
        <v>0</v>
      </c>
      <c r="F14" s="380">
        <f t="shared" si="0"/>
        <v>1224834050</v>
      </c>
      <c r="G14" s="387" t="b">
        <f t="shared" si="1"/>
        <v>1</v>
      </c>
      <c r="H14" s="385">
        <f t="shared" si="2"/>
        <v>1224834050</v>
      </c>
    </row>
    <row r="15" spans="1:12" s="384" customFormat="1" x14ac:dyDescent="0.3">
      <c r="A15" s="404">
        <v>37217687792</v>
      </c>
      <c r="B15" s="404">
        <v>234782913020</v>
      </c>
      <c r="C15" s="399" t="s">
        <v>727</v>
      </c>
      <c r="D15" s="404">
        <v>197565225228</v>
      </c>
      <c r="E15" s="404">
        <v>0</v>
      </c>
      <c r="F15" s="380">
        <f t="shared" si="0"/>
        <v>37217687792</v>
      </c>
      <c r="G15" s="387" t="b">
        <f t="shared" si="1"/>
        <v>1</v>
      </c>
      <c r="H15" s="385">
        <f t="shared" si="2"/>
        <v>37217687792</v>
      </c>
    </row>
    <row r="16" spans="1:12" x14ac:dyDescent="0.3">
      <c r="A16" s="404">
        <v>0</v>
      </c>
      <c r="B16" s="404">
        <v>122658076</v>
      </c>
      <c r="C16" s="399" t="s">
        <v>725</v>
      </c>
      <c r="D16" s="404">
        <v>34207548899</v>
      </c>
      <c r="E16" s="404">
        <v>34084890823</v>
      </c>
      <c r="F16" s="380">
        <f t="shared" si="0"/>
        <v>-34084890823</v>
      </c>
      <c r="G16" s="387" t="b">
        <f t="shared" si="1"/>
        <v>1</v>
      </c>
      <c r="H16" s="385">
        <f t="shared" si="2"/>
        <v>-34084890823</v>
      </c>
    </row>
    <row r="17" spans="1:8" x14ac:dyDescent="0.3">
      <c r="A17" s="404">
        <v>333053762</v>
      </c>
      <c r="B17" s="404">
        <v>9445741860</v>
      </c>
      <c r="C17" s="399" t="s">
        <v>728</v>
      </c>
      <c r="D17" s="404">
        <v>9112688098</v>
      </c>
      <c r="E17" s="404">
        <v>0</v>
      </c>
      <c r="F17" s="380">
        <f t="shared" si="0"/>
        <v>333053762</v>
      </c>
      <c r="G17" s="387" t="b">
        <f t="shared" si="1"/>
        <v>1</v>
      </c>
      <c r="H17" s="385">
        <f t="shared" si="2"/>
        <v>333053762</v>
      </c>
    </row>
    <row r="18" spans="1:8" x14ac:dyDescent="0.3">
      <c r="A18" s="404">
        <v>379580278</v>
      </c>
      <c r="B18" s="404">
        <v>3261965706634</v>
      </c>
      <c r="C18" s="399" t="s">
        <v>729</v>
      </c>
      <c r="D18" s="404">
        <v>3261586126356</v>
      </c>
      <c r="E18" s="404">
        <v>0</v>
      </c>
      <c r="F18" s="380">
        <f t="shared" si="0"/>
        <v>379580278</v>
      </c>
      <c r="G18" s="387" t="b">
        <f t="shared" si="1"/>
        <v>1</v>
      </c>
      <c r="H18" s="385">
        <f t="shared" si="2"/>
        <v>379580278</v>
      </c>
    </row>
    <row r="19" spans="1:8" x14ac:dyDescent="0.3">
      <c r="A19" s="404">
        <v>1338952922</v>
      </c>
      <c r="B19" s="404">
        <v>10420779921</v>
      </c>
      <c r="C19" s="399" t="s">
        <v>730</v>
      </c>
      <c r="D19" s="404">
        <v>9081826999</v>
      </c>
      <c r="E19" s="404">
        <v>0</v>
      </c>
      <c r="F19" s="380">
        <f t="shared" si="0"/>
        <v>1338952922</v>
      </c>
      <c r="G19" s="387" t="b">
        <f t="shared" si="1"/>
        <v>1</v>
      </c>
      <c r="H19" s="385">
        <f t="shared" si="2"/>
        <v>1338952922</v>
      </c>
    </row>
    <row r="20" spans="1:8" x14ac:dyDescent="0.3">
      <c r="A20" s="404">
        <v>0</v>
      </c>
      <c r="B20" s="404">
        <v>749625640</v>
      </c>
      <c r="C20" s="399" t="s">
        <v>731</v>
      </c>
      <c r="D20" s="404">
        <v>749625640</v>
      </c>
      <c r="E20" s="404">
        <v>0</v>
      </c>
      <c r="F20" s="380">
        <f t="shared" si="0"/>
        <v>0</v>
      </c>
      <c r="G20" s="387" t="b">
        <f t="shared" si="1"/>
        <v>1</v>
      </c>
      <c r="H20" s="385">
        <f t="shared" si="2"/>
        <v>0</v>
      </c>
    </row>
    <row r="21" spans="1:8" x14ac:dyDescent="0.3">
      <c r="A21" s="404">
        <v>1762226874</v>
      </c>
      <c r="B21" s="404">
        <v>2848705234</v>
      </c>
      <c r="C21" s="399" t="s">
        <v>732</v>
      </c>
      <c r="D21" s="404">
        <v>1086478360</v>
      </c>
      <c r="E21" s="404">
        <v>0</v>
      </c>
      <c r="F21" s="380">
        <f t="shared" si="0"/>
        <v>1762226874</v>
      </c>
      <c r="G21" s="378" t="b">
        <f t="shared" si="1"/>
        <v>1</v>
      </c>
      <c r="H21" s="385">
        <f t="shared" si="2"/>
        <v>1762226874</v>
      </c>
    </row>
    <row r="22" spans="1:8" x14ac:dyDescent="0.3">
      <c r="A22" s="404">
        <v>0</v>
      </c>
      <c r="B22" s="404">
        <v>13215354140</v>
      </c>
      <c r="C22" s="399" t="s">
        <v>733</v>
      </c>
      <c r="D22" s="404">
        <v>13215354140</v>
      </c>
      <c r="E22" s="404">
        <v>0</v>
      </c>
      <c r="F22" s="380">
        <f t="shared" si="0"/>
        <v>0</v>
      </c>
      <c r="G22" s="378" t="b">
        <f t="shared" si="1"/>
        <v>1</v>
      </c>
      <c r="H22" s="385">
        <f t="shared" si="2"/>
        <v>0</v>
      </c>
    </row>
    <row r="23" spans="1:8" x14ac:dyDescent="0.3">
      <c r="A23" s="404">
        <v>173994171</v>
      </c>
      <c r="B23" s="404">
        <v>282630191</v>
      </c>
      <c r="C23" s="399" t="s">
        <v>734</v>
      </c>
      <c r="D23" s="404">
        <v>108636020</v>
      </c>
      <c r="E23" s="404">
        <v>0</v>
      </c>
      <c r="F23" s="380">
        <f t="shared" si="0"/>
        <v>173994171</v>
      </c>
      <c r="G23" s="378" t="b">
        <f t="shared" si="1"/>
        <v>1</v>
      </c>
      <c r="H23" s="385">
        <f t="shared" si="2"/>
        <v>173994171</v>
      </c>
    </row>
    <row r="24" spans="1:8" x14ac:dyDescent="0.3">
      <c r="A24" s="404">
        <v>0</v>
      </c>
      <c r="B24" s="404">
        <v>134419337</v>
      </c>
      <c r="C24" s="399" t="s">
        <v>735</v>
      </c>
      <c r="D24" s="404">
        <v>134419337</v>
      </c>
      <c r="E24" s="404">
        <v>0</v>
      </c>
      <c r="F24" s="380">
        <f t="shared" si="0"/>
        <v>0</v>
      </c>
      <c r="G24" s="378" t="b">
        <f t="shared" si="1"/>
        <v>1</v>
      </c>
      <c r="H24" s="385">
        <f t="shared" si="2"/>
        <v>0</v>
      </c>
    </row>
    <row r="25" spans="1:8" x14ac:dyDescent="0.3">
      <c r="A25" s="404">
        <v>1110234360</v>
      </c>
      <c r="B25" s="404">
        <v>1132375760</v>
      </c>
      <c r="C25" s="399" t="s">
        <v>736</v>
      </c>
      <c r="D25" s="404">
        <v>22141400</v>
      </c>
      <c r="E25" s="404">
        <v>0</v>
      </c>
      <c r="F25" s="380">
        <f t="shared" si="0"/>
        <v>1110234360</v>
      </c>
      <c r="G25" s="378" t="b">
        <f t="shared" si="1"/>
        <v>1</v>
      </c>
      <c r="H25" s="385">
        <f t="shared" si="2"/>
        <v>1110234360</v>
      </c>
    </row>
    <row r="26" spans="1:8" s="384" customFormat="1" x14ac:dyDescent="0.3">
      <c r="A26" s="404">
        <v>83379199213</v>
      </c>
      <c r="B26" s="404">
        <v>133415096832</v>
      </c>
      <c r="C26" s="399" t="s">
        <v>737</v>
      </c>
      <c r="D26" s="404">
        <v>50035897619</v>
      </c>
      <c r="E26" s="404">
        <v>0</v>
      </c>
      <c r="F26" s="380">
        <f t="shared" si="0"/>
        <v>83379199213</v>
      </c>
      <c r="G26" s="387" t="b">
        <f t="shared" si="1"/>
        <v>1</v>
      </c>
      <c r="H26" s="385">
        <f t="shared" si="2"/>
        <v>83379199213</v>
      </c>
    </row>
    <row r="27" spans="1:8" x14ac:dyDescent="0.3">
      <c r="A27" s="404">
        <v>825392813</v>
      </c>
      <c r="B27" s="404">
        <v>9271970195</v>
      </c>
      <c r="C27" s="399" t="s">
        <v>738</v>
      </c>
      <c r="D27" s="404">
        <v>8446577382</v>
      </c>
      <c r="E27" s="404">
        <v>0</v>
      </c>
      <c r="F27" s="380">
        <f t="shared" si="0"/>
        <v>825392813</v>
      </c>
      <c r="G27" s="387" t="b">
        <f t="shared" si="1"/>
        <v>1</v>
      </c>
      <c r="H27" s="385">
        <f t="shared" si="2"/>
        <v>825392813</v>
      </c>
    </row>
    <row r="28" spans="1:8" x14ac:dyDescent="0.3">
      <c r="A28" s="404">
        <v>503257100</v>
      </c>
      <c r="B28" s="404">
        <v>503257100</v>
      </c>
      <c r="C28" s="399" t="s">
        <v>739</v>
      </c>
      <c r="D28" s="404">
        <v>0</v>
      </c>
      <c r="E28" s="404">
        <v>0</v>
      </c>
      <c r="F28" s="380">
        <f t="shared" si="0"/>
        <v>503257100</v>
      </c>
      <c r="G28" s="387" t="b">
        <f t="shared" si="1"/>
        <v>1</v>
      </c>
      <c r="H28" s="385">
        <f t="shared" si="2"/>
        <v>503257100</v>
      </c>
    </row>
    <row r="29" spans="1:8" x14ac:dyDescent="0.3">
      <c r="A29" s="404">
        <v>49850573827</v>
      </c>
      <c r="B29" s="404">
        <v>57947024770</v>
      </c>
      <c r="C29" s="399" t="s">
        <v>740</v>
      </c>
      <c r="D29" s="404">
        <v>8096450943</v>
      </c>
      <c r="E29" s="404">
        <v>0</v>
      </c>
      <c r="F29" s="380">
        <f t="shared" si="0"/>
        <v>49850573827</v>
      </c>
      <c r="G29" s="387" t="b">
        <f t="shared" si="1"/>
        <v>1</v>
      </c>
      <c r="H29" s="385">
        <f t="shared" si="2"/>
        <v>49850573827</v>
      </c>
    </row>
    <row r="30" spans="1:8" x14ac:dyDescent="0.3">
      <c r="A30" s="404">
        <v>43076973434</v>
      </c>
      <c r="B30" s="404">
        <v>48816880653</v>
      </c>
      <c r="C30" s="399" t="s">
        <v>741</v>
      </c>
      <c r="D30" s="404">
        <v>5739907219</v>
      </c>
      <c r="E30" s="404">
        <v>0</v>
      </c>
      <c r="F30" s="380">
        <f t="shared" si="0"/>
        <v>43076973434</v>
      </c>
      <c r="G30" s="387" t="b">
        <f t="shared" si="1"/>
        <v>1</v>
      </c>
      <c r="H30" s="385">
        <f t="shared" si="2"/>
        <v>43076973434</v>
      </c>
    </row>
    <row r="31" spans="1:8" s="384" customFormat="1" x14ac:dyDescent="0.3">
      <c r="A31" s="404">
        <v>4859347139849</v>
      </c>
      <c r="B31" s="404">
        <v>4930763207345</v>
      </c>
      <c r="C31" s="399" t="s">
        <v>742</v>
      </c>
      <c r="D31" s="404">
        <v>71416067496</v>
      </c>
      <c r="E31" s="404">
        <v>0</v>
      </c>
      <c r="F31" s="380">
        <f t="shared" si="0"/>
        <v>4859347139849</v>
      </c>
      <c r="G31" s="384" t="b">
        <f t="shared" si="1"/>
        <v>1</v>
      </c>
      <c r="H31" s="385">
        <f t="shared" si="2"/>
        <v>4859347139849</v>
      </c>
    </row>
    <row r="32" spans="1:8" x14ac:dyDescent="0.3">
      <c r="A32" s="404">
        <v>512305191446</v>
      </c>
      <c r="B32" s="404">
        <v>515874919001</v>
      </c>
      <c r="C32" s="399" t="s">
        <v>743</v>
      </c>
      <c r="D32" s="404">
        <v>3569727555</v>
      </c>
      <c r="E32" s="404">
        <v>0</v>
      </c>
      <c r="F32" s="380">
        <f t="shared" si="0"/>
        <v>512305191446</v>
      </c>
      <c r="G32" s="378" t="b">
        <f t="shared" si="1"/>
        <v>1</v>
      </c>
      <c r="H32" s="385">
        <f t="shared" si="2"/>
        <v>512305191446</v>
      </c>
    </row>
    <row r="33" spans="1:8" x14ac:dyDescent="0.3">
      <c r="A33" s="404">
        <v>0</v>
      </c>
      <c r="B33" s="404">
        <v>1139231563</v>
      </c>
      <c r="C33" s="399" t="s">
        <v>744</v>
      </c>
      <c r="D33" s="404">
        <v>337947170579</v>
      </c>
      <c r="E33" s="404">
        <v>336807939016</v>
      </c>
      <c r="F33" s="380">
        <f t="shared" si="0"/>
        <v>-336807939016</v>
      </c>
      <c r="G33" s="378" t="b">
        <f t="shared" si="1"/>
        <v>1</v>
      </c>
      <c r="H33" s="385">
        <f t="shared" si="2"/>
        <v>-336807939016</v>
      </c>
    </row>
    <row r="34" spans="1:8" x14ac:dyDescent="0.3">
      <c r="A34" s="404">
        <v>0</v>
      </c>
      <c r="B34" s="404">
        <v>670043</v>
      </c>
      <c r="C34" s="399" t="s">
        <v>721</v>
      </c>
      <c r="D34" s="404">
        <v>1060935662</v>
      </c>
      <c r="E34" s="404">
        <v>1060265619</v>
      </c>
      <c r="F34" s="380">
        <f t="shared" si="0"/>
        <v>-1060265619</v>
      </c>
      <c r="G34" s="378" t="b">
        <f t="shared" si="1"/>
        <v>1</v>
      </c>
      <c r="H34" s="385">
        <f t="shared" si="2"/>
        <v>-1060265619</v>
      </c>
    </row>
    <row r="35" spans="1:8" x14ac:dyDescent="0.3">
      <c r="A35" s="404">
        <v>224180383</v>
      </c>
      <c r="B35" s="404">
        <v>224374200</v>
      </c>
      <c r="C35" s="399" t="s">
        <v>745</v>
      </c>
      <c r="D35" s="404">
        <v>193817</v>
      </c>
      <c r="E35" s="404">
        <v>0</v>
      </c>
      <c r="F35" s="380">
        <f t="shared" si="0"/>
        <v>224180383</v>
      </c>
      <c r="G35" s="378" t="b">
        <f t="shared" si="1"/>
        <v>1</v>
      </c>
      <c r="H35" s="385">
        <f t="shared" si="2"/>
        <v>224180383</v>
      </c>
    </row>
    <row r="36" spans="1:8" x14ac:dyDescent="0.3">
      <c r="A36" s="404">
        <v>103814389417</v>
      </c>
      <c r="B36" s="404">
        <v>107031293662</v>
      </c>
      <c r="C36" s="399" t="s">
        <v>746</v>
      </c>
      <c r="D36" s="404">
        <v>3216904245</v>
      </c>
      <c r="E36" s="404">
        <v>0</v>
      </c>
      <c r="F36" s="380">
        <f t="shared" si="0"/>
        <v>103814389417</v>
      </c>
      <c r="G36" s="378" t="b">
        <f t="shared" si="1"/>
        <v>1</v>
      </c>
      <c r="H36" s="385">
        <f t="shared" si="2"/>
        <v>103814389417</v>
      </c>
    </row>
    <row r="37" spans="1:8" x14ac:dyDescent="0.3">
      <c r="A37" s="404">
        <v>0</v>
      </c>
      <c r="B37" s="404">
        <v>2946302083</v>
      </c>
      <c r="C37" s="399" t="s">
        <v>744</v>
      </c>
      <c r="D37" s="404">
        <v>65720156025</v>
      </c>
      <c r="E37" s="404">
        <v>62773853942</v>
      </c>
      <c r="F37" s="380">
        <f t="shared" si="0"/>
        <v>-62773853942</v>
      </c>
      <c r="G37" s="378" t="b">
        <f t="shared" si="1"/>
        <v>1</v>
      </c>
      <c r="H37" s="385">
        <f t="shared" si="2"/>
        <v>-62773853942</v>
      </c>
    </row>
    <row r="38" spans="1:8" x14ac:dyDescent="0.3">
      <c r="A38" s="404">
        <v>0</v>
      </c>
      <c r="B38" s="404">
        <v>10500000</v>
      </c>
      <c r="C38" s="399" t="s">
        <v>721</v>
      </c>
      <c r="D38" s="404">
        <v>35669998</v>
      </c>
      <c r="E38" s="404">
        <v>25169998</v>
      </c>
      <c r="F38" s="380">
        <f t="shared" si="0"/>
        <v>-25169998</v>
      </c>
      <c r="G38" s="378" t="b">
        <f t="shared" si="1"/>
        <v>1</v>
      </c>
      <c r="H38" s="385">
        <f t="shared" si="2"/>
        <v>-25169998</v>
      </c>
    </row>
    <row r="39" spans="1:8" x14ac:dyDescent="0.3">
      <c r="A39" s="404">
        <v>1746875</v>
      </c>
      <c r="B39" s="404">
        <v>1746875</v>
      </c>
      <c r="C39" s="399" t="s">
        <v>745</v>
      </c>
      <c r="D39" s="404">
        <v>0</v>
      </c>
      <c r="E39" s="404">
        <v>0</v>
      </c>
      <c r="F39" s="380">
        <f t="shared" si="0"/>
        <v>1746875</v>
      </c>
      <c r="G39" s="378" t="b">
        <f t="shared" si="1"/>
        <v>1</v>
      </c>
      <c r="H39" s="385">
        <f t="shared" si="2"/>
        <v>1746875</v>
      </c>
    </row>
    <row r="40" spans="1:8" s="384" customFormat="1" x14ac:dyDescent="0.3">
      <c r="A40" s="404">
        <v>12443228689235</v>
      </c>
      <c r="B40" s="404">
        <v>12460299161738</v>
      </c>
      <c r="C40" s="399" t="s">
        <v>747</v>
      </c>
      <c r="D40" s="404">
        <v>17070472503</v>
      </c>
      <c r="E40" s="404">
        <v>0</v>
      </c>
      <c r="F40" s="380">
        <f t="shared" si="0"/>
        <v>12443228689235</v>
      </c>
      <c r="G40" s="384" t="b">
        <f t="shared" si="1"/>
        <v>1</v>
      </c>
      <c r="H40" s="385">
        <f t="shared" si="2"/>
        <v>12443228689235</v>
      </c>
    </row>
    <row r="41" spans="1:8" x14ac:dyDescent="0.3">
      <c r="A41" s="404">
        <v>0</v>
      </c>
      <c r="B41" s="404">
        <v>6990450739</v>
      </c>
      <c r="C41" s="399" t="s">
        <v>744</v>
      </c>
      <c r="D41" s="404">
        <v>5396740451714</v>
      </c>
      <c r="E41" s="404">
        <v>5389750000975</v>
      </c>
      <c r="F41" s="380">
        <f t="shared" si="0"/>
        <v>-5389750000975</v>
      </c>
      <c r="G41" s="378" t="b">
        <f t="shared" si="1"/>
        <v>1</v>
      </c>
      <c r="H41" s="385">
        <f t="shared" si="2"/>
        <v>-5389750000975</v>
      </c>
    </row>
    <row r="42" spans="1:8" x14ac:dyDescent="0.3">
      <c r="A42" s="404">
        <v>0</v>
      </c>
      <c r="B42" s="404">
        <v>8016583350</v>
      </c>
      <c r="C42" s="399" t="s">
        <v>721</v>
      </c>
      <c r="D42" s="404">
        <v>221691617403</v>
      </c>
      <c r="E42" s="404">
        <v>213675034053</v>
      </c>
      <c r="F42" s="380">
        <f t="shared" si="0"/>
        <v>-213675034053</v>
      </c>
      <c r="G42" s="378" t="b">
        <f t="shared" si="1"/>
        <v>1</v>
      </c>
      <c r="H42" s="385">
        <f t="shared" si="2"/>
        <v>-213675034053</v>
      </c>
    </row>
    <row r="43" spans="1:8" x14ac:dyDescent="0.3">
      <c r="A43" s="404">
        <v>15072546875</v>
      </c>
      <c r="B43" s="404">
        <v>15731736593</v>
      </c>
      <c r="C43" s="399" t="s">
        <v>745</v>
      </c>
      <c r="D43" s="404">
        <v>659189718</v>
      </c>
      <c r="E43" s="404">
        <v>0</v>
      </c>
      <c r="F43" s="380">
        <f t="shared" si="0"/>
        <v>15072546875</v>
      </c>
      <c r="G43" s="378" t="b">
        <f t="shared" si="1"/>
        <v>1</v>
      </c>
      <c r="H43" s="385">
        <f t="shared" si="2"/>
        <v>15072546875</v>
      </c>
    </row>
    <row r="44" spans="1:8" x14ac:dyDescent="0.3">
      <c r="A44" s="404">
        <v>0</v>
      </c>
      <c r="B44" s="404">
        <v>257643140</v>
      </c>
      <c r="C44" s="399" t="s">
        <v>722</v>
      </c>
      <c r="D44" s="404">
        <v>1043334507</v>
      </c>
      <c r="E44" s="404">
        <v>785691367</v>
      </c>
      <c r="F44" s="380">
        <f t="shared" si="0"/>
        <v>-785691367</v>
      </c>
      <c r="G44" s="378" t="b">
        <f t="shared" si="1"/>
        <v>1</v>
      </c>
      <c r="H44" s="385">
        <f t="shared" si="2"/>
        <v>-785691367</v>
      </c>
    </row>
    <row r="45" spans="1:8" x14ac:dyDescent="0.3">
      <c r="A45" s="404">
        <v>67320474</v>
      </c>
      <c r="B45" s="404">
        <v>80942606</v>
      </c>
      <c r="C45" s="399" t="s">
        <v>748</v>
      </c>
      <c r="D45" s="404">
        <v>13622132</v>
      </c>
      <c r="E45" s="404">
        <v>0</v>
      </c>
      <c r="F45" s="380">
        <f t="shared" si="0"/>
        <v>67320474</v>
      </c>
      <c r="G45" s="378" t="b">
        <f t="shared" si="1"/>
        <v>1</v>
      </c>
      <c r="H45" s="385">
        <f t="shared" si="2"/>
        <v>67320474</v>
      </c>
    </row>
    <row r="46" spans="1:8" s="384" customFormat="1" x14ac:dyDescent="0.3">
      <c r="A46" s="404">
        <v>2396635397052</v>
      </c>
      <c r="B46" s="404">
        <v>2484778055391</v>
      </c>
      <c r="C46" s="399" t="s">
        <v>749</v>
      </c>
      <c r="D46" s="404">
        <v>88142658339</v>
      </c>
      <c r="E46" s="404">
        <v>0</v>
      </c>
      <c r="F46" s="380">
        <f t="shared" si="0"/>
        <v>2396635397052</v>
      </c>
      <c r="G46" s="384" t="b">
        <f t="shared" si="1"/>
        <v>1</v>
      </c>
      <c r="H46" s="385">
        <f t="shared" si="2"/>
        <v>2396635397052</v>
      </c>
    </row>
    <row r="47" spans="1:8" x14ac:dyDescent="0.3">
      <c r="A47" s="404">
        <v>0</v>
      </c>
      <c r="B47" s="404">
        <v>48391255789</v>
      </c>
      <c r="C47" s="399" t="s">
        <v>744</v>
      </c>
      <c r="D47" s="404">
        <v>1477276042359</v>
      </c>
      <c r="E47" s="404">
        <v>1428884786570</v>
      </c>
      <c r="F47" s="380">
        <f t="shared" si="0"/>
        <v>-1428884786570</v>
      </c>
      <c r="G47" s="378" t="b">
        <f t="shared" si="1"/>
        <v>1</v>
      </c>
      <c r="H47" s="385">
        <f t="shared" si="2"/>
        <v>-1428884786570</v>
      </c>
    </row>
    <row r="48" spans="1:8" x14ac:dyDescent="0.3">
      <c r="A48" s="404">
        <v>0</v>
      </c>
      <c r="B48" s="404">
        <v>11317035853</v>
      </c>
      <c r="C48" s="399" t="s">
        <v>721</v>
      </c>
      <c r="D48" s="404">
        <v>108312696492</v>
      </c>
      <c r="E48" s="404">
        <v>96995660639</v>
      </c>
      <c r="F48" s="380">
        <f t="shared" si="0"/>
        <v>-96995660639</v>
      </c>
      <c r="G48" s="378" t="b">
        <f t="shared" si="1"/>
        <v>1</v>
      </c>
      <c r="H48" s="385">
        <f t="shared" si="2"/>
        <v>-96995660639</v>
      </c>
    </row>
    <row r="49" spans="1:8" x14ac:dyDescent="0.3">
      <c r="A49" s="404">
        <v>12169566585</v>
      </c>
      <c r="B49" s="404">
        <v>13832796095</v>
      </c>
      <c r="C49" s="399" t="s">
        <v>745</v>
      </c>
      <c r="D49" s="404">
        <v>1663229510</v>
      </c>
      <c r="E49" s="404">
        <v>0</v>
      </c>
      <c r="F49" s="380">
        <f t="shared" si="0"/>
        <v>12169566585</v>
      </c>
      <c r="G49" s="378" t="b">
        <f t="shared" si="1"/>
        <v>1</v>
      </c>
      <c r="H49" s="385">
        <f t="shared" si="2"/>
        <v>12169566585</v>
      </c>
    </row>
    <row r="50" spans="1:8" s="384" customFormat="1" x14ac:dyDescent="0.3">
      <c r="A50" s="404">
        <v>0</v>
      </c>
      <c r="B50" s="404">
        <v>0</v>
      </c>
      <c r="C50" s="399" t="s">
        <v>722</v>
      </c>
      <c r="D50" s="404">
        <v>111218552</v>
      </c>
      <c r="E50" s="404">
        <v>111218552</v>
      </c>
      <c r="F50" s="380">
        <f t="shared" si="0"/>
        <v>-111218552</v>
      </c>
      <c r="G50" s="384" t="b">
        <f t="shared" si="1"/>
        <v>1</v>
      </c>
      <c r="H50" s="385">
        <f t="shared" si="2"/>
        <v>-111218552</v>
      </c>
    </row>
    <row r="51" spans="1:8" x14ac:dyDescent="0.3">
      <c r="A51" s="404">
        <v>463411</v>
      </c>
      <c r="B51" s="404">
        <v>463411</v>
      </c>
      <c r="C51" s="399" t="s">
        <v>748</v>
      </c>
      <c r="D51" s="404">
        <v>0</v>
      </c>
      <c r="E51" s="404">
        <v>0</v>
      </c>
      <c r="F51" s="380">
        <f t="shared" si="0"/>
        <v>463411</v>
      </c>
      <c r="G51" s="378" t="b">
        <f t="shared" si="1"/>
        <v>1</v>
      </c>
      <c r="H51" s="385">
        <f t="shared" si="2"/>
        <v>463411</v>
      </c>
    </row>
    <row r="52" spans="1:8" x14ac:dyDescent="0.3">
      <c r="A52" s="404">
        <v>3025962242785</v>
      </c>
      <c r="B52" s="404">
        <v>3205880592126</v>
      </c>
      <c r="C52" s="399" t="s">
        <v>750</v>
      </c>
      <c r="D52" s="404">
        <v>179918349341</v>
      </c>
      <c r="E52" s="404">
        <v>0</v>
      </c>
      <c r="F52" s="380">
        <f t="shared" si="0"/>
        <v>3025962242785</v>
      </c>
      <c r="G52" s="378" t="b">
        <f t="shared" si="1"/>
        <v>1</v>
      </c>
      <c r="H52" s="385">
        <f t="shared" si="2"/>
        <v>3025962242785</v>
      </c>
    </row>
    <row r="53" spans="1:8" x14ac:dyDescent="0.3">
      <c r="A53" s="404">
        <v>0</v>
      </c>
      <c r="B53" s="404">
        <v>174972484091</v>
      </c>
      <c r="C53" s="399" t="s">
        <v>744</v>
      </c>
      <c r="D53" s="404">
        <v>1817181970067</v>
      </c>
      <c r="E53" s="404">
        <v>1642209485976</v>
      </c>
      <c r="F53" s="380">
        <f t="shared" si="0"/>
        <v>-1642209485976</v>
      </c>
      <c r="G53" s="378" t="b">
        <f t="shared" si="1"/>
        <v>1</v>
      </c>
      <c r="H53" s="385">
        <f t="shared" si="2"/>
        <v>-1642209485976</v>
      </c>
    </row>
    <row r="54" spans="1:8" x14ac:dyDescent="0.3">
      <c r="A54" s="404">
        <v>0</v>
      </c>
      <c r="B54" s="404">
        <v>0</v>
      </c>
      <c r="C54" s="399" t="s">
        <v>721</v>
      </c>
      <c r="D54" s="404">
        <v>5614585757</v>
      </c>
      <c r="E54" s="404">
        <v>5614585757</v>
      </c>
      <c r="F54" s="380">
        <f t="shared" si="0"/>
        <v>-5614585757</v>
      </c>
      <c r="G54" s="378" t="b">
        <f t="shared" si="1"/>
        <v>1</v>
      </c>
      <c r="H54" s="385">
        <f t="shared" si="2"/>
        <v>-5614585757</v>
      </c>
    </row>
    <row r="55" spans="1:8" x14ac:dyDescent="0.3">
      <c r="A55" s="404">
        <v>548374838</v>
      </c>
      <c r="B55" s="404">
        <v>548374838</v>
      </c>
      <c r="C55" s="399" t="s">
        <v>745</v>
      </c>
      <c r="D55" s="404">
        <v>0</v>
      </c>
      <c r="E55" s="404">
        <v>0</v>
      </c>
      <c r="F55" s="380">
        <f t="shared" si="0"/>
        <v>548374838</v>
      </c>
      <c r="G55" s="378" t="b">
        <f t="shared" si="1"/>
        <v>1</v>
      </c>
      <c r="H55" s="385">
        <f t="shared" si="2"/>
        <v>548374838</v>
      </c>
    </row>
    <row r="56" spans="1:8" s="384" customFormat="1" x14ac:dyDescent="0.3">
      <c r="A56" s="404">
        <v>6721543356</v>
      </c>
      <c r="B56" s="404">
        <v>6917664608</v>
      </c>
      <c r="C56" s="399" t="s">
        <v>751</v>
      </c>
      <c r="D56" s="404">
        <v>196121252</v>
      </c>
      <c r="E56" s="404">
        <v>0</v>
      </c>
      <c r="F56" s="380">
        <f t="shared" si="0"/>
        <v>6721543356</v>
      </c>
      <c r="G56" s="384" t="b">
        <f t="shared" si="1"/>
        <v>1</v>
      </c>
      <c r="H56" s="385">
        <f t="shared" si="2"/>
        <v>6721543356</v>
      </c>
    </row>
    <row r="57" spans="1:8" x14ac:dyDescent="0.3">
      <c r="A57" s="404">
        <v>0</v>
      </c>
      <c r="B57" s="404">
        <v>151807875</v>
      </c>
      <c r="C57" s="399" t="s">
        <v>744</v>
      </c>
      <c r="D57" s="404">
        <v>5330838210</v>
      </c>
      <c r="E57" s="404">
        <v>5179030335</v>
      </c>
      <c r="F57" s="380">
        <f t="shared" si="0"/>
        <v>-5179030335</v>
      </c>
      <c r="G57" s="378" t="b">
        <f t="shared" si="1"/>
        <v>1</v>
      </c>
      <c r="H57" s="385">
        <f t="shared" si="2"/>
        <v>-5179030335</v>
      </c>
    </row>
    <row r="58" spans="1:8" x14ac:dyDescent="0.3">
      <c r="A58" s="404">
        <v>0</v>
      </c>
      <c r="B58" s="404">
        <v>12030810</v>
      </c>
      <c r="C58" s="399" t="s">
        <v>721</v>
      </c>
      <c r="D58" s="404">
        <v>448885337</v>
      </c>
      <c r="E58" s="404">
        <v>436854527</v>
      </c>
      <c r="F58" s="380">
        <f t="shared" si="0"/>
        <v>-436854527</v>
      </c>
      <c r="G58" s="378" t="b">
        <f t="shared" si="1"/>
        <v>1</v>
      </c>
      <c r="H58" s="385">
        <f t="shared" si="2"/>
        <v>-436854527</v>
      </c>
    </row>
    <row r="59" spans="1:8" x14ac:dyDescent="0.3">
      <c r="A59" s="404">
        <v>203498796</v>
      </c>
      <c r="B59" s="404">
        <v>203498796</v>
      </c>
      <c r="C59" s="399" t="s">
        <v>745</v>
      </c>
      <c r="D59" s="404">
        <v>0</v>
      </c>
      <c r="E59" s="404">
        <v>0</v>
      </c>
      <c r="F59" s="380">
        <f t="shared" si="0"/>
        <v>203498796</v>
      </c>
      <c r="G59" s="378" t="b">
        <f t="shared" si="1"/>
        <v>1</v>
      </c>
      <c r="H59" s="385">
        <f t="shared" si="2"/>
        <v>203498796</v>
      </c>
    </row>
    <row r="60" spans="1:8" s="384" customFormat="1" x14ac:dyDescent="0.3">
      <c r="A60" s="404">
        <v>0</v>
      </c>
      <c r="B60" s="404">
        <v>31081257</v>
      </c>
      <c r="C60" s="399" t="s">
        <v>752</v>
      </c>
      <c r="D60" s="404">
        <v>1196192137</v>
      </c>
      <c r="E60" s="404">
        <v>1165110880</v>
      </c>
      <c r="F60" s="380">
        <f t="shared" si="0"/>
        <v>-1165110880</v>
      </c>
      <c r="G60" s="384" t="b">
        <f t="shared" si="1"/>
        <v>1</v>
      </c>
      <c r="H60" s="385">
        <f t="shared" si="2"/>
        <v>-1165110880</v>
      </c>
    </row>
    <row r="61" spans="1:8" x14ac:dyDescent="0.3">
      <c r="A61" s="404">
        <v>560521884</v>
      </c>
      <c r="B61" s="404">
        <v>560521884</v>
      </c>
      <c r="C61" s="399" t="s">
        <v>753</v>
      </c>
      <c r="D61" s="404">
        <v>0</v>
      </c>
      <c r="E61" s="404">
        <v>0</v>
      </c>
      <c r="F61" s="380">
        <f t="shared" si="0"/>
        <v>560521884</v>
      </c>
      <c r="G61" s="378" t="b">
        <f t="shared" si="1"/>
        <v>1</v>
      </c>
      <c r="H61" s="385">
        <f t="shared" si="2"/>
        <v>560521884</v>
      </c>
    </row>
    <row r="62" spans="1:8" x14ac:dyDescent="0.3">
      <c r="A62" s="404">
        <v>132955987389</v>
      </c>
      <c r="B62" s="404">
        <v>142819836115</v>
      </c>
      <c r="C62" s="399" t="s">
        <v>754</v>
      </c>
      <c r="D62" s="404">
        <v>9863848726</v>
      </c>
      <c r="E62" s="404">
        <v>0</v>
      </c>
      <c r="F62" s="380">
        <f t="shared" si="0"/>
        <v>132955987389</v>
      </c>
      <c r="G62" s="378" t="b">
        <f t="shared" si="1"/>
        <v>1</v>
      </c>
      <c r="H62" s="385">
        <f t="shared" si="2"/>
        <v>132955987389</v>
      </c>
    </row>
    <row r="63" spans="1:8" x14ac:dyDescent="0.3">
      <c r="A63" s="404">
        <v>0</v>
      </c>
      <c r="B63" s="404">
        <v>5455165520</v>
      </c>
      <c r="C63" s="399" t="s">
        <v>744</v>
      </c>
      <c r="D63" s="404">
        <v>119396369670</v>
      </c>
      <c r="E63" s="404">
        <v>113941204150</v>
      </c>
      <c r="F63" s="380">
        <f t="shared" si="0"/>
        <v>-113941204150</v>
      </c>
      <c r="G63" s="378" t="b">
        <f t="shared" si="1"/>
        <v>1</v>
      </c>
      <c r="H63" s="385">
        <f t="shared" si="2"/>
        <v>-113941204150</v>
      </c>
    </row>
    <row r="64" spans="1:8" s="384" customFormat="1" x14ac:dyDescent="0.3">
      <c r="A64" s="404">
        <v>0</v>
      </c>
      <c r="B64" s="404">
        <v>43169040</v>
      </c>
      <c r="C64" s="399" t="s">
        <v>721</v>
      </c>
      <c r="D64" s="404">
        <v>1182732142</v>
      </c>
      <c r="E64" s="404">
        <v>1139563102</v>
      </c>
      <c r="F64" s="380">
        <f t="shared" si="0"/>
        <v>-1139563102</v>
      </c>
      <c r="G64" s="384" t="b">
        <f t="shared" si="1"/>
        <v>1</v>
      </c>
      <c r="H64" s="385">
        <f t="shared" si="2"/>
        <v>-1139563102</v>
      </c>
    </row>
    <row r="65" spans="1:8" x14ac:dyDescent="0.3">
      <c r="A65" s="404">
        <v>451409006</v>
      </c>
      <c r="B65" s="404">
        <v>460610428</v>
      </c>
      <c r="C65" s="399" t="s">
        <v>745</v>
      </c>
      <c r="D65" s="404">
        <v>9201422</v>
      </c>
      <c r="E65" s="404">
        <v>0</v>
      </c>
      <c r="F65" s="380">
        <f t="shared" si="0"/>
        <v>451409006</v>
      </c>
      <c r="G65" s="378" t="b">
        <f t="shared" si="1"/>
        <v>1</v>
      </c>
      <c r="H65" s="385">
        <f t="shared" si="2"/>
        <v>451409006</v>
      </c>
    </row>
    <row r="66" spans="1:8" x14ac:dyDescent="0.3">
      <c r="A66" s="404">
        <v>0</v>
      </c>
      <c r="B66" s="404">
        <v>44490000</v>
      </c>
      <c r="C66" s="399" t="s">
        <v>722</v>
      </c>
      <c r="D66" s="404">
        <v>458033300</v>
      </c>
      <c r="E66" s="404">
        <v>413543300</v>
      </c>
      <c r="F66" s="380">
        <f t="shared" si="0"/>
        <v>-413543300</v>
      </c>
      <c r="G66" s="378" t="b">
        <f t="shared" si="1"/>
        <v>1</v>
      </c>
      <c r="H66" s="385">
        <f t="shared" si="2"/>
        <v>-413543300</v>
      </c>
    </row>
    <row r="67" spans="1:8" x14ac:dyDescent="0.3">
      <c r="A67" s="404">
        <v>298403596</v>
      </c>
      <c r="B67" s="404">
        <v>327322096</v>
      </c>
      <c r="C67" s="399" t="s">
        <v>748</v>
      </c>
      <c r="D67" s="404">
        <v>28918500</v>
      </c>
      <c r="E67" s="404">
        <v>0</v>
      </c>
      <c r="F67" s="380">
        <f t="shared" si="0"/>
        <v>298403596</v>
      </c>
      <c r="G67" s="378" t="b">
        <f t="shared" ref="G67:G132" si="3">F67=H67</f>
        <v>1</v>
      </c>
      <c r="H67" s="385">
        <f t="shared" ref="H67:H132" si="4">A67-E67</f>
        <v>298403596</v>
      </c>
    </row>
    <row r="68" spans="1:8" x14ac:dyDescent="0.3">
      <c r="A68" s="404">
        <v>623590196207</v>
      </c>
      <c r="B68" s="404">
        <v>4945588010503</v>
      </c>
      <c r="C68" s="399" t="s">
        <v>755</v>
      </c>
      <c r="D68" s="404">
        <v>4321997814296</v>
      </c>
      <c r="E68" s="404">
        <v>0</v>
      </c>
      <c r="F68" s="380">
        <f t="shared" si="0"/>
        <v>623590196207</v>
      </c>
      <c r="G68" s="378" t="b">
        <f t="shared" si="3"/>
        <v>1</v>
      </c>
      <c r="H68" s="385">
        <f t="shared" si="4"/>
        <v>623590196207</v>
      </c>
    </row>
    <row r="69" spans="1:8" x14ac:dyDescent="0.3">
      <c r="A69" s="404">
        <v>0</v>
      </c>
      <c r="B69" s="404">
        <v>99168666013</v>
      </c>
      <c r="C69" s="399" t="s">
        <v>721</v>
      </c>
      <c r="D69" s="404">
        <v>126156344880</v>
      </c>
      <c r="E69" s="404">
        <v>26987678867</v>
      </c>
      <c r="F69" s="380">
        <f t="shared" ref="F69:F132" si="5">B69-D69</f>
        <v>-26987678867</v>
      </c>
      <c r="G69" s="378" t="b">
        <f t="shared" si="3"/>
        <v>1</v>
      </c>
      <c r="H69" s="385">
        <f t="shared" si="4"/>
        <v>-26987678867</v>
      </c>
    </row>
    <row r="70" spans="1:8" x14ac:dyDescent="0.3">
      <c r="A70" s="404">
        <v>0</v>
      </c>
      <c r="B70" s="404">
        <v>672151804</v>
      </c>
      <c r="C70" s="399" t="s">
        <v>722</v>
      </c>
      <c r="D70" s="404">
        <v>672151804</v>
      </c>
      <c r="E70" s="404">
        <v>0</v>
      </c>
      <c r="F70" s="380">
        <f t="shared" si="5"/>
        <v>0</v>
      </c>
      <c r="G70" s="378" t="b">
        <f t="shared" si="3"/>
        <v>1</v>
      </c>
      <c r="H70" s="385">
        <f t="shared" si="4"/>
        <v>0</v>
      </c>
    </row>
    <row r="71" spans="1:8" x14ac:dyDescent="0.3">
      <c r="A71" s="404">
        <v>8742800140</v>
      </c>
      <c r="B71" s="404">
        <v>8774983140</v>
      </c>
      <c r="C71" s="399" t="s">
        <v>756</v>
      </c>
      <c r="D71" s="404">
        <v>32183000</v>
      </c>
      <c r="E71" s="404">
        <v>0</v>
      </c>
      <c r="F71" s="380">
        <f t="shared" si="5"/>
        <v>8742800140</v>
      </c>
      <c r="G71" s="378" t="b">
        <f t="shared" si="3"/>
        <v>1</v>
      </c>
      <c r="H71" s="385">
        <f t="shared" si="4"/>
        <v>8742800140</v>
      </c>
    </row>
    <row r="72" spans="1:8" x14ac:dyDescent="0.3">
      <c r="A72" s="404">
        <v>0</v>
      </c>
      <c r="B72" s="404">
        <v>2256983</v>
      </c>
      <c r="C72" s="399" t="s">
        <v>744</v>
      </c>
      <c r="D72" s="404">
        <v>6745165060</v>
      </c>
      <c r="E72" s="404">
        <v>6742908077</v>
      </c>
      <c r="F72" s="380">
        <f t="shared" si="5"/>
        <v>-6742908077</v>
      </c>
      <c r="G72" s="378" t="b">
        <f t="shared" si="3"/>
        <v>1</v>
      </c>
      <c r="H72" s="385">
        <f t="shared" si="4"/>
        <v>-6742908077</v>
      </c>
    </row>
    <row r="73" spans="1:8" x14ac:dyDescent="0.3">
      <c r="A73" s="404">
        <v>2709850889</v>
      </c>
      <c r="B73" s="404">
        <v>2716226222</v>
      </c>
      <c r="C73" s="399" t="s">
        <v>757</v>
      </c>
      <c r="D73" s="404">
        <v>6375333</v>
      </c>
      <c r="E73" s="404">
        <v>0</v>
      </c>
      <c r="F73" s="380">
        <f t="shared" si="5"/>
        <v>2709850889</v>
      </c>
      <c r="G73" s="378" t="b">
        <f t="shared" si="3"/>
        <v>1</v>
      </c>
      <c r="H73" s="385">
        <f t="shared" si="4"/>
        <v>2709850889</v>
      </c>
    </row>
    <row r="74" spans="1:8" s="384" customFormat="1" x14ac:dyDescent="0.3">
      <c r="A74" s="404">
        <v>0</v>
      </c>
      <c r="B74" s="404">
        <v>52239201</v>
      </c>
      <c r="C74" s="399" t="s">
        <v>758</v>
      </c>
      <c r="D74" s="404">
        <v>2678770455</v>
      </c>
      <c r="E74" s="404">
        <v>2626531254</v>
      </c>
      <c r="F74" s="380">
        <f t="shared" si="5"/>
        <v>-2626531254</v>
      </c>
      <c r="G74" s="384" t="b">
        <f t="shared" si="3"/>
        <v>1</v>
      </c>
      <c r="H74" s="385">
        <f t="shared" si="4"/>
        <v>-2626531254</v>
      </c>
    </row>
    <row r="75" spans="1:8" x14ac:dyDescent="0.3">
      <c r="A75" s="404">
        <v>0</v>
      </c>
      <c r="B75" s="404">
        <v>0</v>
      </c>
      <c r="C75" s="399" t="s">
        <v>759</v>
      </c>
      <c r="D75" s="404">
        <v>83319635</v>
      </c>
      <c r="E75" s="404">
        <v>83319635</v>
      </c>
      <c r="F75" s="380">
        <f t="shared" si="5"/>
        <v>-83319635</v>
      </c>
      <c r="G75" s="378" t="b">
        <f t="shared" si="3"/>
        <v>1</v>
      </c>
      <c r="H75" s="381">
        <f t="shared" si="4"/>
        <v>-83319635</v>
      </c>
    </row>
    <row r="76" spans="1:8" x14ac:dyDescent="0.3">
      <c r="A76" s="404">
        <v>12004084555</v>
      </c>
      <c r="B76" s="404">
        <v>12004084555</v>
      </c>
      <c r="C76" s="399" t="s">
        <v>760</v>
      </c>
      <c r="D76" s="404">
        <v>0</v>
      </c>
      <c r="E76" s="404">
        <v>0</v>
      </c>
      <c r="F76" s="380">
        <f t="shared" si="5"/>
        <v>12004084555</v>
      </c>
      <c r="G76" s="378" t="b">
        <f t="shared" si="3"/>
        <v>1</v>
      </c>
      <c r="H76" s="381">
        <f t="shared" si="4"/>
        <v>12004084555</v>
      </c>
    </row>
    <row r="77" spans="1:8" s="384" customFormat="1" x14ac:dyDescent="0.3">
      <c r="A77" s="404">
        <v>0</v>
      </c>
      <c r="B77" s="404">
        <v>198365406</v>
      </c>
      <c r="C77" s="399" t="s">
        <v>761</v>
      </c>
      <c r="D77" s="404">
        <v>8118550005</v>
      </c>
      <c r="E77" s="404">
        <v>7920184599</v>
      </c>
      <c r="F77" s="380">
        <f t="shared" si="5"/>
        <v>-7920184599</v>
      </c>
      <c r="G77" s="384" t="b">
        <f t="shared" si="3"/>
        <v>1</v>
      </c>
      <c r="H77" s="385">
        <f t="shared" si="4"/>
        <v>-7920184599</v>
      </c>
    </row>
    <row r="78" spans="1:8" x14ac:dyDescent="0.3">
      <c r="A78" s="404">
        <v>0</v>
      </c>
      <c r="B78" s="404">
        <v>0</v>
      </c>
      <c r="C78" s="399" t="s">
        <v>762</v>
      </c>
      <c r="D78" s="404">
        <v>525221257</v>
      </c>
      <c r="E78" s="404">
        <v>525221257</v>
      </c>
      <c r="F78" s="380">
        <f t="shared" si="5"/>
        <v>-525221257</v>
      </c>
      <c r="G78" s="378" t="b">
        <f t="shared" si="3"/>
        <v>1</v>
      </c>
      <c r="H78" s="381">
        <f t="shared" si="4"/>
        <v>-525221257</v>
      </c>
    </row>
    <row r="79" spans="1:8" x14ac:dyDescent="0.3">
      <c r="A79" s="404">
        <v>0</v>
      </c>
      <c r="B79" s="404">
        <v>92887405</v>
      </c>
      <c r="C79" s="399" t="s">
        <v>763</v>
      </c>
      <c r="D79" s="404">
        <v>3651566104</v>
      </c>
      <c r="E79" s="404">
        <v>3558678699</v>
      </c>
      <c r="F79" s="380">
        <f t="shared" si="5"/>
        <v>-3558678699</v>
      </c>
      <c r="G79" s="378" t="b">
        <f t="shared" si="3"/>
        <v>1</v>
      </c>
      <c r="H79" s="381">
        <f t="shared" si="4"/>
        <v>-3558678699</v>
      </c>
    </row>
    <row r="80" spans="1:8" x14ac:dyDescent="0.3">
      <c r="A80" s="404">
        <v>9762102940</v>
      </c>
      <c r="B80" s="404">
        <v>9762102940</v>
      </c>
      <c r="C80" s="399" t="s">
        <v>764</v>
      </c>
      <c r="D80" s="404">
        <v>0</v>
      </c>
      <c r="E80" s="404">
        <v>0</v>
      </c>
      <c r="F80" s="380">
        <f t="shared" si="5"/>
        <v>9762102940</v>
      </c>
      <c r="G80" s="378" t="b">
        <f t="shared" si="3"/>
        <v>1</v>
      </c>
      <c r="H80" s="381">
        <f t="shared" si="4"/>
        <v>9762102940</v>
      </c>
    </row>
    <row r="81" spans="1:8" x14ac:dyDescent="0.3">
      <c r="A81" s="404">
        <v>0</v>
      </c>
      <c r="B81" s="404">
        <v>452351377</v>
      </c>
      <c r="C81" s="399" t="s">
        <v>765</v>
      </c>
      <c r="D81" s="404">
        <v>5461132808</v>
      </c>
      <c r="E81" s="404">
        <v>5008781431</v>
      </c>
      <c r="F81" s="380">
        <f t="shared" si="5"/>
        <v>-5008781431</v>
      </c>
      <c r="G81" s="378" t="b">
        <f t="shared" si="3"/>
        <v>1</v>
      </c>
      <c r="H81" s="381">
        <f t="shared" si="4"/>
        <v>-5008781431</v>
      </c>
    </row>
    <row r="82" spans="1:8" x14ac:dyDescent="0.3">
      <c r="A82" s="404">
        <v>0</v>
      </c>
      <c r="B82" s="404">
        <v>0</v>
      </c>
      <c r="C82" s="399" t="s">
        <v>766</v>
      </c>
      <c r="D82" s="404">
        <v>4724331982</v>
      </c>
      <c r="E82" s="404">
        <v>4724331982</v>
      </c>
      <c r="F82" s="380">
        <f t="shared" si="5"/>
        <v>-4724331982</v>
      </c>
      <c r="G82" s="378" t="b">
        <f t="shared" si="3"/>
        <v>1</v>
      </c>
      <c r="H82" s="381">
        <f t="shared" si="4"/>
        <v>-4724331982</v>
      </c>
    </row>
    <row r="83" spans="1:8" x14ac:dyDescent="0.3">
      <c r="A83" s="404">
        <v>0</v>
      </c>
      <c r="B83" s="404">
        <v>1532557</v>
      </c>
      <c r="C83" s="399" t="s">
        <v>767</v>
      </c>
      <c r="D83" s="404">
        <v>30522084</v>
      </c>
      <c r="E83" s="404">
        <v>28989527</v>
      </c>
      <c r="F83" s="380">
        <f t="shared" si="5"/>
        <v>-28989527</v>
      </c>
      <c r="G83" s="378" t="b">
        <f t="shared" si="3"/>
        <v>1</v>
      </c>
      <c r="H83" s="381">
        <f t="shared" si="4"/>
        <v>-28989527</v>
      </c>
    </row>
    <row r="84" spans="1:8" x14ac:dyDescent="0.3">
      <c r="A84" s="404">
        <v>60204365119</v>
      </c>
      <c r="B84" s="404">
        <v>60204365119</v>
      </c>
      <c r="C84" s="399" t="s">
        <v>768</v>
      </c>
      <c r="D84" s="404">
        <v>0</v>
      </c>
      <c r="E84" s="404">
        <v>0</v>
      </c>
      <c r="F84" s="380">
        <f t="shared" si="5"/>
        <v>60204365119</v>
      </c>
      <c r="G84" s="378" t="b">
        <f t="shared" si="3"/>
        <v>1</v>
      </c>
      <c r="H84" s="381">
        <f t="shared" si="4"/>
        <v>60204365119</v>
      </c>
    </row>
    <row r="85" spans="1:8" x14ac:dyDescent="0.3">
      <c r="A85" s="404">
        <v>0</v>
      </c>
      <c r="B85" s="404">
        <v>1514101227</v>
      </c>
      <c r="C85" s="399" t="s">
        <v>769</v>
      </c>
      <c r="D85" s="404">
        <v>42783789406</v>
      </c>
      <c r="E85" s="404">
        <v>41269688179</v>
      </c>
      <c r="F85" s="380">
        <f t="shared" si="5"/>
        <v>-41269688179</v>
      </c>
      <c r="G85" s="378" t="b">
        <f t="shared" si="3"/>
        <v>1</v>
      </c>
      <c r="H85" s="381">
        <f t="shared" si="4"/>
        <v>-41269688179</v>
      </c>
    </row>
    <row r="86" spans="1:8" x14ac:dyDescent="0.3">
      <c r="A86" s="404">
        <v>0</v>
      </c>
      <c r="B86" s="404">
        <v>0</v>
      </c>
      <c r="C86" s="399" t="s">
        <v>770</v>
      </c>
      <c r="D86" s="404">
        <v>18450646477</v>
      </c>
      <c r="E86" s="404">
        <v>18450646477</v>
      </c>
      <c r="F86" s="380">
        <f t="shared" si="5"/>
        <v>-18450646477</v>
      </c>
      <c r="G86" s="378" t="b">
        <f t="shared" si="3"/>
        <v>1</v>
      </c>
      <c r="H86" s="381">
        <f t="shared" si="4"/>
        <v>-18450646477</v>
      </c>
    </row>
    <row r="87" spans="1:8" x14ac:dyDescent="0.3">
      <c r="A87" s="404">
        <v>0</v>
      </c>
      <c r="B87" s="404">
        <v>13163494</v>
      </c>
      <c r="C87" s="399" t="s">
        <v>771</v>
      </c>
      <c r="D87" s="404">
        <v>497193957</v>
      </c>
      <c r="E87" s="404">
        <v>484030463</v>
      </c>
      <c r="F87" s="380">
        <f t="shared" si="5"/>
        <v>-484030463</v>
      </c>
      <c r="G87" s="378" t="b">
        <f t="shared" si="3"/>
        <v>1</v>
      </c>
      <c r="H87" s="381">
        <f t="shared" si="4"/>
        <v>-484030463</v>
      </c>
    </row>
    <row r="88" spans="1:8" x14ac:dyDescent="0.3">
      <c r="A88" s="404">
        <v>114807836</v>
      </c>
      <c r="B88" s="404">
        <v>114807836</v>
      </c>
      <c r="C88" s="399" t="s">
        <v>786</v>
      </c>
      <c r="D88" s="404">
        <v>0</v>
      </c>
      <c r="E88" s="404">
        <v>0</v>
      </c>
      <c r="F88" s="380">
        <f t="shared" si="5"/>
        <v>114807836</v>
      </c>
      <c r="G88" s="378" t="b">
        <f t="shared" si="3"/>
        <v>1</v>
      </c>
      <c r="H88" s="381">
        <f t="shared" si="4"/>
        <v>114807836</v>
      </c>
    </row>
    <row r="89" spans="1:8" x14ac:dyDescent="0.3">
      <c r="A89" s="404">
        <v>0</v>
      </c>
      <c r="B89" s="404">
        <v>22961567</v>
      </c>
      <c r="C89" s="399" t="s">
        <v>772</v>
      </c>
      <c r="D89" s="404">
        <v>92567977</v>
      </c>
      <c r="E89" s="404">
        <v>69606410</v>
      </c>
      <c r="F89" s="380">
        <f t="shared" si="5"/>
        <v>-69606410</v>
      </c>
      <c r="G89" s="378" t="b">
        <f t="shared" si="3"/>
        <v>1</v>
      </c>
      <c r="H89" s="381">
        <f t="shared" si="4"/>
        <v>-69606410</v>
      </c>
    </row>
    <row r="90" spans="1:8" x14ac:dyDescent="0.3">
      <c r="A90" s="404">
        <v>0</v>
      </c>
      <c r="B90" s="404">
        <v>0</v>
      </c>
      <c r="C90" s="399" t="s">
        <v>773</v>
      </c>
      <c r="D90" s="404">
        <v>45201426</v>
      </c>
      <c r="E90" s="404">
        <v>45201426</v>
      </c>
      <c r="F90" s="380">
        <f t="shared" si="5"/>
        <v>-45201426</v>
      </c>
      <c r="G90" s="378" t="b">
        <f t="shared" si="3"/>
        <v>1</v>
      </c>
      <c r="H90" s="381">
        <f t="shared" si="4"/>
        <v>-45201426</v>
      </c>
    </row>
    <row r="91" spans="1:8" x14ac:dyDescent="0.3">
      <c r="A91" s="404">
        <v>4990145464</v>
      </c>
      <c r="B91" s="404">
        <v>5121189330</v>
      </c>
      <c r="C91" s="399" t="s">
        <v>774</v>
      </c>
      <c r="D91" s="404">
        <v>131043866</v>
      </c>
      <c r="E91" s="404">
        <v>0</v>
      </c>
      <c r="F91" s="380">
        <f t="shared" si="5"/>
        <v>4990145464</v>
      </c>
      <c r="G91" s="378" t="b">
        <f t="shared" si="3"/>
        <v>1</v>
      </c>
      <c r="H91" s="381">
        <f t="shared" si="4"/>
        <v>4990145464</v>
      </c>
    </row>
    <row r="92" spans="1:8" x14ac:dyDescent="0.3">
      <c r="A92" s="404">
        <v>0</v>
      </c>
      <c r="B92" s="404">
        <v>2030676889</v>
      </c>
      <c r="C92" s="399" t="s">
        <v>775</v>
      </c>
      <c r="D92" s="404">
        <v>3517067565</v>
      </c>
      <c r="E92" s="404">
        <v>1486390676</v>
      </c>
      <c r="F92" s="380">
        <f t="shared" si="5"/>
        <v>-1486390676</v>
      </c>
      <c r="G92" s="378" t="b">
        <f t="shared" si="3"/>
        <v>1</v>
      </c>
      <c r="H92" s="381">
        <f t="shared" si="4"/>
        <v>-1486390676</v>
      </c>
    </row>
    <row r="93" spans="1:8" x14ac:dyDescent="0.3">
      <c r="A93" s="404">
        <v>0</v>
      </c>
      <c r="B93" s="404">
        <v>130947468</v>
      </c>
      <c r="C93" s="399" t="s">
        <v>776</v>
      </c>
      <c r="D93" s="404">
        <v>3489081468</v>
      </c>
      <c r="E93" s="404">
        <v>3358134000</v>
      </c>
      <c r="F93" s="380">
        <f t="shared" si="5"/>
        <v>-3358134000</v>
      </c>
      <c r="G93" s="378" t="b">
        <f t="shared" si="3"/>
        <v>1</v>
      </c>
      <c r="H93" s="381">
        <f t="shared" si="4"/>
        <v>-3358134000</v>
      </c>
    </row>
    <row r="94" spans="1:8" x14ac:dyDescent="0.3">
      <c r="A94" s="404">
        <v>0</v>
      </c>
      <c r="B94" s="404">
        <v>75577671</v>
      </c>
      <c r="C94" s="399" t="s">
        <v>777</v>
      </c>
      <c r="D94" s="404">
        <v>221198459</v>
      </c>
      <c r="E94" s="404">
        <v>145620788</v>
      </c>
      <c r="F94" s="380">
        <f t="shared" si="5"/>
        <v>-145620788</v>
      </c>
      <c r="G94" s="378" t="b">
        <f t="shared" si="3"/>
        <v>1</v>
      </c>
      <c r="H94" s="381">
        <f t="shared" si="4"/>
        <v>-145620788</v>
      </c>
    </row>
    <row r="95" spans="1:8" x14ac:dyDescent="0.3">
      <c r="A95" s="404">
        <v>718702543</v>
      </c>
      <c r="B95" s="404">
        <v>9047772803</v>
      </c>
      <c r="C95" s="399" t="s">
        <v>778</v>
      </c>
      <c r="D95" s="404">
        <v>8329070260</v>
      </c>
      <c r="E95" s="404">
        <v>0</v>
      </c>
      <c r="F95" s="380">
        <f t="shared" si="5"/>
        <v>718702543</v>
      </c>
      <c r="G95" s="378" t="b">
        <f t="shared" si="3"/>
        <v>1</v>
      </c>
      <c r="H95" s="381">
        <f t="shared" si="4"/>
        <v>718702543</v>
      </c>
    </row>
    <row r="96" spans="1:8" x14ac:dyDescent="0.3">
      <c r="A96" s="404">
        <v>0</v>
      </c>
      <c r="B96" s="404">
        <v>6701269052</v>
      </c>
      <c r="C96" s="399" t="s">
        <v>787</v>
      </c>
      <c r="D96" s="404">
        <v>7419971595</v>
      </c>
      <c r="E96" s="404">
        <v>718702543</v>
      </c>
      <c r="F96" s="380">
        <f t="shared" si="5"/>
        <v>-718702543</v>
      </c>
      <c r="G96" s="378" t="b">
        <f t="shared" si="3"/>
        <v>1</v>
      </c>
      <c r="H96" s="381">
        <f t="shared" si="4"/>
        <v>-718702543</v>
      </c>
    </row>
    <row r="97" spans="1:8" x14ac:dyDescent="0.3">
      <c r="A97" s="404">
        <v>0</v>
      </c>
      <c r="B97" s="404">
        <v>554163120</v>
      </c>
      <c r="C97" s="399" t="s">
        <v>788</v>
      </c>
      <c r="D97" s="404">
        <v>554163120</v>
      </c>
      <c r="E97" s="404">
        <v>0</v>
      </c>
      <c r="F97" s="380">
        <f t="shared" ref="F97" si="6">B97-D97</f>
        <v>0</v>
      </c>
      <c r="G97" s="378" t="b">
        <f t="shared" si="3"/>
        <v>1</v>
      </c>
      <c r="H97" s="381">
        <f t="shared" ref="H97" si="7">A97-E97</f>
        <v>0</v>
      </c>
    </row>
    <row r="98" spans="1:8" x14ac:dyDescent="0.3">
      <c r="A98" s="404">
        <v>62718596</v>
      </c>
      <c r="B98" s="404">
        <v>84543294</v>
      </c>
      <c r="C98" s="399" t="s">
        <v>789</v>
      </c>
      <c r="D98" s="404">
        <v>21824698</v>
      </c>
      <c r="E98" s="404">
        <v>0</v>
      </c>
      <c r="F98" s="380">
        <f t="shared" si="5"/>
        <v>62718596</v>
      </c>
      <c r="G98" s="378" t="b">
        <f t="shared" si="3"/>
        <v>1</v>
      </c>
      <c r="H98" s="381">
        <f t="shared" si="4"/>
        <v>62718596</v>
      </c>
    </row>
    <row r="99" spans="1:8" x14ac:dyDescent="0.3">
      <c r="A99" s="404">
        <v>63062</v>
      </c>
      <c r="B99" s="404">
        <v>398145</v>
      </c>
      <c r="C99" s="399" t="s">
        <v>790</v>
      </c>
      <c r="D99" s="404">
        <v>335083</v>
      </c>
      <c r="E99" s="404">
        <v>0</v>
      </c>
      <c r="F99" s="380">
        <f t="shared" si="5"/>
        <v>63062</v>
      </c>
      <c r="G99" s="378" t="b">
        <f t="shared" si="3"/>
        <v>1</v>
      </c>
      <c r="H99" s="381">
        <f t="shared" si="4"/>
        <v>63062</v>
      </c>
    </row>
    <row r="100" spans="1:8" x14ac:dyDescent="0.3">
      <c r="A100" s="404">
        <v>12770</v>
      </c>
      <c r="B100" s="404">
        <v>12770</v>
      </c>
      <c r="C100" s="399" t="s">
        <v>799</v>
      </c>
      <c r="D100" s="404">
        <v>0</v>
      </c>
      <c r="E100" s="404">
        <v>0</v>
      </c>
      <c r="F100" s="380">
        <f t="shared" si="5"/>
        <v>12770</v>
      </c>
      <c r="G100" s="378" t="b">
        <f t="shared" si="3"/>
        <v>1</v>
      </c>
      <c r="H100" s="381">
        <f t="shared" si="4"/>
        <v>12770</v>
      </c>
    </row>
    <row r="101" spans="1:8" x14ac:dyDescent="0.3">
      <c r="A101" s="404">
        <v>9644270</v>
      </c>
      <c r="B101" s="404">
        <v>18765660</v>
      </c>
      <c r="C101" s="399" t="s">
        <v>791</v>
      </c>
      <c r="D101" s="404">
        <v>9121390</v>
      </c>
      <c r="E101" s="404">
        <v>0</v>
      </c>
      <c r="F101" s="380">
        <f t="shared" si="5"/>
        <v>9644270</v>
      </c>
      <c r="G101" s="378" t="b">
        <f t="shared" si="3"/>
        <v>1</v>
      </c>
      <c r="H101" s="381">
        <f t="shared" si="4"/>
        <v>9644270</v>
      </c>
    </row>
    <row r="102" spans="1:8" s="384" customFormat="1" x14ac:dyDescent="0.3">
      <c r="A102" s="404">
        <v>99600438211</v>
      </c>
      <c r="B102" s="404">
        <v>99600438211</v>
      </c>
      <c r="C102" s="399" t="s">
        <v>792</v>
      </c>
      <c r="D102" s="404">
        <v>0</v>
      </c>
      <c r="E102" s="404">
        <v>0</v>
      </c>
      <c r="F102" s="380">
        <f t="shared" si="5"/>
        <v>99600438211</v>
      </c>
      <c r="G102" s="384" t="b">
        <f t="shared" si="3"/>
        <v>1</v>
      </c>
      <c r="H102" s="385">
        <f t="shared" si="4"/>
        <v>99600438211</v>
      </c>
    </row>
    <row r="103" spans="1:8" s="384" customFormat="1" x14ac:dyDescent="0.3">
      <c r="A103" s="404">
        <v>13897444067</v>
      </c>
      <c r="B103" s="404">
        <v>20458214217</v>
      </c>
      <c r="C103" s="399" t="s">
        <v>793</v>
      </c>
      <c r="D103" s="404">
        <v>6560770150</v>
      </c>
      <c r="E103" s="404">
        <v>0</v>
      </c>
      <c r="F103" s="380">
        <f t="shared" si="5"/>
        <v>13897444067</v>
      </c>
      <c r="G103" s="384" t="b">
        <f t="shared" si="3"/>
        <v>1</v>
      </c>
      <c r="H103" s="385">
        <f t="shared" si="4"/>
        <v>13897444067</v>
      </c>
    </row>
    <row r="104" spans="1:8" x14ac:dyDescent="0.3">
      <c r="A104" s="404">
        <v>0</v>
      </c>
      <c r="B104" s="404">
        <v>0</v>
      </c>
      <c r="C104" s="399" t="s">
        <v>794</v>
      </c>
      <c r="D104" s="404">
        <v>1323464196</v>
      </c>
      <c r="E104" s="404">
        <v>1323464196</v>
      </c>
      <c r="F104" s="380">
        <f t="shared" si="5"/>
        <v>-1323464196</v>
      </c>
      <c r="G104" s="378" t="b">
        <f t="shared" si="3"/>
        <v>1</v>
      </c>
      <c r="H104" s="381">
        <f t="shared" si="4"/>
        <v>-1323464196</v>
      </c>
    </row>
    <row r="105" spans="1:8" x14ac:dyDescent="0.3">
      <c r="A105" s="404">
        <v>493555942</v>
      </c>
      <c r="B105" s="404">
        <v>493555942</v>
      </c>
      <c r="C105" s="399" t="s">
        <v>795</v>
      </c>
      <c r="D105" s="404">
        <v>0</v>
      </c>
      <c r="E105" s="404">
        <v>0</v>
      </c>
      <c r="F105" s="380">
        <f t="shared" si="5"/>
        <v>493555942</v>
      </c>
      <c r="G105" s="378" t="b">
        <f t="shared" si="3"/>
        <v>1</v>
      </c>
      <c r="H105" s="381">
        <f t="shared" si="4"/>
        <v>493555942</v>
      </c>
    </row>
    <row r="106" spans="1:8" x14ac:dyDescent="0.3">
      <c r="A106" s="404">
        <v>1095416912</v>
      </c>
      <c r="B106" s="404">
        <v>1095416912</v>
      </c>
      <c r="C106" s="399" t="s">
        <v>796</v>
      </c>
      <c r="D106" s="404">
        <v>0</v>
      </c>
      <c r="E106" s="404">
        <v>0</v>
      </c>
      <c r="F106" s="380">
        <f t="shared" si="5"/>
        <v>1095416912</v>
      </c>
      <c r="G106" s="378" t="b">
        <f t="shared" si="3"/>
        <v>1</v>
      </c>
      <c r="H106" s="381">
        <f t="shared" si="4"/>
        <v>1095416912</v>
      </c>
    </row>
    <row r="107" spans="1:8" x14ac:dyDescent="0.3">
      <c r="A107" s="404">
        <v>0</v>
      </c>
      <c r="B107" s="404">
        <v>931807736</v>
      </c>
      <c r="C107" s="399" t="s">
        <v>797</v>
      </c>
      <c r="D107" s="404">
        <v>1007861851</v>
      </c>
      <c r="E107" s="404">
        <v>76054115</v>
      </c>
      <c r="F107" s="380">
        <f t="shared" si="5"/>
        <v>-76054115</v>
      </c>
      <c r="G107" s="378" t="b">
        <f t="shared" si="3"/>
        <v>1</v>
      </c>
      <c r="H107" s="381">
        <f t="shared" si="4"/>
        <v>-76054115</v>
      </c>
    </row>
    <row r="108" spans="1:8" x14ac:dyDescent="0.3">
      <c r="A108" s="404">
        <v>0</v>
      </c>
      <c r="B108" s="404">
        <v>0</v>
      </c>
      <c r="C108" s="399" t="s">
        <v>798</v>
      </c>
      <c r="D108" s="404">
        <v>1019362797</v>
      </c>
      <c r="E108" s="404">
        <v>1019362797</v>
      </c>
      <c r="F108" s="380">
        <f t="shared" si="5"/>
        <v>-1019362797</v>
      </c>
      <c r="G108" s="378" t="b">
        <f t="shared" si="3"/>
        <v>1</v>
      </c>
      <c r="H108" s="385">
        <f t="shared" si="4"/>
        <v>-1019362797</v>
      </c>
    </row>
    <row r="109" spans="1:8" x14ac:dyDescent="0.3">
      <c r="A109" s="404">
        <v>1241309884</v>
      </c>
      <c r="B109" s="404">
        <v>1241309884</v>
      </c>
      <c r="C109" s="399" t="s">
        <v>800</v>
      </c>
      <c r="D109" s="404">
        <v>0</v>
      </c>
      <c r="E109" s="404">
        <v>0</v>
      </c>
      <c r="F109" s="380">
        <f t="shared" ref="F109:F110" si="8">B109-D109</f>
        <v>1241309884</v>
      </c>
      <c r="G109" s="378" t="b">
        <f t="shared" si="3"/>
        <v>1</v>
      </c>
      <c r="H109" s="385">
        <f t="shared" ref="H109:H110" si="9">A109-E109</f>
        <v>1241309884</v>
      </c>
    </row>
    <row r="110" spans="1:8" x14ac:dyDescent="0.3">
      <c r="A110" s="404">
        <v>0</v>
      </c>
      <c r="B110" s="404">
        <v>0</v>
      </c>
      <c r="C110" s="399" t="s">
        <v>801</v>
      </c>
      <c r="D110" s="404">
        <v>1179746238</v>
      </c>
      <c r="E110" s="404">
        <v>1179746238</v>
      </c>
      <c r="F110" s="380">
        <f t="shared" si="8"/>
        <v>-1179746238</v>
      </c>
      <c r="G110" s="378" t="b">
        <f t="shared" si="3"/>
        <v>1</v>
      </c>
      <c r="H110" s="385">
        <f t="shared" si="9"/>
        <v>-1179746238</v>
      </c>
    </row>
    <row r="111" spans="1:8" x14ac:dyDescent="0.3">
      <c r="A111" s="404">
        <v>2721396500</v>
      </c>
      <c r="B111" s="404">
        <v>3201086200</v>
      </c>
      <c r="C111" s="399" t="s">
        <v>779</v>
      </c>
      <c r="D111" s="404">
        <v>479689700</v>
      </c>
      <c r="E111" s="404">
        <v>0</v>
      </c>
      <c r="F111" s="380">
        <f t="shared" si="5"/>
        <v>2721396500</v>
      </c>
      <c r="G111" s="378" t="b">
        <f t="shared" si="3"/>
        <v>1</v>
      </c>
      <c r="H111" s="385">
        <f t="shared" si="4"/>
        <v>2721396500</v>
      </c>
    </row>
    <row r="112" spans="1:8" s="384" customFormat="1" x14ac:dyDescent="0.3">
      <c r="A112" s="404">
        <v>16135412683</v>
      </c>
      <c r="B112" s="404">
        <v>75986737705</v>
      </c>
      <c r="C112" s="399" t="s">
        <v>780</v>
      </c>
      <c r="D112" s="404">
        <v>59851325022</v>
      </c>
      <c r="E112" s="404">
        <v>0</v>
      </c>
      <c r="F112" s="380">
        <f t="shared" si="5"/>
        <v>16135412683</v>
      </c>
      <c r="G112" s="384" t="b">
        <f t="shared" si="3"/>
        <v>1</v>
      </c>
      <c r="H112" s="385">
        <f t="shared" si="4"/>
        <v>16135412683</v>
      </c>
    </row>
    <row r="113" spans="1:8" x14ac:dyDescent="0.3">
      <c r="A113" s="404">
        <v>0</v>
      </c>
      <c r="B113" s="404">
        <v>230000000000</v>
      </c>
      <c r="C113" s="399" t="s">
        <v>802</v>
      </c>
      <c r="D113" s="404">
        <v>230000000000</v>
      </c>
      <c r="E113" s="404">
        <v>0</v>
      </c>
      <c r="F113" s="380">
        <f t="shared" si="5"/>
        <v>0</v>
      </c>
      <c r="G113" s="378" t="b">
        <f t="shared" si="3"/>
        <v>1</v>
      </c>
      <c r="H113" s="381">
        <f t="shared" si="4"/>
        <v>0</v>
      </c>
    </row>
    <row r="114" spans="1:8" x14ac:dyDescent="0.3">
      <c r="A114" s="404">
        <v>0</v>
      </c>
      <c r="B114" s="404">
        <v>2919205882729</v>
      </c>
      <c r="C114" s="399" t="s">
        <v>803</v>
      </c>
      <c r="D114" s="404">
        <v>3212065333032</v>
      </c>
      <c r="E114" s="404">
        <v>292859450303</v>
      </c>
      <c r="F114" s="380">
        <f t="shared" si="5"/>
        <v>-292859450303</v>
      </c>
      <c r="G114" s="378" t="b">
        <f t="shared" si="3"/>
        <v>1</v>
      </c>
      <c r="H114" s="381">
        <f t="shared" si="4"/>
        <v>-292859450303</v>
      </c>
    </row>
    <row r="115" spans="1:8" x14ac:dyDescent="0.3">
      <c r="A115" s="404">
        <v>0</v>
      </c>
      <c r="B115" s="404">
        <v>3073487983243</v>
      </c>
      <c r="C115" s="399" t="s">
        <v>804</v>
      </c>
      <c r="D115" s="404">
        <v>3077310352456</v>
      </c>
      <c r="E115" s="404">
        <v>3822369213</v>
      </c>
      <c r="F115" s="380">
        <f t="shared" si="5"/>
        <v>-3822369213</v>
      </c>
      <c r="G115" s="378" t="b">
        <f t="shared" si="3"/>
        <v>1</v>
      </c>
      <c r="H115" s="381">
        <f t="shared" si="4"/>
        <v>-3822369213</v>
      </c>
    </row>
    <row r="116" spans="1:8" x14ac:dyDescent="0.3">
      <c r="A116" s="404">
        <v>0</v>
      </c>
      <c r="B116" s="404">
        <v>895386282322</v>
      </c>
      <c r="C116" s="399" t="s">
        <v>805</v>
      </c>
      <c r="D116" s="404">
        <v>943740764164</v>
      </c>
      <c r="E116" s="404">
        <v>48354481842</v>
      </c>
      <c r="F116" s="380">
        <f t="shared" si="5"/>
        <v>-48354481842</v>
      </c>
      <c r="G116" s="378" t="b">
        <f t="shared" si="3"/>
        <v>1</v>
      </c>
      <c r="H116" s="381">
        <f t="shared" si="4"/>
        <v>-48354481842</v>
      </c>
    </row>
    <row r="117" spans="1:8" x14ac:dyDescent="0.3">
      <c r="A117" s="404">
        <v>0</v>
      </c>
      <c r="B117" s="404">
        <v>1231552361856</v>
      </c>
      <c r="C117" s="399" t="s">
        <v>806</v>
      </c>
      <c r="D117" s="404">
        <v>1308294548837</v>
      </c>
      <c r="E117" s="404">
        <v>76742186981</v>
      </c>
      <c r="F117" s="380">
        <f t="shared" si="5"/>
        <v>-76742186981</v>
      </c>
      <c r="G117" s="378" t="b">
        <f t="shared" si="3"/>
        <v>1</v>
      </c>
      <c r="H117" s="381">
        <f t="shared" si="4"/>
        <v>-76742186981</v>
      </c>
    </row>
    <row r="118" spans="1:8" x14ac:dyDescent="0.3">
      <c r="A118" s="404">
        <v>0</v>
      </c>
      <c r="B118" s="404">
        <v>146974064610</v>
      </c>
      <c r="C118" s="399" t="s">
        <v>807</v>
      </c>
      <c r="D118" s="404">
        <v>146975081784</v>
      </c>
      <c r="E118" s="404">
        <v>1017174</v>
      </c>
      <c r="F118" s="380">
        <f t="shared" si="5"/>
        <v>-1017174</v>
      </c>
      <c r="G118" s="378" t="b">
        <f t="shared" si="3"/>
        <v>1</v>
      </c>
      <c r="H118" s="381">
        <f t="shared" si="4"/>
        <v>-1017174</v>
      </c>
    </row>
    <row r="119" spans="1:8" x14ac:dyDescent="0.3">
      <c r="A119" s="404">
        <v>0</v>
      </c>
      <c r="B119" s="404">
        <v>660000000000</v>
      </c>
      <c r="C119" s="399" t="s">
        <v>808</v>
      </c>
      <c r="D119" s="404">
        <v>1100000000000</v>
      </c>
      <c r="E119" s="404">
        <v>440000000000</v>
      </c>
      <c r="F119" s="380">
        <f t="shared" si="5"/>
        <v>-440000000000</v>
      </c>
      <c r="G119" s="378" t="b">
        <f t="shared" si="3"/>
        <v>1</v>
      </c>
      <c r="H119" s="381">
        <f t="shared" si="4"/>
        <v>-440000000000</v>
      </c>
    </row>
    <row r="120" spans="1:8" x14ac:dyDescent="0.3">
      <c r="A120" s="404">
        <v>0</v>
      </c>
      <c r="B120" s="404">
        <v>84845824286</v>
      </c>
      <c r="C120" s="399" t="s">
        <v>809</v>
      </c>
      <c r="D120" s="404">
        <v>102826157426</v>
      </c>
      <c r="E120" s="404">
        <v>17980333140</v>
      </c>
      <c r="F120" s="380">
        <f t="shared" si="5"/>
        <v>-17980333140</v>
      </c>
      <c r="G120" s="378" t="b">
        <f t="shared" si="3"/>
        <v>1</v>
      </c>
      <c r="H120" s="381">
        <f t="shared" si="4"/>
        <v>-17980333140</v>
      </c>
    </row>
    <row r="121" spans="1:8" x14ac:dyDescent="0.3">
      <c r="A121" s="404">
        <v>0</v>
      </c>
      <c r="B121" s="404">
        <v>3545074176</v>
      </c>
      <c r="C121" s="399" t="s">
        <v>810</v>
      </c>
      <c r="D121" s="404">
        <v>5914591245</v>
      </c>
      <c r="E121" s="404">
        <v>2369517069</v>
      </c>
      <c r="F121" s="380">
        <f t="shared" si="5"/>
        <v>-2369517069</v>
      </c>
      <c r="G121" s="378" t="b">
        <f t="shared" si="3"/>
        <v>1</v>
      </c>
      <c r="H121" s="381">
        <f t="shared" si="4"/>
        <v>-2369517069</v>
      </c>
    </row>
    <row r="122" spans="1:8" x14ac:dyDescent="0.3">
      <c r="A122" s="404">
        <v>0</v>
      </c>
      <c r="B122" s="404">
        <v>269271009377</v>
      </c>
      <c r="C122" s="399" t="s">
        <v>811</v>
      </c>
      <c r="D122" s="404">
        <v>295336176080</v>
      </c>
      <c r="E122" s="404">
        <v>26065166703</v>
      </c>
      <c r="F122" s="380">
        <f t="shared" si="5"/>
        <v>-26065166703</v>
      </c>
      <c r="G122" s="378" t="b">
        <f t="shared" si="3"/>
        <v>1</v>
      </c>
      <c r="H122" s="381">
        <f t="shared" si="4"/>
        <v>-26065166703</v>
      </c>
    </row>
    <row r="123" spans="1:8" x14ac:dyDescent="0.3">
      <c r="A123" s="404">
        <v>0</v>
      </c>
      <c r="B123" s="404">
        <v>125908856855</v>
      </c>
      <c r="C123" s="399" t="s">
        <v>812</v>
      </c>
      <c r="D123" s="404">
        <v>184592030381</v>
      </c>
      <c r="E123" s="404">
        <v>58683173526</v>
      </c>
      <c r="F123" s="380">
        <f t="shared" si="5"/>
        <v>-58683173526</v>
      </c>
      <c r="G123" s="378" t="b">
        <f t="shared" si="3"/>
        <v>1</v>
      </c>
      <c r="H123" s="381">
        <f t="shared" si="4"/>
        <v>-58683173526</v>
      </c>
    </row>
    <row r="124" spans="1:8" x14ac:dyDescent="0.3">
      <c r="A124" s="404">
        <v>0</v>
      </c>
      <c r="B124" s="404">
        <v>440000000000</v>
      </c>
      <c r="C124" s="399" t="s">
        <v>813</v>
      </c>
      <c r="D124" s="404">
        <v>3808000000000</v>
      </c>
      <c r="E124" s="404">
        <v>3368000000000</v>
      </c>
      <c r="F124" s="380">
        <f t="shared" si="5"/>
        <v>-3368000000000</v>
      </c>
      <c r="G124" s="378" t="b">
        <f t="shared" si="3"/>
        <v>1</v>
      </c>
      <c r="H124" s="381">
        <f t="shared" si="4"/>
        <v>-3368000000000</v>
      </c>
    </row>
    <row r="125" spans="1:8" x14ac:dyDescent="0.3">
      <c r="A125" s="404">
        <v>611194616</v>
      </c>
      <c r="B125" s="404">
        <v>938771732</v>
      </c>
      <c r="C125" s="399" t="s">
        <v>814</v>
      </c>
      <c r="D125" s="404">
        <v>327577116</v>
      </c>
      <c r="E125" s="404">
        <v>0</v>
      </c>
      <c r="F125" s="380">
        <f t="shared" si="5"/>
        <v>611194616</v>
      </c>
      <c r="G125" s="378" t="b">
        <f t="shared" si="3"/>
        <v>1</v>
      </c>
      <c r="H125" s="381">
        <f t="shared" si="4"/>
        <v>611194616</v>
      </c>
    </row>
    <row r="126" spans="1:8" x14ac:dyDescent="0.3">
      <c r="A126" s="404">
        <v>0</v>
      </c>
      <c r="B126" s="404">
        <v>0</v>
      </c>
      <c r="C126" s="399" t="s">
        <v>815</v>
      </c>
      <c r="D126" s="404">
        <v>150000000000</v>
      </c>
      <c r="E126" s="404">
        <v>150000000000</v>
      </c>
      <c r="F126" s="380">
        <f t="shared" si="5"/>
        <v>-150000000000</v>
      </c>
      <c r="G126" s="378" t="b">
        <f t="shared" si="3"/>
        <v>1</v>
      </c>
      <c r="H126" s="381">
        <f t="shared" si="4"/>
        <v>-150000000000</v>
      </c>
    </row>
    <row r="127" spans="1:8" x14ac:dyDescent="0.3">
      <c r="A127" s="404">
        <v>0</v>
      </c>
      <c r="B127" s="404">
        <v>13010336367</v>
      </c>
      <c r="C127" s="399" t="s">
        <v>816</v>
      </c>
      <c r="D127" s="404">
        <v>13167406367</v>
      </c>
      <c r="E127" s="404">
        <v>157070000</v>
      </c>
      <c r="F127" s="380">
        <f t="shared" si="5"/>
        <v>-157070000</v>
      </c>
      <c r="G127" s="378" t="b">
        <f t="shared" si="3"/>
        <v>1</v>
      </c>
      <c r="H127" s="381">
        <f t="shared" si="4"/>
        <v>-157070000</v>
      </c>
    </row>
    <row r="128" spans="1:8" x14ac:dyDescent="0.3">
      <c r="A128" s="404">
        <v>0</v>
      </c>
      <c r="B128" s="404">
        <v>1234404727016</v>
      </c>
      <c r="C128" s="399" t="s">
        <v>817</v>
      </c>
      <c r="D128" s="404">
        <v>2548398379487</v>
      </c>
      <c r="E128" s="404">
        <v>1313993652471</v>
      </c>
      <c r="F128" s="380">
        <f t="shared" si="5"/>
        <v>-1313993652471</v>
      </c>
      <c r="G128" s="378" t="b">
        <f t="shared" si="3"/>
        <v>1</v>
      </c>
      <c r="H128" s="381">
        <f t="shared" si="4"/>
        <v>-1313993652471</v>
      </c>
    </row>
    <row r="129" spans="1:8" x14ac:dyDescent="0.3">
      <c r="A129" s="404">
        <v>263344770</v>
      </c>
      <c r="B129" s="404">
        <v>274569670</v>
      </c>
      <c r="C129" s="399" t="s">
        <v>818</v>
      </c>
      <c r="D129" s="404">
        <v>11224900</v>
      </c>
      <c r="E129" s="404">
        <v>0</v>
      </c>
      <c r="F129" s="380">
        <f t="shared" si="5"/>
        <v>263344770</v>
      </c>
      <c r="G129" s="378" t="b">
        <f t="shared" si="3"/>
        <v>1</v>
      </c>
      <c r="H129" s="381">
        <f t="shared" si="4"/>
        <v>263344770</v>
      </c>
    </row>
    <row r="130" spans="1:8" x14ac:dyDescent="0.3">
      <c r="A130" s="404">
        <v>0</v>
      </c>
      <c r="B130" s="404">
        <v>13922053182</v>
      </c>
      <c r="C130" s="399" t="s">
        <v>819</v>
      </c>
      <c r="D130" s="404">
        <v>26019757168</v>
      </c>
      <c r="E130" s="404">
        <v>12097703986</v>
      </c>
      <c r="F130" s="380">
        <f t="shared" si="5"/>
        <v>-12097703986</v>
      </c>
      <c r="G130" s="378" t="b">
        <f t="shared" si="3"/>
        <v>1</v>
      </c>
      <c r="H130" s="381">
        <f t="shared" si="4"/>
        <v>-12097703986</v>
      </c>
    </row>
    <row r="131" spans="1:8" x14ac:dyDescent="0.3">
      <c r="A131" s="404">
        <v>0</v>
      </c>
      <c r="B131" s="404">
        <v>360640937</v>
      </c>
      <c r="C131" s="399" t="s">
        <v>820</v>
      </c>
      <c r="D131" s="404">
        <v>962636898229</v>
      </c>
      <c r="E131" s="404">
        <v>962276257292</v>
      </c>
      <c r="F131" s="380">
        <f t="shared" si="5"/>
        <v>-962276257292</v>
      </c>
      <c r="G131" s="378" t="b">
        <f t="shared" si="3"/>
        <v>1</v>
      </c>
      <c r="H131" s="381">
        <f t="shared" si="4"/>
        <v>-962276257292</v>
      </c>
    </row>
    <row r="132" spans="1:8" x14ac:dyDescent="0.3">
      <c r="A132" s="404">
        <v>0</v>
      </c>
      <c r="B132" s="404">
        <v>72931297054</v>
      </c>
      <c r="C132" s="399" t="s">
        <v>821</v>
      </c>
      <c r="D132" s="404">
        <v>132567854698</v>
      </c>
      <c r="E132" s="404">
        <v>59636557644</v>
      </c>
      <c r="F132" s="380">
        <f t="shared" si="5"/>
        <v>-59636557644</v>
      </c>
      <c r="G132" s="378" t="b">
        <f t="shared" si="3"/>
        <v>1</v>
      </c>
      <c r="H132" s="381">
        <f t="shared" si="4"/>
        <v>-59636557644</v>
      </c>
    </row>
    <row r="133" spans="1:8" x14ac:dyDescent="0.3">
      <c r="A133" s="404">
        <v>0</v>
      </c>
      <c r="B133" s="404">
        <v>84000000</v>
      </c>
      <c r="C133" s="399" t="s">
        <v>822</v>
      </c>
      <c r="D133" s="404">
        <v>23828196234754</v>
      </c>
      <c r="E133" s="404">
        <v>23828112234754</v>
      </c>
      <c r="F133" s="380">
        <f t="shared" ref="F133:F196" si="10">B133-D133</f>
        <v>-23828112234754</v>
      </c>
      <c r="G133" s="378" t="b">
        <f t="shared" ref="G133:G200" si="11">F133=H133</f>
        <v>1</v>
      </c>
      <c r="H133" s="381">
        <f t="shared" ref="H133:H200" si="12">A133-E133</f>
        <v>-23828112234754</v>
      </c>
    </row>
    <row r="134" spans="1:8" x14ac:dyDescent="0.3">
      <c r="A134" s="404">
        <v>0</v>
      </c>
      <c r="B134" s="404">
        <v>0</v>
      </c>
      <c r="C134" s="399" t="s">
        <v>823</v>
      </c>
      <c r="D134" s="404">
        <v>1806666340</v>
      </c>
      <c r="E134" s="404">
        <v>1806666340</v>
      </c>
      <c r="F134" s="380">
        <f t="shared" si="10"/>
        <v>-1806666340</v>
      </c>
      <c r="G134" s="378" t="b">
        <f t="shared" si="11"/>
        <v>1</v>
      </c>
      <c r="H134" s="381">
        <f t="shared" si="12"/>
        <v>-1806666340</v>
      </c>
    </row>
    <row r="135" spans="1:8" x14ac:dyDescent="0.3">
      <c r="A135" s="404">
        <v>0</v>
      </c>
      <c r="B135" s="404">
        <v>0</v>
      </c>
      <c r="C135" s="399" t="s">
        <v>829</v>
      </c>
      <c r="D135" s="404">
        <v>122713500</v>
      </c>
      <c r="E135" s="404">
        <v>122713500</v>
      </c>
      <c r="F135" s="380">
        <f t="shared" si="10"/>
        <v>-122713500</v>
      </c>
      <c r="G135" s="378" t="b">
        <f t="shared" si="11"/>
        <v>1</v>
      </c>
      <c r="H135" s="381">
        <f t="shared" si="12"/>
        <v>-122713500</v>
      </c>
    </row>
    <row r="136" spans="1:8" x14ac:dyDescent="0.3">
      <c r="A136" s="404">
        <v>0</v>
      </c>
      <c r="B136" s="404">
        <v>67138954347</v>
      </c>
      <c r="C136" s="399" t="s">
        <v>824</v>
      </c>
      <c r="D136" s="404">
        <v>3270560780598</v>
      </c>
      <c r="E136" s="404">
        <v>3203421826251</v>
      </c>
      <c r="F136" s="380">
        <f t="shared" si="10"/>
        <v>-3203421826251</v>
      </c>
      <c r="G136" s="378" t="b">
        <f t="shared" si="11"/>
        <v>1</v>
      </c>
      <c r="H136" s="381">
        <f t="shared" si="12"/>
        <v>-3203421826251</v>
      </c>
    </row>
    <row r="137" spans="1:8" x14ac:dyDescent="0.3">
      <c r="A137" s="404">
        <v>0</v>
      </c>
      <c r="B137" s="404">
        <v>0</v>
      </c>
      <c r="C137" s="399" t="s">
        <v>825</v>
      </c>
      <c r="D137" s="404">
        <v>929934</v>
      </c>
      <c r="E137" s="404">
        <v>929934</v>
      </c>
      <c r="F137" s="380">
        <f t="shared" si="10"/>
        <v>-929934</v>
      </c>
      <c r="G137" s="378" t="b">
        <f t="shared" si="11"/>
        <v>1</v>
      </c>
      <c r="H137" s="381">
        <f t="shared" si="12"/>
        <v>-929934</v>
      </c>
    </row>
    <row r="138" spans="1:8" x14ac:dyDescent="0.3">
      <c r="A138" s="404">
        <v>17674838927141</v>
      </c>
      <c r="B138" s="404">
        <v>17674838927141</v>
      </c>
      <c r="C138" s="399" t="s">
        <v>826</v>
      </c>
      <c r="D138" s="404">
        <v>0</v>
      </c>
      <c r="E138" s="404">
        <v>0</v>
      </c>
      <c r="F138" s="380">
        <f t="shared" si="10"/>
        <v>17674838927141</v>
      </c>
      <c r="G138" s="378" t="b">
        <f t="shared" si="11"/>
        <v>1</v>
      </c>
      <c r="H138" s="381">
        <f t="shared" si="12"/>
        <v>17674838927141</v>
      </c>
    </row>
    <row r="139" spans="1:8" x14ac:dyDescent="0.3">
      <c r="A139" s="404">
        <v>0</v>
      </c>
      <c r="B139" s="404">
        <v>0</v>
      </c>
      <c r="C139" s="399" t="s">
        <v>563</v>
      </c>
      <c r="D139" s="404">
        <v>337110</v>
      </c>
      <c r="E139" s="404">
        <v>337110</v>
      </c>
      <c r="F139" s="380">
        <f t="shared" si="10"/>
        <v>-337110</v>
      </c>
      <c r="G139" s="378" t="b">
        <f t="shared" si="11"/>
        <v>1</v>
      </c>
      <c r="H139" s="381">
        <f t="shared" si="12"/>
        <v>-337110</v>
      </c>
    </row>
    <row r="140" spans="1:8" x14ac:dyDescent="0.3">
      <c r="A140" s="404">
        <v>5927683908</v>
      </c>
      <c r="B140" s="404">
        <v>5927683908</v>
      </c>
      <c r="C140" s="399" t="s">
        <v>827</v>
      </c>
      <c r="D140" s="404">
        <v>0</v>
      </c>
      <c r="E140" s="404">
        <v>0</v>
      </c>
      <c r="F140" s="380">
        <f t="shared" si="10"/>
        <v>5927683908</v>
      </c>
      <c r="G140" s="378" t="b">
        <f t="shared" si="11"/>
        <v>1</v>
      </c>
      <c r="H140" s="381">
        <f t="shared" si="12"/>
        <v>5927683908</v>
      </c>
    </row>
    <row r="141" spans="1:8" x14ac:dyDescent="0.3">
      <c r="A141" s="404">
        <v>517287241679</v>
      </c>
      <c r="B141" s="404">
        <v>6851728445262</v>
      </c>
      <c r="C141" s="399" t="s">
        <v>828</v>
      </c>
      <c r="D141" s="404">
        <v>6334441203583</v>
      </c>
      <c r="E141" s="404">
        <v>0</v>
      </c>
      <c r="F141" s="380">
        <f t="shared" si="10"/>
        <v>517287241679</v>
      </c>
      <c r="G141" s="378" t="b">
        <f t="shared" si="11"/>
        <v>1</v>
      </c>
      <c r="H141" s="381">
        <f t="shared" si="12"/>
        <v>517287241679</v>
      </c>
    </row>
    <row r="142" spans="1:8" x14ac:dyDescent="0.3">
      <c r="A142" s="404">
        <v>0</v>
      </c>
      <c r="B142" s="404">
        <v>53222003381</v>
      </c>
      <c r="C142" s="399" t="s">
        <v>830</v>
      </c>
      <c r="D142" s="404">
        <v>1525769568845</v>
      </c>
      <c r="E142" s="404">
        <v>1472547565464</v>
      </c>
      <c r="F142" s="380">
        <f t="shared" si="10"/>
        <v>-1472547565464</v>
      </c>
      <c r="G142" s="378" t="b">
        <f t="shared" si="11"/>
        <v>1</v>
      </c>
      <c r="H142" s="381">
        <f t="shared" si="12"/>
        <v>-1472547565464</v>
      </c>
    </row>
    <row r="143" spans="1:8" x14ac:dyDescent="0.3">
      <c r="A143" s="404">
        <v>0</v>
      </c>
      <c r="B143" s="404">
        <v>14841246831</v>
      </c>
      <c r="C143" s="399" t="s">
        <v>831</v>
      </c>
      <c r="D143" s="404">
        <v>212289263530</v>
      </c>
      <c r="E143" s="404">
        <v>197448016699</v>
      </c>
      <c r="F143" s="380">
        <f t="shared" si="10"/>
        <v>-197448016699</v>
      </c>
      <c r="G143" s="378" t="b">
        <f t="shared" si="11"/>
        <v>1</v>
      </c>
      <c r="H143" s="381">
        <f t="shared" si="12"/>
        <v>-197448016699</v>
      </c>
    </row>
    <row r="144" spans="1:8" x14ac:dyDescent="0.3">
      <c r="A144" s="404">
        <v>0</v>
      </c>
      <c r="B144" s="404">
        <v>22707863264</v>
      </c>
      <c r="C144" s="399" t="s">
        <v>832</v>
      </c>
      <c r="D144" s="404">
        <v>130155650414</v>
      </c>
      <c r="E144" s="404">
        <v>107447787150</v>
      </c>
      <c r="F144" s="380">
        <f t="shared" si="10"/>
        <v>-107447787150</v>
      </c>
      <c r="G144" s="378" t="b">
        <f t="shared" si="11"/>
        <v>1</v>
      </c>
      <c r="H144" s="381">
        <f t="shared" si="12"/>
        <v>-107447787150</v>
      </c>
    </row>
    <row r="145" spans="1:8" x14ac:dyDescent="0.3">
      <c r="A145" s="404">
        <v>0</v>
      </c>
      <c r="B145" s="404">
        <v>522846348</v>
      </c>
      <c r="C145" s="399" t="s">
        <v>833</v>
      </c>
      <c r="D145" s="404">
        <v>522846348</v>
      </c>
      <c r="E145" s="404">
        <v>0</v>
      </c>
      <c r="F145" s="380">
        <f t="shared" si="10"/>
        <v>0</v>
      </c>
      <c r="G145" s="378" t="b">
        <f t="shared" si="11"/>
        <v>1</v>
      </c>
      <c r="H145" s="381">
        <f t="shared" si="12"/>
        <v>0</v>
      </c>
    </row>
    <row r="146" spans="1:8" x14ac:dyDescent="0.3">
      <c r="A146" s="404">
        <v>0</v>
      </c>
      <c r="B146" s="404">
        <v>0</v>
      </c>
      <c r="C146" s="399" t="s">
        <v>834</v>
      </c>
      <c r="D146" s="404">
        <v>0</v>
      </c>
      <c r="E146" s="404">
        <v>0</v>
      </c>
      <c r="F146" s="380">
        <f t="shared" si="10"/>
        <v>0</v>
      </c>
      <c r="G146" s="378" t="b">
        <f t="shared" si="11"/>
        <v>1</v>
      </c>
      <c r="H146" s="381">
        <f t="shared" si="12"/>
        <v>0</v>
      </c>
    </row>
    <row r="147" spans="1:8" x14ac:dyDescent="0.3">
      <c r="A147" s="404">
        <v>0</v>
      </c>
      <c r="B147" s="404">
        <v>179441104</v>
      </c>
      <c r="C147" s="399" t="s">
        <v>835</v>
      </c>
      <c r="D147" s="404">
        <v>179441104</v>
      </c>
      <c r="E147" s="404">
        <v>0</v>
      </c>
      <c r="F147" s="380">
        <f t="shared" si="10"/>
        <v>0</v>
      </c>
      <c r="G147" s="378" t="b">
        <f t="shared" si="11"/>
        <v>1</v>
      </c>
      <c r="H147" s="381">
        <f t="shared" si="12"/>
        <v>0</v>
      </c>
    </row>
    <row r="148" spans="1:8" x14ac:dyDescent="0.3">
      <c r="A148" s="404">
        <v>0</v>
      </c>
      <c r="B148" s="404">
        <v>40788506267</v>
      </c>
      <c r="C148" s="399" t="s">
        <v>836</v>
      </c>
      <c r="D148" s="404">
        <v>134072529125</v>
      </c>
      <c r="E148" s="404">
        <v>93284022858</v>
      </c>
      <c r="F148" s="380">
        <f t="shared" si="10"/>
        <v>-93284022858</v>
      </c>
      <c r="G148" s="378" t="b">
        <f t="shared" si="11"/>
        <v>1</v>
      </c>
      <c r="H148" s="381">
        <f t="shared" si="12"/>
        <v>-93284022858</v>
      </c>
    </row>
    <row r="149" spans="1:8" x14ac:dyDescent="0.3">
      <c r="A149" s="404"/>
      <c r="B149" s="404"/>
      <c r="C149" s="386" t="s">
        <v>432</v>
      </c>
      <c r="D149" s="404"/>
      <c r="E149" s="404"/>
      <c r="F149" s="380">
        <f t="shared" si="10"/>
        <v>0</v>
      </c>
      <c r="G149" s="378" t="b">
        <f t="shared" si="11"/>
        <v>1</v>
      </c>
      <c r="H149" s="381">
        <f t="shared" si="12"/>
        <v>0</v>
      </c>
    </row>
    <row r="150" spans="1:8" x14ac:dyDescent="0.3">
      <c r="A150" s="404">
        <v>963833590612</v>
      </c>
      <c r="B150" s="404">
        <v>1450585804920</v>
      </c>
      <c r="C150" s="399" t="s">
        <v>837</v>
      </c>
      <c r="D150" s="404">
        <v>486752214308</v>
      </c>
      <c r="E150" s="404">
        <v>0</v>
      </c>
      <c r="F150" s="380">
        <f t="shared" si="10"/>
        <v>963833590612</v>
      </c>
      <c r="G150" s="378" t="b">
        <f t="shared" si="11"/>
        <v>1</v>
      </c>
      <c r="H150" s="381">
        <f t="shared" si="12"/>
        <v>963833590612</v>
      </c>
    </row>
    <row r="151" spans="1:8" x14ac:dyDescent="0.3">
      <c r="A151" s="404">
        <v>95636395020</v>
      </c>
      <c r="B151" s="404">
        <v>280326643990</v>
      </c>
      <c r="C151" s="399" t="s">
        <v>838</v>
      </c>
      <c r="D151" s="404">
        <v>184690248970</v>
      </c>
      <c r="E151" s="404">
        <v>0</v>
      </c>
      <c r="F151" s="380">
        <f t="shared" si="10"/>
        <v>95636395020</v>
      </c>
      <c r="G151" s="378" t="b">
        <f t="shared" si="11"/>
        <v>1</v>
      </c>
      <c r="H151" s="381">
        <f t="shared" si="12"/>
        <v>95636395020</v>
      </c>
    </row>
    <row r="152" spans="1:8" x14ac:dyDescent="0.3">
      <c r="A152" s="404">
        <v>91948316789</v>
      </c>
      <c r="B152" s="404">
        <v>245135785798</v>
      </c>
      <c r="C152" s="399" t="s">
        <v>839</v>
      </c>
      <c r="D152" s="404">
        <v>153187469009</v>
      </c>
      <c r="E152" s="404">
        <v>0</v>
      </c>
      <c r="F152" s="380">
        <f t="shared" si="10"/>
        <v>91948316789</v>
      </c>
      <c r="G152" s="378" t="b">
        <f t="shared" si="11"/>
        <v>1</v>
      </c>
      <c r="H152" s="381">
        <f t="shared" si="12"/>
        <v>91948316789</v>
      </c>
    </row>
    <row r="153" spans="1:8" s="384" customFormat="1" x14ac:dyDescent="0.3">
      <c r="A153" s="404">
        <v>166252147644</v>
      </c>
      <c r="B153" s="404">
        <v>277551039308</v>
      </c>
      <c r="C153" s="399" t="s">
        <v>840</v>
      </c>
      <c r="D153" s="404">
        <v>111298891664</v>
      </c>
      <c r="E153" s="404">
        <v>0</v>
      </c>
      <c r="F153" s="380">
        <f t="shared" si="10"/>
        <v>166252147644</v>
      </c>
      <c r="G153" s="384" t="b">
        <f t="shared" si="11"/>
        <v>1</v>
      </c>
      <c r="H153" s="385">
        <f t="shared" si="12"/>
        <v>166252147644</v>
      </c>
    </row>
    <row r="154" spans="1:8" x14ac:dyDescent="0.3">
      <c r="A154" s="404">
        <v>730818818</v>
      </c>
      <c r="B154" s="404">
        <v>1061085287</v>
      </c>
      <c r="C154" s="399" t="s">
        <v>841</v>
      </c>
      <c r="D154" s="404">
        <v>330266469</v>
      </c>
      <c r="E154" s="404">
        <v>0</v>
      </c>
      <c r="F154" s="380">
        <f t="shared" si="10"/>
        <v>730818818</v>
      </c>
      <c r="G154" s="378" t="b">
        <f t="shared" si="11"/>
        <v>1</v>
      </c>
      <c r="H154" s="381">
        <f t="shared" si="12"/>
        <v>730818818</v>
      </c>
    </row>
    <row r="155" spans="1:8" x14ac:dyDescent="0.3">
      <c r="A155" s="404">
        <v>247053866681</v>
      </c>
      <c r="B155" s="404">
        <v>269800620349</v>
      </c>
      <c r="C155" s="399" t="s">
        <v>842</v>
      </c>
      <c r="D155" s="404">
        <v>22746753668</v>
      </c>
      <c r="E155" s="404">
        <v>0</v>
      </c>
      <c r="F155" s="380">
        <f t="shared" si="10"/>
        <v>247053866681</v>
      </c>
      <c r="G155" s="378" t="b">
        <f t="shared" si="11"/>
        <v>1</v>
      </c>
      <c r="H155" s="381">
        <f t="shared" si="12"/>
        <v>247053866681</v>
      </c>
    </row>
    <row r="156" spans="1:8" x14ac:dyDescent="0.3">
      <c r="A156" s="404">
        <v>14395425045</v>
      </c>
      <c r="B156" s="404">
        <v>24049129585</v>
      </c>
      <c r="C156" s="399" t="s">
        <v>843</v>
      </c>
      <c r="D156" s="404">
        <v>9653704540</v>
      </c>
      <c r="E156" s="404">
        <v>0</v>
      </c>
      <c r="F156" s="380">
        <f t="shared" si="10"/>
        <v>14395425045</v>
      </c>
      <c r="G156" s="378" t="b">
        <f t="shared" si="11"/>
        <v>1</v>
      </c>
      <c r="H156" s="381">
        <f t="shared" si="12"/>
        <v>14395425045</v>
      </c>
    </row>
    <row r="157" spans="1:8" x14ac:dyDescent="0.3">
      <c r="A157" s="404">
        <v>3991945879</v>
      </c>
      <c r="B157" s="404">
        <v>5901770876</v>
      </c>
      <c r="C157" s="399" t="s">
        <v>844</v>
      </c>
      <c r="D157" s="404">
        <v>1909824997</v>
      </c>
      <c r="E157" s="404">
        <v>0</v>
      </c>
      <c r="F157" s="380">
        <f t="shared" si="10"/>
        <v>3991945879</v>
      </c>
      <c r="G157" s="378" t="b">
        <f t="shared" si="11"/>
        <v>1</v>
      </c>
      <c r="H157" s="381">
        <f t="shared" si="12"/>
        <v>3991945879</v>
      </c>
    </row>
    <row r="158" spans="1:8" x14ac:dyDescent="0.3">
      <c r="A158" s="404">
        <v>536195758</v>
      </c>
      <c r="B158" s="404">
        <v>577500051</v>
      </c>
      <c r="C158" s="399" t="s">
        <v>845</v>
      </c>
      <c r="D158" s="404">
        <v>41304293</v>
      </c>
      <c r="E158" s="404">
        <v>0</v>
      </c>
      <c r="F158" s="380">
        <f t="shared" si="10"/>
        <v>536195758</v>
      </c>
      <c r="G158" s="378" t="b">
        <f t="shared" si="11"/>
        <v>1</v>
      </c>
      <c r="H158" s="381">
        <f t="shared" si="12"/>
        <v>536195758</v>
      </c>
    </row>
    <row r="159" spans="1:8" x14ac:dyDescent="0.3">
      <c r="A159" s="404">
        <v>2988602113</v>
      </c>
      <c r="B159" s="404">
        <v>3717812759</v>
      </c>
      <c r="C159" s="399" t="s">
        <v>846</v>
      </c>
      <c r="D159" s="404">
        <v>729210646</v>
      </c>
      <c r="E159" s="404">
        <v>0</v>
      </c>
      <c r="F159" s="380">
        <f t="shared" si="10"/>
        <v>2988602113</v>
      </c>
      <c r="G159" s="378" t="b">
        <f t="shared" si="11"/>
        <v>1</v>
      </c>
      <c r="H159" s="381">
        <f t="shared" si="12"/>
        <v>2988602113</v>
      </c>
    </row>
    <row r="160" spans="1:8" x14ac:dyDescent="0.3">
      <c r="A160" s="404">
        <v>396934908549</v>
      </c>
      <c r="B160" s="404">
        <v>521254187468</v>
      </c>
      <c r="C160" s="399" t="s">
        <v>847</v>
      </c>
      <c r="D160" s="404">
        <v>124319278919</v>
      </c>
      <c r="E160" s="404">
        <v>0</v>
      </c>
      <c r="F160" s="380">
        <f t="shared" si="10"/>
        <v>396934908549</v>
      </c>
      <c r="G160" s="378" t="b">
        <f t="shared" si="11"/>
        <v>1</v>
      </c>
      <c r="H160" s="381">
        <f t="shared" si="12"/>
        <v>396934908549</v>
      </c>
    </row>
    <row r="161" spans="1:8" x14ac:dyDescent="0.3">
      <c r="A161" s="404">
        <v>3952048455</v>
      </c>
      <c r="B161" s="404">
        <v>4271820245</v>
      </c>
      <c r="C161" s="399" t="s">
        <v>848</v>
      </c>
      <c r="D161" s="404">
        <v>319771790</v>
      </c>
      <c r="E161" s="404">
        <v>0</v>
      </c>
      <c r="F161" s="380">
        <f t="shared" si="10"/>
        <v>3952048455</v>
      </c>
      <c r="G161" s="378" t="b">
        <f t="shared" si="11"/>
        <v>1</v>
      </c>
      <c r="H161" s="381">
        <f t="shared" si="12"/>
        <v>3952048455</v>
      </c>
    </row>
    <row r="162" spans="1:8" x14ac:dyDescent="0.3">
      <c r="A162" s="404">
        <v>82374892029</v>
      </c>
      <c r="B162" s="404">
        <v>116424565402</v>
      </c>
      <c r="C162" s="399" t="s">
        <v>849</v>
      </c>
      <c r="D162" s="404">
        <v>34049673373</v>
      </c>
      <c r="E162" s="404">
        <v>0</v>
      </c>
      <c r="F162" s="380">
        <f t="shared" si="10"/>
        <v>82374892029</v>
      </c>
      <c r="G162" s="378" t="b">
        <f t="shared" si="11"/>
        <v>1</v>
      </c>
      <c r="H162" s="381">
        <f t="shared" si="12"/>
        <v>82374892029</v>
      </c>
    </row>
    <row r="163" spans="1:8" x14ac:dyDescent="0.3">
      <c r="A163" s="404">
        <v>324476991</v>
      </c>
      <c r="B163" s="404">
        <v>466639624</v>
      </c>
      <c r="C163" s="399" t="s">
        <v>850</v>
      </c>
      <c r="D163" s="404">
        <v>142162633</v>
      </c>
      <c r="E163" s="404">
        <v>0</v>
      </c>
      <c r="F163" s="380">
        <f t="shared" si="10"/>
        <v>324476991</v>
      </c>
      <c r="G163" s="378" t="b">
        <f t="shared" si="11"/>
        <v>1</v>
      </c>
      <c r="H163" s="381">
        <f t="shared" si="12"/>
        <v>324476991</v>
      </c>
    </row>
    <row r="164" spans="1:8" x14ac:dyDescent="0.3">
      <c r="A164" s="404">
        <v>1297750084</v>
      </c>
      <c r="B164" s="404">
        <v>1300513916</v>
      </c>
      <c r="C164" s="399" t="s">
        <v>851</v>
      </c>
      <c r="D164" s="404">
        <v>2763832</v>
      </c>
      <c r="E164" s="404">
        <v>0</v>
      </c>
      <c r="F164" s="380">
        <f t="shared" si="10"/>
        <v>1297750084</v>
      </c>
      <c r="G164" s="378" t="b">
        <f t="shared" si="11"/>
        <v>1</v>
      </c>
      <c r="H164" s="381">
        <f t="shared" si="12"/>
        <v>1297750084</v>
      </c>
    </row>
    <row r="165" spans="1:8" x14ac:dyDescent="0.3">
      <c r="A165" s="404">
        <v>317169462000</v>
      </c>
      <c r="B165" s="404">
        <v>729915702855</v>
      </c>
      <c r="C165" s="399" t="s">
        <v>852</v>
      </c>
      <c r="D165" s="404">
        <v>412746240855</v>
      </c>
      <c r="E165" s="404">
        <v>0</v>
      </c>
      <c r="F165" s="380">
        <f t="shared" si="10"/>
        <v>317169462000</v>
      </c>
      <c r="G165" s="378" t="b">
        <f t="shared" si="11"/>
        <v>1</v>
      </c>
      <c r="H165" s="381">
        <f t="shared" si="12"/>
        <v>317169462000</v>
      </c>
    </row>
    <row r="166" spans="1:8" x14ac:dyDescent="0.3">
      <c r="A166" s="404">
        <v>2115600</v>
      </c>
      <c r="B166" s="404">
        <v>2770600</v>
      </c>
      <c r="C166" s="399" t="s">
        <v>853</v>
      </c>
      <c r="D166" s="404">
        <v>655000</v>
      </c>
      <c r="E166" s="404">
        <v>0</v>
      </c>
      <c r="F166" s="380">
        <f t="shared" si="10"/>
        <v>2115600</v>
      </c>
      <c r="G166" s="378" t="b">
        <f t="shared" si="11"/>
        <v>1</v>
      </c>
      <c r="H166" s="381">
        <f t="shared" si="12"/>
        <v>2115600</v>
      </c>
    </row>
    <row r="167" spans="1:8" x14ac:dyDescent="0.3">
      <c r="A167" s="404">
        <v>5031767835</v>
      </c>
      <c r="B167" s="404">
        <v>7483954351</v>
      </c>
      <c r="C167" s="399" t="s">
        <v>854</v>
      </c>
      <c r="D167" s="404">
        <v>2452186516</v>
      </c>
      <c r="E167" s="404">
        <v>0</v>
      </c>
      <c r="F167" s="380">
        <f t="shared" si="10"/>
        <v>5031767835</v>
      </c>
      <c r="G167" s="378" t="b">
        <f t="shared" si="11"/>
        <v>1</v>
      </c>
      <c r="H167" s="381">
        <f t="shared" si="12"/>
        <v>5031767835</v>
      </c>
    </row>
    <row r="168" spans="1:8" x14ac:dyDescent="0.3">
      <c r="A168" s="404">
        <v>491609719</v>
      </c>
      <c r="B168" s="404">
        <v>831959640</v>
      </c>
      <c r="C168" s="399" t="s">
        <v>855</v>
      </c>
      <c r="D168" s="404">
        <v>340349921</v>
      </c>
      <c r="E168" s="404">
        <v>0</v>
      </c>
      <c r="F168" s="380">
        <f t="shared" si="10"/>
        <v>491609719</v>
      </c>
      <c r="G168" s="378" t="b">
        <f t="shared" si="11"/>
        <v>1</v>
      </c>
      <c r="H168" s="381">
        <f t="shared" si="12"/>
        <v>491609719</v>
      </c>
    </row>
    <row r="169" spans="1:8" x14ac:dyDescent="0.3">
      <c r="A169" s="404">
        <v>100388698</v>
      </c>
      <c r="B169" s="404">
        <v>101601028</v>
      </c>
      <c r="C169" s="399" t="s">
        <v>856</v>
      </c>
      <c r="D169" s="404">
        <v>1212330</v>
      </c>
      <c r="E169" s="404">
        <v>0</v>
      </c>
      <c r="F169" s="380">
        <f t="shared" si="10"/>
        <v>100388698</v>
      </c>
      <c r="G169" s="378" t="b">
        <f t="shared" si="11"/>
        <v>1</v>
      </c>
      <c r="H169" s="381">
        <f t="shared" si="12"/>
        <v>100388698</v>
      </c>
    </row>
    <row r="170" spans="1:8" x14ac:dyDescent="0.3">
      <c r="A170" s="404">
        <v>813040678</v>
      </c>
      <c r="B170" s="404">
        <v>1624884308</v>
      </c>
      <c r="C170" s="399" t="s">
        <v>857</v>
      </c>
      <c r="D170" s="404">
        <v>811843630</v>
      </c>
      <c r="E170" s="404">
        <v>0</v>
      </c>
      <c r="F170" s="380">
        <f t="shared" si="10"/>
        <v>813040678</v>
      </c>
      <c r="G170" s="378" t="b">
        <f t="shared" si="11"/>
        <v>1</v>
      </c>
      <c r="H170" s="381">
        <f t="shared" si="12"/>
        <v>813040678</v>
      </c>
    </row>
    <row r="171" spans="1:8" x14ac:dyDescent="0.3">
      <c r="A171" s="404">
        <v>43505105706</v>
      </c>
      <c r="B171" s="404">
        <v>57134376317</v>
      </c>
      <c r="C171" s="399" t="s">
        <v>858</v>
      </c>
      <c r="D171" s="404">
        <v>13629270611</v>
      </c>
      <c r="E171" s="404">
        <v>0</v>
      </c>
      <c r="F171" s="380">
        <f t="shared" si="10"/>
        <v>43505105706</v>
      </c>
      <c r="G171" s="378" t="b">
        <f t="shared" si="11"/>
        <v>1</v>
      </c>
      <c r="H171" s="381">
        <f t="shared" si="12"/>
        <v>43505105706</v>
      </c>
    </row>
    <row r="172" spans="1:8" x14ac:dyDescent="0.3">
      <c r="A172" s="404">
        <v>0</v>
      </c>
      <c r="B172" s="404">
        <v>207151</v>
      </c>
      <c r="C172" s="399" t="s">
        <v>859</v>
      </c>
      <c r="D172" s="404">
        <v>264010</v>
      </c>
      <c r="E172" s="404">
        <v>56859</v>
      </c>
      <c r="F172" s="380">
        <f t="shared" si="10"/>
        <v>-56859</v>
      </c>
      <c r="G172" s="378" t="b">
        <f t="shared" si="11"/>
        <v>1</v>
      </c>
      <c r="H172" s="381">
        <f t="shared" si="12"/>
        <v>-56859</v>
      </c>
    </row>
    <row r="173" spans="1:8" x14ac:dyDescent="0.3">
      <c r="A173" s="404">
        <v>19637759718</v>
      </c>
      <c r="B173" s="404">
        <v>36509022311</v>
      </c>
      <c r="C173" s="399" t="s">
        <v>860</v>
      </c>
      <c r="D173" s="404">
        <v>16871262593</v>
      </c>
      <c r="E173" s="404">
        <v>0</v>
      </c>
      <c r="F173" s="380">
        <f t="shared" si="10"/>
        <v>19637759718</v>
      </c>
      <c r="G173" s="378" t="b">
        <f t="shared" si="11"/>
        <v>1</v>
      </c>
      <c r="H173" s="381">
        <f t="shared" si="12"/>
        <v>19637759718</v>
      </c>
    </row>
    <row r="174" spans="1:8" x14ac:dyDescent="0.3">
      <c r="A174" s="404">
        <v>1169165388</v>
      </c>
      <c r="B174" s="404">
        <v>1575288074</v>
      </c>
      <c r="C174" s="399" t="s">
        <v>861</v>
      </c>
      <c r="D174" s="404">
        <v>406122686</v>
      </c>
      <c r="E174" s="404">
        <v>0</v>
      </c>
      <c r="F174" s="380">
        <f t="shared" si="10"/>
        <v>1169165388</v>
      </c>
      <c r="G174" s="378" t="b">
        <f t="shared" si="11"/>
        <v>1</v>
      </c>
      <c r="H174" s="381">
        <f t="shared" si="12"/>
        <v>1169165388</v>
      </c>
    </row>
    <row r="175" spans="1:8" x14ac:dyDescent="0.3">
      <c r="A175" s="404">
        <v>0</v>
      </c>
      <c r="B175" s="404">
        <v>4395318441</v>
      </c>
      <c r="C175" s="399" t="s">
        <v>862</v>
      </c>
      <c r="D175" s="404">
        <v>4395318441</v>
      </c>
      <c r="E175" s="404">
        <v>0</v>
      </c>
      <c r="F175" s="380">
        <f t="shared" si="10"/>
        <v>0</v>
      </c>
      <c r="G175" s="378" t="b">
        <f t="shared" si="11"/>
        <v>1</v>
      </c>
      <c r="H175" s="381">
        <f t="shared" si="12"/>
        <v>0</v>
      </c>
    </row>
    <row r="176" spans="1:8" x14ac:dyDescent="0.3">
      <c r="A176" s="404">
        <v>0</v>
      </c>
      <c r="B176" s="404">
        <v>638716758926</v>
      </c>
      <c r="C176" s="399" t="s">
        <v>863</v>
      </c>
      <c r="D176" s="404">
        <v>638716758926</v>
      </c>
      <c r="E176" s="404">
        <v>0</v>
      </c>
      <c r="F176" s="380">
        <f t="shared" si="10"/>
        <v>0</v>
      </c>
      <c r="H176" s="381"/>
    </row>
    <row r="177" spans="1:8" x14ac:dyDescent="0.3">
      <c r="A177" s="404"/>
      <c r="B177" s="404"/>
      <c r="C177" s="386" t="s">
        <v>429</v>
      </c>
      <c r="D177" s="404"/>
      <c r="E177" s="404"/>
      <c r="F177" s="380">
        <f t="shared" si="10"/>
        <v>0</v>
      </c>
      <c r="G177" s="378" t="b">
        <f t="shared" si="11"/>
        <v>1</v>
      </c>
      <c r="H177" s="381">
        <f t="shared" si="12"/>
        <v>0</v>
      </c>
    </row>
    <row r="178" spans="1:8" x14ac:dyDescent="0.3">
      <c r="A178" s="404">
        <v>33421299140</v>
      </c>
      <c r="B178" s="404">
        <v>33470680800</v>
      </c>
      <c r="C178" s="399" t="s">
        <v>837</v>
      </c>
      <c r="D178" s="404">
        <v>49381660</v>
      </c>
      <c r="E178" s="404">
        <v>0</v>
      </c>
      <c r="F178" s="380">
        <f t="shared" si="10"/>
        <v>33421299140</v>
      </c>
      <c r="G178" s="378" t="b">
        <f t="shared" si="11"/>
        <v>1</v>
      </c>
      <c r="H178" s="381">
        <f t="shared" si="12"/>
        <v>33421299140</v>
      </c>
    </row>
    <row r="179" spans="1:8" x14ac:dyDescent="0.3">
      <c r="A179" s="404">
        <v>2691108600</v>
      </c>
      <c r="B179" s="404">
        <v>2696871380</v>
      </c>
      <c r="C179" s="399" t="s">
        <v>838</v>
      </c>
      <c r="D179" s="404">
        <v>5762780</v>
      </c>
      <c r="E179" s="404">
        <v>0</v>
      </c>
      <c r="F179" s="380">
        <f t="shared" si="10"/>
        <v>2691108600</v>
      </c>
      <c r="G179" s="378" t="b">
        <f t="shared" si="11"/>
        <v>1</v>
      </c>
      <c r="H179" s="381">
        <f t="shared" si="12"/>
        <v>2691108600</v>
      </c>
    </row>
    <row r="180" spans="1:8" x14ac:dyDescent="0.3">
      <c r="A180" s="404">
        <v>3499669946</v>
      </c>
      <c r="B180" s="404">
        <v>3625314516</v>
      </c>
      <c r="C180" s="399" t="s">
        <v>839</v>
      </c>
      <c r="D180" s="404">
        <v>125644570</v>
      </c>
      <c r="E180" s="404">
        <v>0</v>
      </c>
      <c r="F180" s="380">
        <f t="shared" si="10"/>
        <v>3499669946</v>
      </c>
      <c r="G180" s="378" t="b">
        <f t="shared" si="11"/>
        <v>1</v>
      </c>
      <c r="H180" s="381">
        <f t="shared" si="12"/>
        <v>3499669946</v>
      </c>
    </row>
    <row r="181" spans="1:8" x14ac:dyDescent="0.3">
      <c r="A181" s="404">
        <v>6795295451</v>
      </c>
      <c r="B181" s="404">
        <v>6809003761</v>
      </c>
      <c r="C181" s="399" t="s">
        <v>840</v>
      </c>
      <c r="D181" s="404">
        <v>13708310</v>
      </c>
      <c r="E181" s="404">
        <v>0</v>
      </c>
      <c r="F181" s="380">
        <f t="shared" si="10"/>
        <v>6795295451</v>
      </c>
      <c r="G181" s="378" t="b">
        <f t="shared" si="11"/>
        <v>1</v>
      </c>
      <c r="H181" s="381">
        <f t="shared" si="12"/>
        <v>6795295451</v>
      </c>
    </row>
    <row r="182" spans="1:8" x14ac:dyDescent="0.3">
      <c r="A182" s="404">
        <v>17986497</v>
      </c>
      <c r="B182" s="404">
        <v>18002953</v>
      </c>
      <c r="C182" s="399" t="s">
        <v>841</v>
      </c>
      <c r="D182" s="404">
        <v>16456</v>
      </c>
      <c r="E182" s="404">
        <v>0</v>
      </c>
      <c r="F182" s="380">
        <f t="shared" si="10"/>
        <v>17986497</v>
      </c>
      <c r="G182" s="378" t="b">
        <f t="shared" si="11"/>
        <v>1</v>
      </c>
      <c r="H182" s="381">
        <f t="shared" si="12"/>
        <v>17986497</v>
      </c>
    </row>
    <row r="183" spans="1:8" x14ac:dyDescent="0.3">
      <c r="A183" s="404">
        <v>12021733866</v>
      </c>
      <c r="B183" s="404">
        <v>12033131496</v>
      </c>
      <c r="C183" s="399" t="s">
        <v>842</v>
      </c>
      <c r="D183" s="404">
        <v>11397630</v>
      </c>
      <c r="E183" s="404">
        <v>0</v>
      </c>
      <c r="F183" s="380">
        <f t="shared" si="10"/>
        <v>12021733866</v>
      </c>
      <c r="G183" s="378" t="b">
        <f t="shared" si="11"/>
        <v>1</v>
      </c>
      <c r="H183" s="381">
        <f t="shared" si="12"/>
        <v>12021733866</v>
      </c>
    </row>
    <row r="184" spans="1:8" x14ac:dyDescent="0.3">
      <c r="A184" s="404">
        <v>696475553</v>
      </c>
      <c r="B184" s="404">
        <v>696475644</v>
      </c>
      <c r="C184" s="399" t="s">
        <v>843</v>
      </c>
      <c r="D184" s="404">
        <v>91</v>
      </c>
      <c r="E184" s="404">
        <v>0</v>
      </c>
      <c r="F184" s="380">
        <f t="shared" si="10"/>
        <v>696475553</v>
      </c>
      <c r="G184" s="378" t="b">
        <f t="shared" si="11"/>
        <v>1</v>
      </c>
      <c r="H184" s="381">
        <f t="shared" si="12"/>
        <v>696475553</v>
      </c>
    </row>
    <row r="185" spans="1:8" x14ac:dyDescent="0.3">
      <c r="A185" s="404">
        <v>693368874</v>
      </c>
      <c r="B185" s="404">
        <v>696816439</v>
      </c>
      <c r="C185" s="399" t="s">
        <v>844</v>
      </c>
      <c r="D185" s="404">
        <v>3447565</v>
      </c>
      <c r="E185" s="404">
        <v>0</v>
      </c>
      <c r="F185" s="380">
        <f t="shared" si="10"/>
        <v>693368874</v>
      </c>
      <c r="G185" s="378" t="b">
        <f t="shared" si="11"/>
        <v>1</v>
      </c>
      <c r="H185" s="381">
        <f t="shared" si="12"/>
        <v>693368874</v>
      </c>
    </row>
    <row r="186" spans="1:8" x14ac:dyDescent="0.3">
      <c r="A186" s="404">
        <v>32261702</v>
      </c>
      <c r="B186" s="404">
        <v>32261856</v>
      </c>
      <c r="C186" s="399" t="s">
        <v>845</v>
      </c>
      <c r="D186" s="404">
        <v>154</v>
      </c>
      <c r="E186" s="404">
        <v>0</v>
      </c>
      <c r="F186" s="380">
        <f t="shared" si="10"/>
        <v>32261702</v>
      </c>
      <c r="G186" s="378" t="b">
        <f t="shared" si="11"/>
        <v>1</v>
      </c>
      <c r="H186" s="381">
        <f t="shared" si="12"/>
        <v>32261702</v>
      </c>
    </row>
    <row r="187" spans="1:8" x14ac:dyDescent="0.3">
      <c r="A187" s="404">
        <v>510255562</v>
      </c>
      <c r="B187" s="404">
        <v>510483455</v>
      </c>
      <c r="C187" s="399" t="s">
        <v>846</v>
      </c>
      <c r="D187" s="404">
        <v>227893</v>
      </c>
      <c r="E187" s="404">
        <v>0</v>
      </c>
      <c r="F187" s="380">
        <f t="shared" si="10"/>
        <v>510255562</v>
      </c>
      <c r="G187" s="378" t="b">
        <f t="shared" si="11"/>
        <v>1</v>
      </c>
      <c r="H187" s="381">
        <f t="shared" si="12"/>
        <v>510255562</v>
      </c>
    </row>
    <row r="188" spans="1:8" x14ac:dyDescent="0.3">
      <c r="A188" s="404">
        <v>5726938672</v>
      </c>
      <c r="B188" s="404">
        <v>8822949015</v>
      </c>
      <c r="C188" s="399" t="s">
        <v>849</v>
      </c>
      <c r="D188" s="404">
        <v>3096010343</v>
      </c>
      <c r="E188" s="404">
        <v>0</v>
      </c>
      <c r="F188" s="380">
        <f t="shared" si="10"/>
        <v>5726938672</v>
      </c>
      <c r="G188" s="378" t="b">
        <f t="shared" si="11"/>
        <v>1</v>
      </c>
      <c r="H188" s="381">
        <f t="shared" si="12"/>
        <v>5726938672</v>
      </c>
    </row>
    <row r="189" spans="1:8" x14ac:dyDescent="0.3">
      <c r="A189" s="404">
        <v>5965391</v>
      </c>
      <c r="B189" s="404">
        <v>5996567</v>
      </c>
      <c r="C189" s="399" t="s">
        <v>850</v>
      </c>
      <c r="D189" s="404">
        <v>31176</v>
      </c>
      <c r="E189" s="404">
        <v>0</v>
      </c>
      <c r="F189" s="380">
        <f t="shared" si="10"/>
        <v>5965391</v>
      </c>
      <c r="G189" s="378" t="b">
        <f t="shared" si="11"/>
        <v>1</v>
      </c>
      <c r="H189" s="381">
        <f t="shared" si="12"/>
        <v>5965391</v>
      </c>
    </row>
    <row r="190" spans="1:8" x14ac:dyDescent="0.3">
      <c r="A190" s="404">
        <v>1377569025</v>
      </c>
      <c r="B190" s="404">
        <v>1377569025</v>
      </c>
      <c r="C190" s="399" t="s">
        <v>851</v>
      </c>
      <c r="D190" s="404">
        <v>0</v>
      </c>
      <c r="E190" s="404">
        <v>0</v>
      </c>
      <c r="F190" s="380">
        <f t="shared" si="10"/>
        <v>1377569025</v>
      </c>
      <c r="G190" s="378" t="b">
        <f t="shared" si="11"/>
        <v>1</v>
      </c>
      <c r="H190" s="381">
        <f t="shared" si="12"/>
        <v>1377569025</v>
      </c>
    </row>
    <row r="191" spans="1:8" x14ac:dyDescent="0.3">
      <c r="A191" s="404">
        <v>22612896235</v>
      </c>
      <c r="B191" s="404">
        <v>22769278472</v>
      </c>
      <c r="C191" s="399" t="s">
        <v>852</v>
      </c>
      <c r="D191" s="404">
        <v>156382237</v>
      </c>
      <c r="E191" s="404">
        <v>0</v>
      </c>
      <c r="F191" s="380">
        <f t="shared" si="10"/>
        <v>22612896235</v>
      </c>
      <c r="G191" s="378" t="b">
        <f t="shared" si="11"/>
        <v>1</v>
      </c>
      <c r="H191" s="381">
        <f t="shared" si="12"/>
        <v>22612896235</v>
      </c>
    </row>
    <row r="192" spans="1:8" x14ac:dyDescent="0.3">
      <c r="A192" s="404">
        <v>6456200</v>
      </c>
      <c r="B192" s="404">
        <v>6456200</v>
      </c>
      <c r="C192" s="399" t="s">
        <v>853</v>
      </c>
      <c r="D192" s="404">
        <v>0</v>
      </c>
      <c r="E192" s="404">
        <v>0</v>
      </c>
      <c r="F192" s="380">
        <f t="shared" si="10"/>
        <v>6456200</v>
      </c>
      <c r="G192" s="378" t="b">
        <f t="shared" si="11"/>
        <v>1</v>
      </c>
      <c r="H192" s="381">
        <f t="shared" si="12"/>
        <v>6456200</v>
      </c>
    </row>
    <row r="193" spans="1:9" x14ac:dyDescent="0.3">
      <c r="A193" s="404">
        <v>1334500</v>
      </c>
      <c r="B193" s="404">
        <v>1334500</v>
      </c>
      <c r="C193" s="399" t="s">
        <v>864</v>
      </c>
      <c r="D193" s="404">
        <v>0</v>
      </c>
      <c r="E193" s="404">
        <v>0</v>
      </c>
      <c r="F193" s="380">
        <f t="shared" si="10"/>
        <v>1334500</v>
      </c>
      <c r="G193" s="378" t="b">
        <f t="shared" si="11"/>
        <v>1</v>
      </c>
      <c r="H193" s="381">
        <f t="shared" si="12"/>
        <v>1334500</v>
      </c>
    </row>
    <row r="194" spans="1:9" x14ac:dyDescent="0.3">
      <c r="A194" s="404">
        <v>147180012</v>
      </c>
      <c r="B194" s="404">
        <v>148191387</v>
      </c>
      <c r="C194" s="399" t="s">
        <v>854</v>
      </c>
      <c r="D194" s="404">
        <v>1011375</v>
      </c>
      <c r="E194" s="404">
        <v>0</v>
      </c>
      <c r="F194" s="380">
        <f t="shared" si="10"/>
        <v>147180012</v>
      </c>
      <c r="G194" s="378" t="b">
        <f t="shared" si="11"/>
        <v>1</v>
      </c>
      <c r="H194" s="381">
        <f t="shared" si="12"/>
        <v>147180012</v>
      </c>
    </row>
    <row r="195" spans="1:9" x14ac:dyDescent="0.3">
      <c r="A195" s="404">
        <v>13288015</v>
      </c>
      <c r="B195" s="404">
        <v>13288015</v>
      </c>
      <c r="C195" s="399" t="s">
        <v>855</v>
      </c>
      <c r="D195" s="404">
        <v>0</v>
      </c>
      <c r="E195" s="404">
        <v>0</v>
      </c>
      <c r="F195" s="380">
        <f t="shared" si="10"/>
        <v>13288015</v>
      </c>
      <c r="G195" s="378" t="b">
        <f t="shared" si="11"/>
        <v>1</v>
      </c>
      <c r="H195" s="381">
        <f t="shared" ref="H195:H199" si="13">A195-E195</f>
        <v>13288015</v>
      </c>
    </row>
    <row r="196" spans="1:9" x14ac:dyDescent="0.3">
      <c r="A196" s="404">
        <v>6271100</v>
      </c>
      <c r="B196" s="404">
        <v>6271100</v>
      </c>
      <c r="C196" s="399" t="s">
        <v>865</v>
      </c>
      <c r="D196" s="404">
        <v>0</v>
      </c>
      <c r="E196" s="404">
        <v>0</v>
      </c>
      <c r="F196" s="380">
        <f t="shared" si="10"/>
        <v>6271100</v>
      </c>
      <c r="G196" s="378" t="b">
        <f t="shared" si="11"/>
        <v>1</v>
      </c>
      <c r="H196" s="381">
        <f t="shared" si="13"/>
        <v>6271100</v>
      </c>
    </row>
    <row r="197" spans="1:9" x14ac:dyDescent="0.3">
      <c r="A197" s="404">
        <v>2252147390</v>
      </c>
      <c r="B197" s="404">
        <v>2252147390</v>
      </c>
      <c r="C197" s="399" t="s">
        <v>856</v>
      </c>
      <c r="D197" s="404">
        <v>0</v>
      </c>
      <c r="E197" s="404">
        <v>0</v>
      </c>
      <c r="F197" s="380">
        <f t="shared" ref="F197:F251" si="14">B197-D197</f>
        <v>2252147390</v>
      </c>
      <c r="G197" s="378" t="b">
        <f t="shared" si="11"/>
        <v>1</v>
      </c>
      <c r="H197" s="381">
        <f t="shared" si="13"/>
        <v>2252147390</v>
      </c>
    </row>
    <row r="198" spans="1:9" x14ac:dyDescent="0.3">
      <c r="A198" s="404">
        <v>702910611</v>
      </c>
      <c r="B198" s="404">
        <v>704998611</v>
      </c>
      <c r="C198" s="399" t="s">
        <v>860</v>
      </c>
      <c r="D198" s="404">
        <v>2088000</v>
      </c>
      <c r="E198" s="404">
        <v>0</v>
      </c>
      <c r="F198" s="380">
        <f t="shared" si="14"/>
        <v>702910611</v>
      </c>
      <c r="G198" s="378" t="b">
        <f t="shared" si="11"/>
        <v>1</v>
      </c>
      <c r="H198" s="381">
        <f t="shared" si="13"/>
        <v>702910611</v>
      </c>
    </row>
    <row r="199" spans="1:9" x14ac:dyDescent="0.3">
      <c r="A199" s="404">
        <v>51610516</v>
      </c>
      <c r="B199" s="404">
        <v>51918669</v>
      </c>
      <c r="C199" s="399" t="s">
        <v>861</v>
      </c>
      <c r="D199" s="404">
        <v>308153</v>
      </c>
      <c r="E199" s="404">
        <v>0</v>
      </c>
      <c r="F199" s="380">
        <f t="shared" si="14"/>
        <v>51610516</v>
      </c>
      <c r="G199" s="378" t="b">
        <f t="shared" si="11"/>
        <v>1</v>
      </c>
      <c r="H199" s="381">
        <f t="shared" si="13"/>
        <v>51610516</v>
      </c>
    </row>
    <row r="200" spans="1:9" x14ac:dyDescent="0.3">
      <c r="A200" s="404">
        <v>0</v>
      </c>
      <c r="B200" s="404">
        <v>2581291742</v>
      </c>
      <c r="C200" s="399" t="s">
        <v>862</v>
      </c>
      <c r="D200" s="404">
        <v>2581291742</v>
      </c>
      <c r="E200" s="404">
        <v>0</v>
      </c>
      <c r="F200" s="380">
        <f t="shared" si="14"/>
        <v>0</v>
      </c>
      <c r="G200" s="378" t="b">
        <f t="shared" si="11"/>
        <v>1</v>
      </c>
      <c r="H200" s="381">
        <f t="shared" si="12"/>
        <v>0</v>
      </c>
      <c r="I200" s="381"/>
    </row>
    <row r="201" spans="1:9" x14ac:dyDescent="0.3">
      <c r="A201" s="404">
        <v>0</v>
      </c>
      <c r="B201" s="404">
        <v>5516784431</v>
      </c>
      <c r="C201" s="399" t="s">
        <v>863</v>
      </c>
      <c r="D201" s="404">
        <v>5516784431</v>
      </c>
      <c r="E201" s="404">
        <v>0</v>
      </c>
      <c r="F201" s="380">
        <f t="shared" si="14"/>
        <v>0</v>
      </c>
      <c r="G201" s="378" t="b">
        <f t="shared" ref="G201:G251" si="15">F201=H201</f>
        <v>1</v>
      </c>
      <c r="H201" s="381">
        <f t="shared" ref="H201:H251" si="16">A201-E201</f>
        <v>0</v>
      </c>
    </row>
    <row r="202" spans="1:9" x14ac:dyDescent="0.3">
      <c r="A202" s="404"/>
      <c r="B202" s="404"/>
      <c r="C202" s="386" t="s">
        <v>661</v>
      </c>
      <c r="D202" s="404"/>
      <c r="E202" s="404">
        <v>0</v>
      </c>
      <c r="F202" s="380">
        <f t="shared" si="14"/>
        <v>0</v>
      </c>
      <c r="G202" s="378" t="b">
        <f t="shared" si="15"/>
        <v>1</v>
      </c>
      <c r="H202" s="381">
        <f t="shared" si="16"/>
        <v>0</v>
      </c>
      <c r="I202" s="381"/>
    </row>
    <row r="203" spans="1:9" x14ac:dyDescent="0.3">
      <c r="A203" s="404">
        <v>56560764015</v>
      </c>
      <c r="B203" s="404">
        <v>63631726335</v>
      </c>
      <c r="C203" s="399" t="s">
        <v>837</v>
      </c>
      <c r="D203" s="404">
        <v>7070962320</v>
      </c>
      <c r="E203" s="404">
        <v>0</v>
      </c>
      <c r="F203" s="380">
        <f t="shared" si="14"/>
        <v>56560764015</v>
      </c>
      <c r="G203" s="384" t="b">
        <f t="shared" si="15"/>
        <v>1</v>
      </c>
      <c r="H203" s="385">
        <f t="shared" si="16"/>
        <v>56560764015</v>
      </c>
    </row>
    <row r="204" spans="1:9" x14ac:dyDescent="0.3">
      <c r="A204" s="404">
        <v>6002252670</v>
      </c>
      <c r="B204" s="404">
        <v>11989811610</v>
      </c>
      <c r="C204" s="399" t="s">
        <v>838</v>
      </c>
      <c r="D204" s="404">
        <v>5987558940</v>
      </c>
      <c r="E204" s="404">
        <v>0</v>
      </c>
      <c r="F204" s="380">
        <f t="shared" si="14"/>
        <v>6002252670</v>
      </c>
      <c r="G204" s="384" t="b">
        <f t="shared" si="15"/>
        <v>1</v>
      </c>
      <c r="H204" s="385">
        <f t="shared" si="16"/>
        <v>6002252670</v>
      </c>
    </row>
    <row r="205" spans="1:9" x14ac:dyDescent="0.3">
      <c r="A205" s="404">
        <v>6259269090</v>
      </c>
      <c r="B205" s="404">
        <v>10768481020</v>
      </c>
      <c r="C205" s="399" t="s">
        <v>839</v>
      </c>
      <c r="D205" s="404">
        <v>4509211930</v>
      </c>
      <c r="E205" s="404">
        <v>0</v>
      </c>
      <c r="F205" s="380">
        <f t="shared" si="14"/>
        <v>6259269090</v>
      </c>
      <c r="G205" s="384" t="b">
        <f t="shared" si="15"/>
        <v>1</v>
      </c>
      <c r="H205" s="385">
        <f t="shared" si="16"/>
        <v>6259269090</v>
      </c>
    </row>
    <row r="206" spans="1:9" x14ac:dyDescent="0.3">
      <c r="A206" s="404">
        <v>10082863973</v>
      </c>
      <c r="B206" s="404">
        <v>12730006806</v>
      </c>
      <c r="C206" s="399" t="s">
        <v>840</v>
      </c>
      <c r="D206" s="404">
        <v>2647142833</v>
      </c>
      <c r="E206" s="404">
        <v>0</v>
      </c>
      <c r="F206" s="380">
        <f t="shared" si="14"/>
        <v>10082863973</v>
      </c>
      <c r="G206" s="378" t="b">
        <f t="shared" si="15"/>
        <v>1</v>
      </c>
      <c r="H206" s="385">
        <f t="shared" si="16"/>
        <v>10082863973</v>
      </c>
    </row>
    <row r="207" spans="1:9" x14ac:dyDescent="0.3">
      <c r="A207" s="404">
        <v>91237874</v>
      </c>
      <c r="B207" s="404">
        <v>125368853</v>
      </c>
      <c r="C207" s="399" t="s">
        <v>841</v>
      </c>
      <c r="D207" s="404">
        <v>34130979</v>
      </c>
      <c r="E207" s="404">
        <v>0</v>
      </c>
      <c r="F207" s="380">
        <f t="shared" si="14"/>
        <v>91237874</v>
      </c>
      <c r="G207" s="378" t="b">
        <f t="shared" si="15"/>
        <v>1</v>
      </c>
      <c r="H207" s="385">
        <f t="shared" si="16"/>
        <v>91237874</v>
      </c>
    </row>
    <row r="208" spans="1:9" x14ac:dyDescent="0.3">
      <c r="A208" s="404">
        <v>273506369</v>
      </c>
      <c r="B208" s="404">
        <v>276828575</v>
      </c>
      <c r="C208" s="399" t="s">
        <v>842</v>
      </c>
      <c r="D208" s="404">
        <v>3322206</v>
      </c>
      <c r="E208" s="404">
        <v>0</v>
      </c>
      <c r="F208" s="380">
        <f t="shared" si="14"/>
        <v>273506369</v>
      </c>
      <c r="G208" s="378" t="b">
        <f t="shared" si="15"/>
        <v>1</v>
      </c>
      <c r="H208" s="385">
        <f t="shared" si="16"/>
        <v>273506369</v>
      </c>
    </row>
    <row r="209" spans="1:8" x14ac:dyDescent="0.3">
      <c r="A209" s="404">
        <v>1428730770</v>
      </c>
      <c r="B209" s="404">
        <v>3347706301</v>
      </c>
      <c r="C209" s="399" t="s">
        <v>843</v>
      </c>
      <c r="D209" s="404">
        <v>1918975531</v>
      </c>
      <c r="E209" s="404">
        <v>0</v>
      </c>
      <c r="F209" s="380">
        <f t="shared" si="14"/>
        <v>1428730770</v>
      </c>
      <c r="G209" s="378" t="b">
        <f t="shared" si="15"/>
        <v>1</v>
      </c>
      <c r="H209" s="385">
        <f t="shared" si="16"/>
        <v>1428730770</v>
      </c>
    </row>
    <row r="210" spans="1:8" x14ac:dyDescent="0.3">
      <c r="A210" s="404">
        <v>196233500</v>
      </c>
      <c r="B210" s="404">
        <v>209119426</v>
      </c>
      <c r="C210" s="399" t="s">
        <v>844</v>
      </c>
      <c r="D210" s="404">
        <v>12885926</v>
      </c>
      <c r="E210" s="404">
        <v>0</v>
      </c>
      <c r="F210" s="380">
        <f t="shared" si="14"/>
        <v>196233500</v>
      </c>
      <c r="G210" s="378" t="b">
        <f t="shared" si="15"/>
        <v>1</v>
      </c>
      <c r="H210" s="385">
        <f t="shared" si="16"/>
        <v>196233500</v>
      </c>
    </row>
    <row r="211" spans="1:8" x14ac:dyDescent="0.3">
      <c r="A211" s="404">
        <v>249444231</v>
      </c>
      <c r="B211" s="404">
        <v>253620905</v>
      </c>
      <c r="C211" s="399" t="s">
        <v>845</v>
      </c>
      <c r="D211" s="404">
        <v>4176674</v>
      </c>
      <c r="E211" s="404">
        <v>0</v>
      </c>
      <c r="F211" s="380">
        <f t="shared" si="14"/>
        <v>249444231</v>
      </c>
      <c r="G211" s="378" t="b">
        <f t="shared" si="15"/>
        <v>1</v>
      </c>
      <c r="H211" s="385">
        <f t="shared" si="16"/>
        <v>249444231</v>
      </c>
    </row>
    <row r="212" spans="1:8" x14ac:dyDescent="0.3">
      <c r="A212" s="404">
        <v>133110533</v>
      </c>
      <c r="B212" s="404">
        <v>134723710</v>
      </c>
      <c r="C212" s="399" t="s">
        <v>846</v>
      </c>
      <c r="D212" s="404">
        <v>1613177</v>
      </c>
      <c r="E212" s="404">
        <v>0</v>
      </c>
      <c r="F212" s="380">
        <f t="shared" si="14"/>
        <v>133110533</v>
      </c>
      <c r="G212" s="378" t="b">
        <f t="shared" si="15"/>
        <v>1</v>
      </c>
      <c r="H212" s="385">
        <f t="shared" si="16"/>
        <v>133110533</v>
      </c>
    </row>
    <row r="213" spans="1:8" x14ac:dyDescent="0.3">
      <c r="A213" s="404">
        <v>6598800513</v>
      </c>
      <c r="B213" s="404">
        <v>9260279492</v>
      </c>
      <c r="C213" s="399" t="s">
        <v>847</v>
      </c>
      <c r="D213" s="404">
        <v>2661478979</v>
      </c>
      <c r="E213" s="404">
        <v>0</v>
      </c>
      <c r="F213" s="380">
        <f t="shared" si="14"/>
        <v>6598800513</v>
      </c>
      <c r="G213" s="378" t="b">
        <f t="shared" si="15"/>
        <v>1</v>
      </c>
      <c r="H213" s="385">
        <f t="shared" si="16"/>
        <v>6598800513</v>
      </c>
    </row>
    <row r="214" spans="1:8" x14ac:dyDescent="0.3">
      <c r="A214" s="404">
        <v>2245900427</v>
      </c>
      <c r="B214" s="404">
        <v>2298828086</v>
      </c>
      <c r="C214" s="399" t="s">
        <v>848</v>
      </c>
      <c r="D214" s="404">
        <v>52927659</v>
      </c>
      <c r="E214" s="404">
        <v>0</v>
      </c>
      <c r="F214" s="380">
        <f t="shared" si="14"/>
        <v>2245900427</v>
      </c>
      <c r="G214" s="378" t="b">
        <f t="shared" si="15"/>
        <v>1</v>
      </c>
      <c r="H214" s="385">
        <f t="shared" si="16"/>
        <v>2245900427</v>
      </c>
    </row>
    <row r="215" spans="1:8" x14ac:dyDescent="0.3">
      <c r="A215" s="404">
        <v>542802734</v>
      </c>
      <c r="B215" s="404">
        <v>777882256</v>
      </c>
      <c r="C215" s="399" t="s">
        <v>849</v>
      </c>
      <c r="D215" s="404">
        <v>235079522</v>
      </c>
      <c r="E215" s="404">
        <v>0</v>
      </c>
      <c r="F215" s="380">
        <f t="shared" si="14"/>
        <v>542802734</v>
      </c>
      <c r="G215" s="378" t="b">
        <f t="shared" si="15"/>
        <v>1</v>
      </c>
      <c r="H215" s="385">
        <f t="shared" si="16"/>
        <v>542802734</v>
      </c>
    </row>
    <row r="216" spans="1:8" x14ac:dyDescent="0.3">
      <c r="A216" s="404">
        <v>16537350</v>
      </c>
      <c r="B216" s="404">
        <v>17311231</v>
      </c>
      <c r="C216" s="399" t="s">
        <v>850</v>
      </c>
      <c r="D216" s="404">
        <v>773881</v>
      </c>
      <c r="E216" s="404">
        <v>0</v>
      </c>
      <c r="F216" s="380">
        <f t="shared" si="14"/>
        <v>16537350</v>
      </c>
      <c r="G216" s="378" t="b">
        <f t="shared" si="15"/>
        <v>1</v>
      </c>
      <c r="H216" s="385">
        <f t="shared" si="16"/>
        <v>16537350</v>
      </c>
    </row>
    <row r="217" spans="1:8" x14ac:dyDescent="0.3">
      <c r="A217" s="404">
        <v>13347892</v>
      </c>
      <c r="B217" s="404">
        <v>13347892</v>
      </c>
      <c r="C217" s="399" t="s">
        <v>851</v>
      </c>
      <c r="D217" s="404">
        <v>0</v>
      </c>
      <c r="E217" s="404">
        <v>0</v>
      </c>
      <c r="F217" s="380">
        <f t="shared" si="14"/>
        <v>13347892</v>
      </c>
      <c r="G217" s="378" t="b">
        <f t="shared" si="15"/>
        <v>1</v>
      </c>
      <c r="H217" s="385">
        <f t="shared" si="16"/>
        <v>13347892</v>
      </c>
    </row>
    <row r="218" spans="1:8" x14ac:dyDescent="0.3">
      <c r="A218" s="404">
        <v>10146580085</v>
      </c>
      <c r="B218" s="404">
        <v>10608862345</v>
      </c>
      <c r="C218" s="399" t="s">
        <v>852</v>
      </c>
      <c r="D218" s="404">
        <v>462282260</v>
      </c>
      <c r="E218" s="404">
        <v>0</v>
      </c>
      <c r="F218" s="380">
        <f t="shared" si="14"/>
        <v>10146580085</v>
      </c>
      <c r="G218" s="378" t="b">
        <f t="shared" si="15"/>
        <v>1</v>
      </c>
      <c r="H218" s="385">
        <f t="shared" si="16"/>
        <v>10146580085</v>
      </c>
    </row>
    <row r="219" spans="1:8" x14ac:dyDescent="0.3">
      <c r="A219" s="404">
        <v>153125824</v>
      </c>
      <c r="B219" s="404">
        <v>166160744</v>
      </c>
      <c r="C219" s="399" t="s">
        <v>853</v>
      </c>
      <c r="D219" s="404">
        <v>13034920</v>
      </c>
      <c r="E219" s="404">
        <v>0</v>
      </c>
      <c r="F219" s="380">
        <f t="shared" si="14"/>
        <v>153125824</v>
      </c>
      <c r="G219" s="378" t="b">
        <f t="shared" si="15"/>
        <v>1</v>
      </c>
      <c r="H219" s="385">
        <f t="shared" si="16"/>
        <v>153125824</v>
      </c>
    </row>
    <row r="220" spans="1:8" x14ac:dyDescent="0.3">
      <c r="A220" s="404">
        <v>325365504</v>
      </c>
      <c r="B220" s="404">
        <v>349625303</v>
      </c>
      <c r="C220" s="399" t="s">
        <v>864</v>
      </c>
      <c r="D220" s="404">
        <v>24259799</v>
      </c>
      <c r="E220" s="404">
        <v>0</v>
      </c>
      <c r="F220" s="380">
        <f t="shared" si="14"/>
        <v>325365504</v>
      </c>
      <c r="G220" s="378" t="b">
        <f t="shared" si="15"/>
        <v>1</v>
      </c>
      <c r="H220" s="385">
        <f t="shared" si="16"/>
        <v>325365504</v>
      </c>
    </row>
    <row r="221" spans="1:8" x14ac:dyDescent="0.3">
      <c r="A221" s="404">
        <v>360007542</v>
      </c>
      <c r="B221" s="404">
        <v>383301344</v>
      </c>
      <c r="C221" s="399" t="s">
        <v>854</v>
      </c>
      <c r="D221" s="404">
        <v>23293802</v>
      </c>
      <c r="E221" s="404">
        <v>0</v>
      </c>
      <c r="F221" s="380">
        <f t="shared" si="14"/>
        <v>360007542</v>
      </c>
      <c r="G221" s="378" t="b">
        <f t="shared" si="15"/>
        <v>1</v>
      </c>
      <c r="H221" s="385">
        <f t="shared" si="16"/>
        <v>360007542</v>
      </c>
    </row>
    <row r="222" spans="1:8" x14ac:dyDescent="0.3">
      <c r="A222" s="404">
        <v>668413695</v>
      </c>
      <c r="B222" s="404">
        <v>688988662</v>
      </c>
      <c r="C222" s="399" t="s">
        <v>855</v>
      </c>
      <c r="D222" s="404">
        <v>20574967</v>
      </c>
      <c r="E222" s="404">
        <v>0</v>
      </c>
      <c r="F222" s="380">
        <f t="shared" si="14"/>
        <v>668413695</v>
      </c>
      <c r="G222" s="378" t="b">
        <f t="shared" si="15"/>
        <v>1</v>
      </c>
      <c r="H222" s="385">
        <f t="shared" si="16"/>
        <v>668413695</v>
      </c>
    </row>
    <row r="223" spans="1:8" x14ac:dyDescent="0.3">
      <c r="A223" s="404">
        <v>1070444425</v>
      </c>
      <c r="B223" s="404">
        <v>1318842298</v>
      </c>
      <c r="C223" s="399" t="s">
        <v>865</v>
      </c>
      <c r="D223" s="404">
        <v>248397873</v>
      </c>
      <c r="E223" s="404">
        <v>0</v>
      </c>
      <c r="F223" s="380">
        <f t="shared" si="14"/>
        <v>1070444425</v>
      </c>
      <c r="G223" s="378" t="b">
        <f t="shared" si="15"/>
        <v>1</v>
      </c>
      <c r="H223" s="385">
        <f t="shared" si="16"/>
        <v>1070444425</v>
      </c>
    </row>
    <row r="224" spans="1:8" x14ac:dyDescent="0.3">
      <c r="A224" s="404">
        <v>55921089750</v>
      </c>
      <c r="B224" s="404">
        <v>127744143218</v>
      </c>
      <c r="C224" s="399" t="s">
        <v>856</v>
      </c>
      <c r="D224" s="404">
        <v>71823053468</v>
      </c>
      <c r="E224" s="404">
        <v>0</v>
      </c>
      <c r="F224" s="380">
        <f t="shared" si="14"/>
        <v>55921089750</v>
      </c>
      <c r="G224" s="378" t="b">
        <f t="shared" si="15"/>
        <v>1</v>
      </c>
      <c r="H224" s="385">
        <f t="shared" si="16"/>
        <v>55921089750</v>
      </c>
    </row>
    <row r="225" spans="1:8" x14ac:dyDescent="0.3">
      <c r="A225" s="404">
        <v>159822282</v>
      </c>
      <c r="B225" s="404">
        <v>165351982</v>
      </c>
      <c r="C225" s="399" t="s">
        <v>857</v>
      </c>
      <c r="D225" s="404">
        <v>5529700</v>
      </c>
      <c r="E225" s="404">
        <v>0</v>
      </c>
      <c r="F225" s="380">
        <f t="shared" si="14"/>
        <v>159822282</v>
      </c>
      <c r="G225" s="378" t="b">
        <f t="shared" si="15"/>
        <v>1</v>
      </c>
      <c r="H225" s="385">
        <f t="shared" si="16"/>
        <v>159822282</v>
      </c>
    </row>
    <row r="226" spans="1:8" x14ac:dyDescent="0.3">
      <c r="A226" s="404">
        <v>1986796846</v>
      </c>
      <c r="B226" s="404">
        <v>5566829284</v>
      </c>
      <c r="C226" s="399" t="s">
        <v>866</v>
      </c>
      <c r="D226" s="404">
        <v>3580032438</v>
      </c>
      <c r="E226" s="404">
        <v>0</v>
      </c>
      <c r="F226" s="380">
        <f t="shared" si="14"/>
        <v>1986796846</v>
      </c>
      <c r="G226" s="378" t="b">
        <f t="shared" si="15"/>
        <v>1</v>
      </c>
      <c r="H226" s="385">
        <f t="shared" si="16"/>
        <v>1986796846</v>
      </c>
    </row>
    <row r="227" spans="1:8" x14ac:dyDescent="0.3">
      <c r="A227" s="404">
        <v>593886284</v>
      </c>
      <c r="B227" s="404">
        <v>602604992</v>
      </c>
      <c r="C227" s="399" t="s">
        <v>860</v>
      </c>
      <c r="D227" s="404">
        <v>8718708</v>
      </c>
      <c r="E227" s="404">
        <v>0</v>
      </c>
      <c r="F227" s="380">
        <f t="shared" si="14"/>
        <v>593886284</v>
      </c>
      <c r="G227" s="378" t="b">
        <f t="shared" si="15"/>
        <v>1</v>
      </c>
      <c r="H227" s="385">
        <f t="shared" si="16"/>
        <v>593886284</v>
      </c>
    </row>
    <row r="228" spans="1:8" x14ac:dyDescent="0.3">
      <c r="A228" s="404">
        <v>392440114</v>
      </c>
      <c r="B228" s="404">
        <v>425913425</v>
      </c>
      <c r="C228" s="399" t="s">
        <v>861</v>
      </c>
      <c r="D228" s="404">
        <v>33473311</v>
      </c>
      <c r="E228" s="404">
        <v>0</v>
      </c>
      <c r="F228" s="380">
        <f t="shared" si="14"/>
        <v>392440114</v>
      </c>
      <c r="G228" s="378" t="b">
        <f t="shared" si="15"/>
        <v>1</v>
      </c>
      <c r="H228" s="385">
        <f t="shared" si="16"/>
        <v>392440114</v>
      </c>
    </row>
    <row r="229" spans="1:8" x14ac:dyDescent="0.3">
      <c r="A229" s="404">
        <v>0</v>
      </c>
      <c r="B229" s="404">
        <v>45365000</v>
      </c>
      <c r="C229" s="399" t="s">
        <v>862</v>
      </c>
      <c r="D229" s="404">
        <v>45365000</v>
      </c>
      <c r="E229" s="404">
        <v>0</v>
      </c>
      <c r="F229" s="380">
        <f t="shared" si="14"/>
        <v>0</v>
      </c>
      <c r="G229" s="378" t="b">
        <f t="shared" si="15"/>
        <v>1</v>
      </c>
      <c r="H229" s="385">
        <f t="shared" si="16"/>
        <v>0</v>
      </c>
    </row>
    <row r="230" spans="1:8" x14ac:dyDescent="0.3">
      <c r="A230" s="404">
        <v>0</v>
      </c>
      <c r="B230" s="404">
        <v>31869814564</v>
      </c>
      <c r="C230" s="403" t="s">
        <v>867</v>
      </c>
      <c r="D230" s="404">
        <v>43248377797</v>
      </c>
      <c r="E230" s="404">
        <v>11378563233</v>
      </c>
      <c r="F230" s="380">
        <f t="shared" si="14"/>
        <v>-11378563233</v>
      </c>
      <c r="G230" s="378" t="b">
        <f t="shared" si="15"/>
        <v>1</v>
      </c>
      <c r="H230" s="381">
        <f t="shared" si="16"/>
        <v>-11378563233</v>
      </c>
    </row>
    <row r="231" spans="1:8" x14ac:dyDescent="0.3">
      <c r="A231" s="404">
        <v>0</v>
      </c>
      <c r="B231" s="404">
        <v>513895638</v>
      </c>
      <c r="C231" s="403" t="s">
        <v>868</v>
      </c>
      <c r="D231" s="404">
        <v>770843457</v>
      </c>
      <c r="E231" s="404">
        <v>256947819</v>
      </c>
      <c r="F231" s="380">
        <f t="shared" si="14"/>
        <v>-256947819</v>
      </c>
      <c r="G231" s="378" t="b">
        <f t="shared" si="15"/>
        <v>1</v>
      </c>
      <c r="H231" s="381">
        <f t="shared" si="16"/>
        <v>-256947819</v>
      </c>
    </row>
    <row r="232" spans="1:8" x14ac:dyDescent="0.3">
      <c r="A232" s="404">
        <v>0</v>
      </c>
      <c r="B232" s="404">
        <v>23266208621</v>
      </c>
      <c r="C232" s="403" t="s">
        <v>869</v>
      </c>
      <c r="D232" s="404">
        <v>24810390497</v>
      </c>
      <c r="E232" s="404">
        <v>1544181876</v>
      </c>
      <c r="F232" s="380">
        <f t="shared" si="14"/>
        <v>-1544181876</v>
      </c>
      <c r="G232" s="378" t="b">
        <f t="shared" si="15"/>
        <v>1</v>
      </c>
      <c r="H232" s="381">
        <f t="shared" si="16"/>
        <v>-1544181876</v>
      </c>
    </row>
    <row r="233" spans="1:8" x14ac:dyDescent="0.3">
      <c r="A233" s="404">
        <v>0</v>
      </c>
      <c r="B233" s="404">
        <v>121937152419</v>
      </c>
      <c r="C233" s="403" t="s">
        <v>870</v>
      </c>
      <c r="D233" s="404">
        <v>163900877574</v>
      </c>
      <c r="E233" s="404">
        <v>41963725155</v>
      </c>
      <c r="F233" s="380">
        <f t="shared" si="14"/>
        <v>-41963725155</v>
      </c>
      <c r="G233" s="378" t="b">
        <f t="shared" si="15"/>
        <v>1</v>
      </c>
      <c r="H233" s="381">
        <f t="shared" si="16"/>
        <v>-41963725155</v>
      </c>
    </row>
    <row r="234" spans="1:8" x14ac:dyDescent="0.3">
      <c r="A234" s="404">
        <v>0</v>
      </c>
      <c r="B234" s="404">
        <v>3614072903</v>
      </c>
      <c r="C234" s="403" t="s">
        <v>871</v>
      </c>
      <c r="D234" s="404">
        <v>3614072903</v>
      </c>
      <c r="E234" s="404">
        <v>0</v>
      </c>
      <c r="F234" s="380">
        <f t="shared" si="14"/>
        <v>0</v>
      </c>
      <c r="G234" s="378" t="b">
        <f t="shared" si="15"/>
        <v>1</v>
      </c>
      <c r="H234" s="381">
        <f t="shared" si="16"/>
        <v>0</v>
      </c>
    </row>
    <row r="235" spans="1:8" x14ac:dyDescent="0.3">
      <c r="A235" s="404">
        <v>0</v>
      </c>
      <c r="B235" s="404">
        <v>17755000005</v>
      </c>
      <c r="C235" s="403" t="s">
        <v>872</v>
      </c>
      <c r="D235" s="404">
        <v>17755000005</v>
      </c>
      <c r="E235" s="404">
        <v>0</v>
      </c>
      <c r="F235" s="380">
        <f t="shared" si="14"/>
        <v>0</v>
      </c>
      <c r="G235" s="378" t="b">
        <f t="shared" si="15"/>
        <v>1</v>
      </c>
      <c r="H235" s="381">
        <f t="shared" si="16"/>
        <v>0</v>
      </c>
    </row>
    <row r="236" spans="1:8" x14ac:dyDescent="0.3">
      <c r="A236" s="404">
        <v>0</v>
      </c>
      <c r="B236" s="404">
        <v>176514285958</v>
      </c>
      <c r="C236" s="403" t="s">
        <v>873</v>
      </c>
      <c r="D236" s="404">
        <v>226779550571</v>
      </c>
      <c r="E236" s="404">
        <v>50265264613</v>
      </c>
      <c r="F236" s="380">
        <f t="shared" si="14"/>
        <v>-50265264613</v>
      </c>
      <c r="G236" s="378" t="b">
        <f t="shared" si="15"/>
        <v>1</v>
      </c>
      <c r="H236" s="381">
        <f t="shared" si="16"/>
        <v>-50265264613</v>
      </c>
    </row>
    <row r="237" spans="1:8" x14ac:dyDescent="0.3">
      <c r="A237" s="404">
        <v>0</v>
      </c>
      <c r="B237" s="404">
        <v>2522618708</v>
      </c>
      <c r="C237" s="403" t="s">
        <v>874</v>
      </c>
      <c r="D237" s="404">
        <v>3783928062</v>
      </c>
      <c r="E237" s="404">
        <v>1261309354</v>
      </c>
      <c r="F237" s="380">
        <f t="shared" si="14"/>
        <v>-1261309354</v>
      </c>
      <c r="G237" s="378" t="b">
        <f t="shared" si="15"/>
        <v>1</v>
      </c>
      <c r="H237" s="381">
        <f t="shared" si="16"/>
        <v>-1261309354</v>
      </c>
    </row>
    <row r="238" spans="1:8" x14ac:dyDescent="0.3">
      <c r="A238" s="404">
        <v>0</v>
      </c>
      <c r="B238" s="404">
        <v>46172453054</v>
      </c>
      <c r="C238" s="403" t="s">
        <v>875</v>
      </c>
      <c r="D238" s="404">
        <v>101456744896</v>
      </c>
      <c r="E238" s="404">
        <v>55284291842</v>
      </c>
      <c r="F238" s="380">
        <f t="shared" si="14"/>
        <v>-55284291842</v>
      </c>
      <c r="G238" s="378" t="b">
        <f t="shared" si="15"/>
        <v>1</v>
      </c>
      <c r="H238" s="381">
        <f t="shared" si="16"/>
        <v>-55284291842</v>
      </c>
    </row>
    <row r="239" spans="1:8" x14ac:dyDescent="0.3">
      <c r="A239" s="404">
        <v>0</v>
      </c>
      <c r="B239" s="404">
        <v>513064411680</v>
      </c>
      <c r="C239" s="403" t="s">
        <v>876</v>
      </c>
      <c r="D239" s="404">
        <v>723066073680</v>
      </c>
      <c r="E239" s="404">
        <v>210001662000</v>
      </c>
      <c r="F239" s="380">
        <f t="shared" si="14"/>
        <v>-210001662000</v>
      </c>
      <c r="G239" s="378" t="b">
        <f t="shared" si="15"/>
        <v>1</v>
      </c>
      <c r="H239" s="381">
        <f t="shared" si="16"/>
        <v>-210001662000</v>
      </c>
    </row>
    <row r="240" spans="1:8" x14ac:dyDescent="0.3">
      <c r="A240" s="404">
        <v>0</v>
      </c>
      <c r="B240" s="404">
        <v>37417540904</v>
      </c>
      <c r="C240" s="403" t="s">
        <v>877</v>
      </c>
      <c r="D240" s="404">
        <v>48121634118</v>
      </c>
      <c r="E240" s="404">
        <v>10704093214</v>
      </c>
      <c r="F240" s="380">
        <f t="shared" si="14"/>
        <v>-10704093214</v>
      </c>
      <c r="G240" s="378" t="b">
        <f t="shared" si="15"/>
        <v>1</v>
      </c>
      <c r="H240" s="381">
        <f t="shared" si="16"/>
        <v>-10704093214</v>
      </c>
    </row>
    <row r="241" spans="1:8" x14ac:dyDescent="0.3">
      <c r="A241" s="404">
        <v>0</v>
      </c>
      <c r="B241" s="404">
        <v>142908984408</v>
      </c>
      <c r="C241" s="403" t="s">
        <v>878</v>
      </c>
      <c r="D241" s="404">
        <v>211813435268</v>
      </c>
      <c r="E241" s="404">
        <v>68904450860</v>
      </c>
      <c r="F241" s="380">
        <f t="shared" si="14"/>
        <v>-68904450860</v>
      </c>
      <c r="G241" s="378" t="b">
        <f t="shared" si="15"/>
        <v>1</v>
      </c>
      <c r="H241" s="381">
        <f t="shared" si="16"/>
        <v>-68904450860</v>
      </c>
    </row>
    <row r="242" spans="1:8" x14ac:dyDescent="0.3">
      <c r="A242" s="404">
        <v>105387070482</v>
      </c>
      <c r="B242" s="404">
        <v>472549363326</v>
      </c>
      <c r="C242" s="403" t="s">
        <v>879</v>
      </c>
      <c r="D242" s="404">
        <v>367162292844</v>
      </c>
      <c r="E242" s="404">
        <v>0</v>
      </c>
      <c r="F242" s="380">
        <f t="shared" si="14"/>
        <v>105387070482</v>
      </c>
      <c r="G242" s="378" t="b">
        <f t="shared" si="15"/>
        <v>1</v>
      </c>
      <c r="H242" s="381">
        <f t="shared" ref="H242:H248" si="17">A242-E242</f>
        <v>105387070482</v>
      </c>
    </row>
    <row r="243" spans="1:8" x14ac:dyDescent="0.3">
      <c r="A243" s="404">
        <v>89937432</v>
      </c>
      <c r="B243" s="404">
        <v>269812296</v>
      </c>
      <c r="C243" s="403" t="s">
        <v>880</v>
      </c>
      <c r="D243" s="404">
        <v>179874864</v>
      </c>
      <c r="E243" s="404">
        <v>0</v>
      </c>
      <c r="F243" s="380">
        <f t="shared" si="14"/>
        <v>89937432</v>
      </c>
      <c r="G243" s="378" t="b">
        <f t="shared" si="15"/>
        <v>1</v>
      </c>
      <c r="H243" s="381">
        <f t="shared" si="17"/>
        <v>89937432</v>
      </c>
    </row>
    <row r="244" spans="1:8" x14ac:dyDescent="0.3">
      <c r="A244" s="404">
        <v>66000000</v>
      </c>
      <c r="B244" s="404">
        <v>198000000</v>
      </c>
      <c r="C244" s="403" t="s">
        <v>881</v>
      </c>
      <c r="D244" s="404">
        <v>132000000</v>
      </c>
      <c r="E244" s="404">
        <v>0</v>
      </c>
      <c r="F244" s="380">
        <f t="shared" si="14"/>
        <v>66000000</v>
      </c>
      <c r="G244" s="378" t="b">
        <f t="shared" si="15"/>
        <v>1</v>
      </c>
      <c r="H244" s="381">
        <f t="shared" si="17"/>
        <v>66000000</v>
      </c>
    </row>
    <row r="245" spans="1:8" x14ac:dyDescent="0.3">
      <c r="A245" s="404">
        <v>8157119177</v>
      </c>
      <c r="B245" s="404">
        <v>50349639864</v>
      </c>
      <c r="C245" s="403" t="s">
        <v>882</v>
      </c>
      <c r="D245" s="404">
        <v>42192520687</v>
      </c>
      <c r="E245" s="404">
        <v>0</v>
      </c>
      <c r="F245" s="380">
        <f t="shared" si="14"/>
        <v>8157119177</v>
      </c>
      <c r="G245" s="378" t="b">
        <f t="shared" si="15"/>
        <v>1</v>
      </c>
      <c r="H245" s="381">
        <f t="shared" si="17"/>
        <v>8157119177</v>
      </c>
    </row>
    <row r="246" spans="1:8" x14ac:dyDescent="0.3">
      <c r="A246" s="404">
        <v>5338018664</v>
      </c>
      <c r="B246" s="404">
        <v>10068964006</v>
      </c>
      <c r="C246" s="403" t="s">
        <v>883</v>
      </c>
      <c r="D246" s="404">
        <v>4730945342</v>
      </c>
      <c r="E246" s="404">
        <v>0</v>
      </c>
      <c r="F246" s="380">
        <f t="shared" si="14"/>
        <v>5338018664</v>
      </c>
      <c r="G246" s="378" t="b">
        <f t="shared" si="15"/>
        <v>1</v>
      </c>
      <c r="H246" s="381">
        <f t="shared" si="17"/>
        <v>5338018664</v>
      </c>
    </row>
    <row r="247" spans="1:8" x14ac:dyDescent="0.3">
      <c r="A247" s="404">
        <v>29613333</v>
      </c>
      <c r="B247" s="404">
        <v>88839999</v>
      </c>
      <c r="C247" s="403" t="s">
        <v>884</v>
      </c>
      <c r="D247" s="404">
        <v>59226666</v>
      </c>
      <c r="E247" s="404">
        <v>0</v>
      </c>
      <c r="F247" s="380">
        <f t="shared" si="14"/>
        <v>29613333</v>
      </c>
      <c r="G247" s="378" t="b">
        <f t="shared" si="15"/>
        <v>1</v>
      </c>
      <c r="H247" s="381">
        <f t="shared" si="17"/>
        <v>29613333</v>
      </c>
    </row>
    <row r="248" spans="1:8" s="384" customFormat="1" x14ac:dyDescent="0.3">
      <c r="A248" s="404">
        <v>982475148</v>
      </c>
      <c r="B248" s="404">
        <v>4212616477</v>
      </c>
      <c r="C248" s="403" t="s">
        <v>885</v>
      </c>
      <c r="D248" s="404">
        <v>3230141329</v>
      </c>
      <c r="E248" s="404">
        <v>0</v>
      </c>
      <c r="F248" s="380">
        <f t="shared" si="14"/>
        <v>982475148</v>
      </c>
      <c r="G248" s="378" t="b">
        <f t="shared" si="15"/>
        <v>1</v>
      </c>
      <c r="H248" s="381">
        <f t="shared" si="17"/>
        <v>982475148</v>
      </c>
    </row>
    <row r="249" spans="1:8" x14ac:dyDescent="0.3">
      <c r="A249" s="404">
        <v>331464495</v>
      </c>
      <c r="B249" s="404">
        <v>994393485</v>
      </c>
      <c r="C249" s="403" t="s">
        <v>886</v>
      </c>
      <c r="D249" s="404">
        <v>662928990</v>
      </c>
      <c r="E249" s="404">
        <v>0</v>
      </c>
      <c r="F249" s="380">
        <f t="shared" si="14"/>
        <v>331464495</v>
      </c>
      <c r="G249" s="378" t="b">
        <f t="shared" si="15"/>
        <v>1</v>
      </c>
      <c r="H249" s="381">
        <f t="shared" si="16"/>
        <v>331464495</v>
      </c>
    </row>
    <row r="250" spans="1:8" x14ac:dyDescent="0.3">
      <c r="A250" s="404">
        <v>3268888985</v>
      </c>
      <c r="B250" s="404">
        <v>10373842632</v>
      </c>
      <c r="C250" s="403" t="s">
        <v>887</v>
      </c>
      <c r="D250" s="404">
        <v>7104953647</v>
      </c>
      <c r="E250" s="404">
        <v>0</v>
      </c>
      <c r="F250" s="380">
        <f t="shared" si="14"/>
        <v>3268888985</v>
      </c>
      <c r="G250" s="378" t="b">
        <f t="shared" si="15"/>
        <v>1</v>
      </c>
      <c r="H250" s="381">
        <f t="shared" si="16"/>
        <v>3268888985</v>
      </c>
    </row>
    <row r="251" spans="1:8" x14ac:dyDescent="0.3">
      <c r="A251" s="382">
        <f>SUM(A5:A250)</f>
        <v>46297782031311</v>
      </c>
      <c r="B251" s="382">
        <f>SUM(B5:B250)</f>
        <v>108092937054349</v>
      </c>
      <c r="C251" s="383"/>
      <c r="D251" s="382">
        <f>SUM(D5:D250)</f>
        <v>107575649812670</v>
      </c>
      <c r="E251" s="382">
        <f>SUM(E5:E250)</f>
        <v>45780494789632</v>
      </c>
      <c r="F251" s="380">
        <f t="shared" si="14"/>
        <v>517287241679</v>
      </c>
      <c r="G251" s="378" t="b">
        <f t="shared" si="15"/>
        <v>1</v>
      </c>
      <c r="H251" s="381">
        <f t="shared" si="16"/>
        <v>517287241679</v>
      </c>
    </row>
    <row r="252" spans="1:8" hidden="1" x14ac:dyDescent="0.3">
      <c r="D252" s="380">
        <f>D251-B251</f>
        <v>-517287241679</v>
      </c>
      <c r="E252" s="380">
        <f>E251-A251</f>
        <v>-517287241679</v>
      </c>
    </row>
  </sheetData>
  <autoFilter ref="A4:L4"/>
  <mergeCells count="1">
    <mergeCell ref="A1:E1"/>
  </mergeCells>
  <phoneticPr fontId="109" type="noConversion"/>
  <pageMargins left="0.7" right="0.7" top="0.75" bottom="0.75" header="0.3" footer="0.3"/>
  <pageSetup paperSize="9" scale="1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9</vt:i4>
      </vt:variant>
      <vt:variant>
        <vt:lpstr>이름이 지정된 범위</vt:lpstr>
      </vt:variant>
      <vt:variant>
        <vt:i4>9</vt:i4>
      </vt:variant>
    </vt:vector>
  </HeadingPairs>
  <TitlesOfParts>
    <vt:vector size="18" baseType="lpstr">
      <vt:lpstr>#1-1. 재무상태표 입력서식</vt:lpstr>
      <vt:lpstr>#1. 재무상태표</vt:lpstr>
      <vt:lpstr>#2. 손익계산서</vt:lpstr>
      <vt:lpstr>#3. 운영사업원가명세서</vt:lpstr>
      <vt:lpstr>#4. 수탁사업원가명세서</vt:lpstr>
      <vt:lpstr>#5. 영업비용명세서</vt:lpstr>
      <vt:lpstr>#6. 자본변동표</vt:lpstr>
      <vt:lpstr>#7. 현금흐름표</vt:lpstr>
      <vt:lpstr>#8. 합계잔액시산표</vt:lpstr>
      <vt:lpstr>'#1. 재무상태표'!Print_Area</vt:lpstr>
      <vt:lpstr>'#3. 운영사업원가명세서'!Print_Area</vt:lpstr>
      <vt:lpstr>'#4. 수탁사업원가명세서'!Print_Area</vt:lpstr>
      <vt:lpstr>'#5. 영업비용명세서'!Print_Area</vt:lpstr>
      <vt:lpstr>'#6. 자본변동표'!Print_Area</vt:lpstr>
      <vt:lpstr>'#7. 현금흐름표'!Print_Area</vt:lpstr>
      <vt:lpstr>'#8. 합계잔액시산표'!Print_Area</vt:lpstr>
      <vt:lpstr>'#1. 재무상태표'!Print_Titles</vt:lpstr>
      <vt:lpstr>'#2. 손익계산서'!Print_Titles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사용자-전화번호</dc:creator>
  <cp:lastModifiedBy>홍길둥-0000</cp:lastModifiedBy>
  <cp:revision>1</cp:revision>
  <cp:lastPrinted>2024-03-11T01:55:57Z</cp:lastPrinted>
  <dcterms:created xsi:type="dcterms:W3CDTF">2019-07-05T01:59:17Z</dcterms:created>
  <dcterms:modified xsi:type="dcterms:W3CDTF">2024-04-29T00:17:45Z</dcterms:modified>
  <cp:version>0906.0200.01</cp:version>
</cp:coreProperties>
</file>