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홍길둥-0000\Desktop\엑셀시트보호해제\"/>
    </mc:Choice>
  </mc:AlternateContent>
  <bookViews>
    <workbookView xWindow="0" yWindow="0" windowWidth="28530" windowHeight="11820" tabRatio="852"/>
  </bookViews>
  <sheets>
    <sheet name="#1. 재무상태표" sheetId="2" r:id="rId1"/>
    <sheet name="#2. 손익계산서" sheetId="3" r:id="rId2"/>
    <sheet name="#3. 운영사업원가명세서" sheetId="6" r:id="rId3"/>
    <sheet name="#4. 수탁사업원가명세서" sheetId="7" r:id="rId4"/>
    <sheet name="#5. 영업비용명세서" sheetId="8" r:id="rId5"/>
    <sheet name="#6. 자본변동표" sheetId="27" r:id="rId6"/>
    <sheet name="#7. 현금흐름표" sheetId="30" r:id="rId7"/>
    <sheet name="#8. 합계잔액시산표" sheetId="28" r:id="rId8"/>
  </sheets>
  <externalReferences>
    <externalReference r:id="rId9"/>
  </externalReferences>
  <definedNames>
    <definedName name="DATA1" localSheetId="4">#REF!</definedName>
    <definedName name="DATA1" localSheetId="5">#REF!</definedName>
    <definedName name="DATA1" localSheetId="6">#REF!</definedName>
    <definedName name="DATA1">#REF!</definedName>
    <definedName name="DATA10" localSheetId="4">#REF!</definedName>
    <definedName name="DATA10" localSheetId="5">#REF!</definedName>
    <definedName name="DATA10" localSheetId="6">#REF!</definedName>
    <definedName name="DATA10">#REF!</definedName>
    <definedName name="DATA11" localSheetId="4">#REF!</definedName>
    <definedName name="DATA11" localSheetId="5">#REF!</definedName>
    <definedName name="DATA11" localSheetId="6">#REF!</definedName>
    <definedName name="DATA11">#REF!</definedName>
    <definedName name="DATA12" localSheetId="4">#REF!</definedName>
    <definedName name="DATA12" localSheetId="5">#REF!</definedName>
    <definedName name="DATA12" localSheetId="6">#REF!</definedName>
    <definedName name="DATA12">#REF!</definedName>
    <definedName name="DATA13" localSheetId="4">#REF!</definedName>
    <definedName name="DATA13" localSheetId="5">#REF!</definedName>
    <definedName name="DATA13" localSheetId="6">#REF!</definedName>
    <definedName name="DATA13">#REF!</definedName>
    <definedName name="DATA14" localSheetId="4">#REF!</definedName>
    <definedName name="DATA14" localSheetId="5">#REF!</definedName>
    <definedName name="DATA14" localSheetId="6">#REF!</definedName>
    <definedName name="DATA14">#REF!</definedName>
    <definedName name="DATA15" localSheetId="4">#REF!</definedName>
    <definedName name="DATA15" localSheetId="5">#REF!</definedName>
    <definedName name="DATA15" localSheetId="6">#REF!</definedName>
    <definedName name="DATA15">#REF!</definedName>
    <definedName name="DATA16" localSheetId="4">#REF!</definedName>
    <definedName name="DATA16" localSheetId="5">#REF!</definedName>
    <definedName name="DATA16" localSheetId="6">#REF!</definedName>
    <definedName name="DATA16">#REF!</definedName>
    <definedName name="DATA17" localSheetId="4">#REF!</definedName>
    <definedName name="DATA17" localSheetId="5">#REF!</definedName>
    <definedName name="DATA17" localSheetId="6">#REF!</definedName>
    <definedName name="DATA17">#REF!</definedName>
    <definedName name="DATA18" localSheetId="4">#REF!</definedName>
    <definedName name="DATA18" localSheetId="5">#REF!</definedName>
    <definedName name="DATA18" localSheetId="6">#REF!</definedName>
    <definedName name="DATA18">#REF!</definedName>
    <definedName name="DATA19" localSheetId="4">#REF!</definedName>
    <definedName name="DATA19" localSheetId="5">#REF!</definedName>
    <definedName name="DATA19" localSheetId="6">#REF!</definedName>
    <definedName name="DATA19">#REF!</definedName>
    <definedName name="DATA2" localSheetId="4">#REF!</definedName>
    <definedName name="DATA2" localSheetId="5">#REF!</definedName>
    <definedName name="DATA2" localSheetId="6">#REF!</definedName>
    <definedName name="DATA2">#REF!</definedName>
    <definedName name="DATA20" localSheetId="4">#REF!</definedName>
    <definedName name="DATA20" localSheetId="5">#REF!</definedName>
    <definedName name="DATA20" localSheetId="6">#REF!</definedName>
    <definedName name="DATA20">#REF!</definedName>
    <definedName name="DATA21" localSheetId="4">#REF!</definedName>
    <definedName name="DATA21" localSheetId="5">#REF!</definedName>
    <definedName name="DATA21" localSheetId="6">#REF!</definedName>
    <definedName name="DATA21">#REF!</definedName>
    <definedName name="DATA22" localSheetId="4">#REF!</definedName>
    <definedName name="DATA22" localSheetId="5">#REF!</definedName>
    <definedName name="DATA22" localSheetId="6">#REF!</definedName>
    <definedName name="DATA22">#REF!</definedName>
    <definedName name="DATA23" localSheetId="4">#REF!</definedName>
    <definedName name="DATA23" localSheetId="5">#REF!</definedName>
    <definedName name="DATA23" localSheetId="6">#REF!</definedName>
    <definedName name="DATA23">#REF!</definedName>
    <definedName name="DATA24" localSheetId="4">#REF!</definedName>
    <definedName name="DATA24" localSheetId="5">#REF!</definedName>
    <definedName name="DATA24" localSheetId="6">#REF!</definedName>
    <definedName name="DATA24">#REF!</definedName>
    <definedName name="DATA25" localSheetId="4">#REF!</definedName>
    <definedName name="DATA25" localSheetId="5">#REF!</definedName>
    <definedName name="DATA25" localSheetId="6">#REF!</definedName>
    <definedName name="DATA25">#REF!</definedName>
    <definedName name="DATA26" localSheetId="4">#REF!</definedName>
    <definedName name="DATA26" localSheetId="5">#REF!</definedName>
    <definedName name="DATA26" localSheetId="6">#REF!</definedName>
    <definedName name="DATA26">#REF!</definedName>
    <definedName name="DATA27" localSheetId="4">#REF!</definedName>
    <definedName name="DATA27" localSheetId="5">#REF!</definedName>
    <definedName name="DATA27" localSheetId="6">#REF!</definedName>
    <definedName name="DATA27">#REF!</definedName>
    <definedName name="DATA28" localSheetId="4">#REF!</definedName>
    <definedName name="DATA28" localSheetId="5">#REF!</definedName>
    <definedName name="DATA28" localSheetId="6">#REF!</definedName>
    <definedName name="DATA28">#REF!</definedName>
    <definedName name="DATA29" localSheetId="4">#REF!</definedName>
    <definedName name="DATA29" localSheetId="5">#REF!</definedName>
    <definedName name="DATA29" localSheetId="6">#REF!</definedName>
    <definedName name="DATA29">#REF!</definedName>
    <definedName name="DATA3" localSheetId="4">#REF!</definedName>
    <definedName name="DATA3" localSheetId="5">#REF!</definedName>
    <definedName name="DATA3" localSheetId="6">#REF!</definedName>
    <definedName name="DATA3">#REF!</definedName>
    <definedName name="DATA30" localSheetId="4">#REF!</definedName>
    <definedName name="DATA30" localSheetId="5">#REF!</definedName>
    <definedName name="DATA30" localSheetId="6">#REF!</definedName>
    <definedName name="DATA30">#REF!</definedName>
    <definedName name="DATA31" localSheetId="4">#REF!</definedName>
    <definedName name="DATA31" localSheetId="5">#REF!</definedName>
    <definedName name="DATA31" localSheetId="6">#REF!</definedName>
    <definedName name="DATA31">#REF!</definedName>
    <definedName name="DATA32" localSheetId="4">#REF!</definedName>
    <definedName name="DATA32" localSheetId="5">#REF!</definedName>
    <definedName name="DATA32" localSheetId="6">#REF!</definedName>
    <definedName name="DATA32">#REF!</definedName>
    <definedName name="DATA33" localSheetId="4">#REF!</definedName>
    <definedName name="DATA33" localSheetId="5">#REF!</definedName>
    <definedName name="DATA33" localSheetId="6">#REF!</definedName>
    <definedName name="DATA33">#REF!</definedName>
    <definedName name="DATA34" localSheetId="4">#REF!</definedName>
    <definedName name="DATA34" localSheetId="5">#REF!</definedName>
    <definedName name="DATA34" localSheetId="6">#REF!</definedName>
    <definedName name="DATA34">#REF!</definedName>
    <definedName name="DATA35" localSheetId="4">#REF!</definedName>
    <definedName name="DATA35" localSheetId="5">#REF!</definedName>
    <definedName name="DATA35" localSheetId="6">#REF!</definedName>
    <definedName name="DATA35">#REF!</definedName>
    <definedName name="DATA36" localSheetId="4">#REF!</definedName>
    <definedName name="DATA36" localSheetId="5">#REF!</definedName>
    <definedName name="DATA36" localSheetId="6">#REF!</definedName>
    <definedName name="DATA36">#REF!</definedName>
    <definedName name="DATA4" localSheetId="4">#REF!</definedName>
    <definedName name="DATA4" localSheetId="5">#REF!</definedName>
    <definedName name="DATA4" localSheetId="6">#REF!</definedName>
    <definedName name="DATA4">#REF!</definedName>
    <definedName name="DATA5" localSheetId="4">#REF!</definedName>
    <definedName name="DATA5" localSheetId="5">#REF!</definedName>
    <definedName name="DATA5" localSheetId="6">#REF!</definedName>
    <definedName name="DATA5">#REF!</definedName>
    <definedName name="DATA6" localSheetId="4">#REF!</definedName>
    <definedName name="DATA6" localSheetId="5">#REF!</definedName>
    <definedName name="DATA6" localSheetId="6">#REF!</definedName>
    <definedName name="DATA6">#REF!</definedName>
    <definedName name="DATA7" localSheetId="4">#REF!</definedName>
    <definedName name="DATA7" localSheetId="5">#REF!</definedName>
    <definedName name="DATA7" localSheetId="6">#REF!</definedName>
    <definedName name="DATA7">#REF!</definedName>
    <definedName name="DATA8" localSheetId="4">#REF!</definedName>
    <definedName name="DATA8" localSheetId="5">#REF!</definedName>
    <definedName name="DATA8" localSheetId="6">#REF!</definedName>
    <definedName name="DATA8">#REF!</definedName>
    <definedName name="DATA9" localSheetId="4">#REF!</definedName>
    <definedName name="DATA9" localSheetId="5">#REF!</definedName>
    <definedName name="DATA9" localSheetId="6">#REF!</definedName>
    <definedName name="DATA9">#REF!</definedName>
    <definedName name="_xlnm.Print_Area" localSheetId="0">'#1. 재무상태표'!$A$1:$I$118</definedName>
    <definedName name="_xlnm.Print_Area" localSheetId="1">'#2. 손익계산서'!$A$1:$I$79</definedName>
    <definedName name="_xlnm.Print_Area" localSheetId="2">'#3. 운영사업원가명세서'!$A$1:$H$33</definedName>
    <definedName name="_xlnm.Print_Area" localSheetId="3">'#4. 수탁사업원가명세서'!$A$1:$H$35</definedName>
    <definedName name="_xlnm.Print_Area" localSheetId="4">'#5. 영업비용명세서'!$A$1:$H$35</definedName>
    <definedName name="_xlnm.Print_Area" localSheetId="5">'#6. 자본변동표'!$A$1:$E$20</definedName>
    <definedName name="_xlnm.Print_Area" localSheetId="6">'#7. 현금흐름표'!$A$1:$E$101</definedName>
    <definedName name="_xlnm.Print_Area" localSheetId="7">'#8. 합계잔액시산표'!$A$1:$E$225</definedName>
    <definedName name="_xlnm.Print_Titles" localSheetId="0">'#1. 재무상태표'!$6:$6</definedName>
    <definedName name="TEST1" localSheetId="4">#REF!</definedName>
    <definedName name="TEST1" localSheetId="5">#REF!</definedName>
    <definedName name="TEST1" localSheetId="6">#REF!</definedName>
    <definedName name="TEST1">#REF!</definedName>
    <definedName name="TEST10" localSheetId="4">#REF!</definedName>
    <definedName name="TEST10" localSheetId="5">#REF!</definedName>
    <definedName name="TEST10" localSheetId="6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 localSheetId="4">#REF!</definedName>
    <definedName name="TEST11" localSheetId="5">#REF!</definedName>
    <definedName name="TEST11" localSheetId="6">#REF!</definedName>
    <definedName name="TEST11">#REF!</definedName>
    <definedName name="TEST110">#REF!</definedName>
    <definedName name="TEST12" localSheetId="4">#REF!</definedName>
    <definedName name="TEST12" localSheetId="5">#REF!</definedName>
    <definedName name="TEST12" localSheetId="6">#REF!</definedName>
    <definedName name="TEST12">#REF!</definedName>
    <definedName name="TEST13" localSheetId="4">#REF!</definedName>
    <definedName name="TEST13" localSheetId="5">#REF!</definedName>
    <definedName name="TEST13" localSheetId="6">#REF!</definedName>
    <definedName name="TEST13">#REF!</definedName>
    <definedName name="TEST14" localSheetId="4">#REF!</definedName>
    <definedName name="TEST14" localSheetId="5">#REF!</definedName>
    <definedName name="TEST14" localSheetId="6">#REF!</definedName>
    <definedName name="TEST14">#REF!</definedName>
    <definedName name="TEST15" localSheetId="4">#REF!</definedName>
    <definedName name="TEST15" localSheetId="5">#REF!</definedName>
    <definedName name="TEST15" localSheetId="6">#REF!</definedName>
    <definedName name="TEST15">#REF!</definedName>
    <definedName name="TEST16" localSheetId="4">#REF!</definedName>
    <definedName name="TEST16" localSheetId="5">#REF!</definedName>
    <definedName name="TEST16" localSheetId="6">#REF!</definedName>
    <definedName name="TEST16">#REF!</definedName>
    <definedName name="TEST17" localSheetId="4">#REF!</definedName>
    <definedName name="TEST17" localSheetId="5">#REF!</definedName>
    <definedName name="TEST17" localSheetId="6">#REF!</definedName>
    <definedName name="TEST17">#REF!</definedName>
    <definedName name="TEST18" localSheetId="4">#REF!</definedName>
    <definedName name="TEST18" localSheetId="5">#REF!</definedName>
    <definedName name="TEST18" localSheetId="6">#REF!</definedName>
    <definedName name="TEST18">#REF!</definedName>
    <definedName name="TEST19" localSheetId="4">#REF!</definedName>
    <definedName name="TEST19" localSheetId="5">#REF!</definedName>
    <definedName name="TEST19" localSheetId="6">#REF!</definedName>
    <definedName name="TEST19">#REF!</definedName>
    <definedName name="TEST2" localSheetId="4">#REF!</definedName>
    <definedName name="TEST2" localSheetId="5">#REF!</definedName>
    <definedName name="TEST2" localSheetId="6">#REF!</definedName>
    <definedName name="TEST2">#REF!</definedName>
    <definedName name="TEST20" localSheetId="4">#REF!</definedName>
    <definedName name="TEST20" localSheetId="5">#REF!</definedName>
    <definedName name="TEST20" localSheetId="6">#REF!</definedName>
    <definedName name="TEST20">#REF!</definedName>
    <definedName name="TEST21" localSheetId="4">#REF!</definedName>
    <definedName name="TEST21" localSheetId="5">#REF!</definedName>
    <definedName name="TEST21" localSheetId="6">#REF!</definedName>
    <definedName name="TEST21">#REF!</definedName>
    <definedName name="TEST22" localSheetId="4">#REF!</definedName>
    <definedName name="TEST22" localSheetId="5">#REF!</definedName>
    <definedName name="TEST22" localSheetId="6">#REF!</definedName>
    <definedName name="TEST22">#REF!</definedName>
    <definedName name="TEST23" localSheetId="4">#REF!</definedName>
    <definedName name="TEST23" localSheetId="5">#REF!</definedName>
    <definedName name="TEST23" localSheetId="6">#REF!</definedName>
    <definedName name="TEST23">#REF!</definedName>
    <definedName name="TEST24" localSheetId="4">#REF!</definedName>
    <definedName name="TEST24" localSheetId="5">#REF!</definedName>
    <definedName name="TEST24" localSheetId="6">#REF!</definedName>
    <definedName name="TEST24">#REF!</definedName>
    <definedName name="TEST25" localSheetId="4">#REF!</definedName>
    <definedName name="TEST25" localSheetId="5">#REF!</definedName>
    <definedName name="TEST25" localSheetId="6">#REF!</definedName>
    <definedName name="TEST25">#REF!</definedName>
    <definedName name="TEST26" localSheetId="4">#REF!</definedName>
    <definedName name="TEST26" localSheetId="5">#REF!</definedName>
    <definedName name="TEST26" localSheetId="6">#REF!</definedName>
    <definedName name="TEST26">#REF!</definedName>
    <definedName name="TEST27" localSheetId="4">#REF!</definedName>
    <definedName name="TEST27" localSheetId="5">#REF!</definedName>
    <definedName name="TEST27" localSheetId="6">#REF!</definedName>
    <definedName name="TEST27">#REF!</definedName>
    <definedName name="TEST28" localSheetId="4">#REF!</definedName>
    <definedName name="TEST28" localSheetId="5">#REF!</definedName>
    <definedName name="TEST28" localSheetId="6">#REF!</definedName>
    <definedName name="TEST28">#REF!</definedName>
    <definedName name="TEST29" localSheetId="4">#REF!</definedName>
    <definedName name="TEST29" localSheetId="5">#REF!</definedName>
    <definedName name="TEST29" localSheetId="6">#REF!</definedName>
    <definedName name="TEST29">#REF!</definedName>
    <definedName name="TEST3" localSheetId="4">#REF!</definedName>
    <definedName name="TEST3" localSheetId="5">#REF!</definedName>
    <definedName name="TEST3" localSheetId="6">#REF!</definedName>
    <definedName name="TEST3">#REF!</definedName>
    <definedName name="TEST30" localSheetId="4">#REF!</definedName>
    <definedName name="TEST30" localSheetId="5">#REF!</definedName>
    <definedName name="TEST30" localSheetId="6">#REF!</definedName>
    <definedName name="TEST30">#REF!</definedName>
    <definedName name="TEST31" localSheetId="4">#REF!</definedName>
    <definedName name="TEST31" localSheetId="5">#REF!</definedName>
    <definedName name="TEST31" localSheetId="6">#REF!</definedName>
    <definedName name="TEST31">#REF!</definedName>
    <definedName name="TEST32" localSheetId="4">#REF!</definedName>
    <definedName name="TEST32" localSheetId="5">#REF!</definedName>
    <definedName name="TEST32" localSheetId="6">#REF!</definedName>
    <definedName name="TEST32">#REF!</definedName>
    <definedName name="TEST33" localSheetId="4">#REF!</definedName>
    <definedName name="TEST33" localSheetId="5">#REF!</definedName>
    <definedName name="TEST33" localSheetId="6">#REF!</definedName>
    <definedName name="TEST33">#REF!</definedName>
    <definedName name="TEST34" localSheetId="4">#REF!</definedName>
    <definedName name="TEST34" localSheetId="5">#REF!</definedName>
    <definedName name="TEST34" localSheetId="6">#REF!</definedName>
    <definedName name="TEST34">#REF!</definedName>
    <definedName name="TEST35" localSheetId="4">#REF!</definedName>
    <definedName name="TEST35" localSheetId="5">#REF!</definedName>
    <definedName name="TEST35" localSheetId="6">#REF!</definedName>
    <definedName name="TEST35">#REF!</definedName>
    <definedName name="TEST36" localSheetId="4">#REF!</definedName>
    <definedName name="TEST36" localSheetId="5">#REF!</definedName>
    <definedName name="TEST36" localSheetId="6">#REF!</definedName>
    <definedName name="TEST36">#REF!</definedName>
    <definedName name="TEST37" localSheetId="4">#REF!</definedName>
    <definedName name="TEST37" localSheetId="5">#REF!</definedName>
    <definedName name="TEST37" localSheetId="6">#REF!</definedName>
    <definedName name="TEST37">#REF!</definedName>
    <definedName name="TEST38" localSheetId="4">#REF!</definedName>
    <definedName name="TEST38" localSheetId="5">#REF!</definedName>
    <definedName name="TEST38" localSheetId="6">#REF!</definedName>
    <definedName name="TEST38">#REF!</definedName>
    <definedName name="TEST39" localSheetId="4">#REF!</definedName>
    <definedName name="TEST39" localSheetId="5">#REF!</definedName>
    <definedName name="TEST39" localSheetId="6">#REF!</definedName>
    <definedName name="TEST39">#REF!</definedName>
    <definedName name="TEST4" localSheetId="4">#REF!</definedName>
    <definedName name="TEST4" localSheetId="5">#REF!</definedName>
    <definedName name="TEST4" localSheetId="6">#REF!</definedName>
    <definedName name="TEST4">#REF!</definedName>
    <definedName name="TEST40" localSheetId="4">#REF!</definedName>
    <definedName name="TEST40" localSheetId="5">#REF!</definedName>
    <definedName name="TEST40" localSheetId="6">#REF!</definedName>
    <definedName name="TEST40">#REF!</definedName>
    <definedName name="TEST41" localSheetId="4">#REF!</definedName>
    <definedName name="TEST41" localSheetId="5">#REF!</definedName>
    <definedName name="TEST41" localSheetId="6">#REF!</definedName>
    <definedName name="TEST41">#REF!</definedName>
    <definedName name="TEST42" localSheetId="4">#REF!</definedName>
    <definedName name="TEST42" localSheetId="5">#REF!</definedName>
    <definedName name="TEST42" localSheetId="6">#REF!</definedName>
    <definedName name="TEST42">#REF!</definedName>
    <definedName name="TEST43" localSheetId="4">#REF!</definedName>
    <definedName name="TEST43" localSheetId="5">#REF!</definedName>
    <definedName name="TEST43" localSheetId="6">#REF!</definedName>
    <definedName name="TEST43">#REF!</definedName>
    <definedName name="TEST44" localSheetId="4">#REF!</definedName>
    <definedName name="TEST44" localSheetId="5">#REF!</definedName>
    <definedName name="TEST44" localSheetId="6">#REF!</definedName>
    <definedName name="TEST44">#REF!</definedName>
    <definedName name="TEST45" localSheetId="4">#REF!</definedName>
    <definedName name="TEST45" localSheetId="5">#REF!</definedName>
    <definedName name="TEST45" localSheetId="6">#REF!</definedName>
    <definedName name="TEST45">#REF!</definedName>
    <definedName name="TEST46" localSheetId="4">#REF!</definedName>
    <definedName name="TEST46" localSheetId="5">#REF!</definedName>
    <definedName name="TEST46" localSheetId="6">#REF!</definedName>
    <definedName name="TEST46">#REF!</definedName>
    <definedName name="TEST47" localSheetId="4">#REF!</definedName>
    <definedName name="TEST47" localSheetId="5">#REF!</definedName>
    <definedName name="TEST47" localSheetId="6">#REF!</definedName>
    <definedName name="TEST47">#REF!</definedName>
    <definedName name="TEST48" localSheetId="4">#REF!</definedName>
    <definedName name="TEST48" localSheetId="5">#REF!</definedName>
    <definedName name="TEST48" localSheetId="6">#REF!</definedName>
    <definedName name="TEST48">#REF!</definedName>
    <definedName name="TEST49" localSheetId="4">#REF!</definedName>
    <definedName name="TEST49" localSheetId="5">#REF!</definedName>
    <definedName name="TEST49" localSheetId="6">#REF!</definedName>
    <definedName name="TEST49">#REF!</definedName>
    <definedName name="TEST5" localSheetId="4">#REF!</definedName>
    <definedName name="TEST5" localSheetId="5">#REF!</definedName>
    <definedName name="TEST5" localSheetId="6">#REF!</definedName>
    <definedName name="TEST5">#REF!</definedName>
    <definedName name="TEST50" localSheetId="4">#REF!</definedName>
    <definedName name="TEST50" localSheetId="5">#REF!</definedName>
    <definedName name="TEST50" localSheetId="6">#REF!</definedName>
    <definedName name="TEST50">#REF!</definedName>
    <definedName name="TEST51" localSheetId="4">#REF!</definedName>
    <definedName name="TEST51" localSheetId="5">#REF!</definedName>
    <definedName name="TEST51" localSheetId="6">#REF!</definedName>
    <definedName name="TEST51">#REF!</definedName>
    <definedName name="TEST52" localSheetId="4">#REF!</definedName>
    <definedName name="TEST52" localSheetId="5">#REF!</definedName>
    <definedName name="TEST52" localSheetId="6">#REF!</definedName>
    <definedName name="TEST52">#REF!</definedName>
    <definedName name="TEST53" localSheetId="4">#REF!</definedName>
    <definedName name="TEST53" localSheetId="5">#REF!</definedName>
    <definedName name="TEST53" localSheetId="6">#REF!</definedName>
    <definedName name="TEST53">#REF!</definedName>
    <definedName name="TEST54" localSheetId="4">#REF!</definedName>
    <definedName name="TEST54" localSheetId="5">#REF!</definedName>
    <definedName name="TEST54" localSheetId="6">#REF!</definedName>
    <definedName name="TEST54">#REF!</definedName>
    <definedName name="TEST55" localSheetId="4">#REF!</definedName>
    <definedName name="TEST55" localSheetId="5">#REF!</definedName>
    <definedName name="TEST55" localSheetId="6">#REF!</definedName>
    <definedName name="TEST55">#REF!</definedName>
    <definedName name="TEST56" localSheetId="4">#REF!</definedName>
    <definedName name="TEST56" localSheetId="5">#REF!</definedName>
    <definedName name="TEST56" localSheetId="6">#REF!</definedName>
    <definedName name="TEST56">#REF!</definedName>
    <definedName name="TEST57" localSheetId="4">#REF!</definedName>
    <definedName name="TEST57" localSheetId="5">#REF!</definedName>
    <definedName name="TEST57" localSheetId="6">#REF!</definedName>
    <definedName name="TEST57">#REF!</definedName>
    <definedName name="TEST58">#REF!</definedName>
    <definedName name="TEST59">#REF!</definedName>
    <definedName name="TEST6" localSheetId="4">#REF!</definedName>
    <definedName name="TEST6" localSheetId="5">#REF!</definedName>
    <definedName name="TEST6" localSheetId="6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 localSheetId="4">#REF!</definedName>
    <definedName name="TEST7" localSheetId="5">#REF!</definedName>
    <definedName name="TEST7" localSheetId="6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 localSheetId="4">#REF!</definedName>
    <definedName name="TEST8" localSheetId="5">#REF!</definedName>
    <definedName name="TEST8" localSheetId="6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 localSheetId="4">#REF!</definedName>
    <definedName name="TEST9" localSheetId="5">#REF!</definedName>
    <definedName name="TEST9" localSheetId="6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 localSheetId="4">#REF!</definedName>
    <definedName name="TESTHKEY" localSheetId="5">#REF!</definedName>
    <definedName name="TESTHKEY" localSheetId="6">#REF!</definedName>
    <definedName name="TESTHKEY">#REF!</definedName>
    <definedName name="TESTKEYS" localSheetId="4">#REF!</definedName>
    <definedName name="TESTKEYS" localSheetId="5">#REF!</definedName>
    <definedName name="TESTKEYS" localSheetId="6">#REF!</definedName>
    <definedName name="TESTKEYS">#REF!</definedName>
    <definedName name="TESTVKEY" localSheetId="4">#REF!</definedName>
    <definedName name="TESTVKEY" localSheetId="5">#REF!</definedName>
    <definedName name="TESTVKEY" localSheetId="6">#REF!</definedName>
    <definedName name="TESTVKEY">#REF!</definedName>
  </definedNames>
  <calcPr calcId="162913"/>
</workbook>
</file>

<file path=xl/calcChain.xml><?xml version="1.0" encoding="utf-8"?>
<calcChain xmlns="http://schemas.openxmlformats.org/spreadsheetml/2006/main">
  <c r="G113" i="28" l="1"/>
  <c r="C102" i="30" l="1"/>
  <c r="A3" i="8" l="1"/>
  <c r="A2" i="8"/>
  <c r="A3" i="7" l="1"/>
  <c r="A2" i="7"/>
  <c r="H36" i="8" l="1"/>
  <c r="H38" i="7"/>
  <c r="H36" i="6"/>
  <c r="H38" i="8"/>
  <c r="H36" i="7" l="1"/>
  <c r="H34" i="6"/>
  <c r="C103" i="30"/>
  <c r="E226" i="28" l="1"/>
  <c r="I120" i="2"/>
  <c r="D226" i="28" l="1"/>
  <c r="F36" i="7"/>
  <c r="F38" i="7"/>
  <c r="F36" i="8" l="1"/>
  <c r="F34" i="6"/>
  <c r="F36" i="6"/>
  <c r="F38" i="8" l="1"/>
  <c r="E23" i="27" l="1"/>
  <c r="G120" i="2"/>
</calcChain>
</file>

<file path=xl/sharedStrings.xml><?xml version="1.0" encoding="utf-8"?>
<sst xmlns="http://schemas.openxmlformats.org/spreadsheetml/2006/main" count="730" uniqueCount="492">
  <si>
    <t>　          국고/감가상각누계액</t>
  </si>
  <si>
    <t>　          공기구비품수탁자산</t>
  </si>
  <si>
    <t>　          차량운반구수탁자산</t>
  </si>
  <si>
    <t>　          수탁자산소프트웨어</t>
  </si>
  <si>
    <t>　          건설중수탁자산취득보조금</t>
  </si>
  <si>
    <t>　          지방자치단체보조금</t>
  </si>
  <si>
    <t>법인세비용차감전순이익(손실)</t>
  </si>
  <si>
    <t>손  익  계  산  서</t>
  </si>
  <si>
    <t>　          선급금</t>
  </si>
  <si>
    <t>　          토지</t>
  </si>
  <si>
    <t>　          전로설비</t>
  </si>
  <si>
    <t>　          기계장치</t>
  </si>
  <si>
    <t>　          선로설비</t>
  </si>
  <si>
    <t>　          건물</t>
  </si>
  <si>
    <t>　          사채</t>
  </si>
  <si>
    <t>　          특허권</t>
  </si>
  <si>
    <t>　          상표권</t>
  </si>
  <si>
    <t>　          선수금</t>
  </si>
  <si>
    <t>　          예수금</t>
  </si>
  <si>
    <t>　          의장권</t>
  </si>
  <si>
    <t>　          선수수익</t>
  </si>
  <si>
    <t>영 업 비 용 명 세 서</t>
  </si>
  <si>
    <t>9호선 2-3단계 운영</t>
  </si>
  <si>
    <t>유형자산손상차손</t>
  </si>
  <si>
    <t>유형자산폐기손실</t>
  </si>
  <si>
    <t>기타의대손상각비환입</t>
  </si>
  <si>
    <t>기타의대손상각비</t>
  </si>
  <si>
    <t>투자자산처분손실</t>
  </si>
  <si>
    <t>투자자산처분이익</t>
  </si>
  <si>
    <t>유형자산처분이익</t>
  </si>
  <si>
    <t>재고자산폐기손실</t>
  </si>
  <si>
    <t>유형자산처분손실</t>
  </si>
  <si>
    <t>무형자산손상차손</t>
  </si>
  <si>
    <t>부                          채</t>
  </si>
  <si>
    <t>자                          산</t>
  </si>
  <si>
    <t>자                          본</t>
  </si>
  <si>
    <t>　          건설중수탁자산</t>
  </si>
  <si>
    <t>수 탁 사 업 원 가 명 세 서</t>
  </si>
  <si>
    <t>운 영 사 업 원 가 명 세 서</t>
  </si>
  <si>
    <t>　          감가상각누계액</t>
  </si>
  <si>
    <t>　          선급법인세</t>
  </si>
  <si>
    <t>　          공기구비품</t>
  </si>
  <si>
    <t>　          국고보조금</t>
  </si>
  <si>
    <t>　          기타의유형자산</t>
  </si>
  <si>
    <t>　          장기미지급비용</t>
  </si>
  <si>
    <t>　          선로설비수탁자산</t>
  </si>
  <si>
    <t>　          장기선수수익</t>
  </si>
  <si>
    <t>　          건설중인자산</t>
  </si>
  <si>
    <t>　          기계장치수탁자산</t>
  </si>
  <si>
    <t>　          국민연금전환금</t>
  </si>
  <si>
    <t>　          예수보증금</t>
  </si>
  <si>
    <t>　          사채발행차금</t>
  </si>
  <si>
    <t>　          전로설비수탁자산</t>
  </si>
  <si>
    <t>　          실용신안권</t>
  </si>
  <si>
    <t>　          예수부가세</t>
  </si>
  <si>
    <t>　          전동차량수탁자산</t>
  </si>
  <si>
    <t xml:space="preserve"> 재   무   상   태   표</t>
  </si>
  <si>
    <t>자본금　　　　　　　　　　　　　　</t>
  </si>
  <si>
    <t>잡비</t>
  </si>
  <si>
    <t>보조금</t>
  </si>
  <si>
    <t>포상비</t>
  </si>
  <si>
    <t>기부금</t>
  </si>
  <si>
    <t>급여</t>
  </si>
  <si>
    <t>잡손실</t>
  </si>
  <si>
    <t>보험료</t>
  </si>
  <si>
    <t>임차료</t>
  </si>
  <si>
    <t>잡이익</t>
  </si>
  <si>
    <t>IV.</t>
  </si>
  <si>
    <t>(4)</t>
  </si>
  <si>
    <t>(2)</t>
  </si>
  <si>
    <t>V.</t>
  </si>
  <si>
    <t>매출액</t>
  </si>
  <si>
    <t>VI.</t>
  </si>
  <si>
    <t>2.</t>
  </si>
  <si>
    <t>Ⅱ.</t>
  </si>
  <si>
    <t>X.</t>
  </si>
  <si>
    <t>선급금</t>
  </si>
  <si>
    <t>결손금</t>
  </si>
  <si>
    <t>자본금</t>
  </si>
  <si>
    <t>IX.</t>
  </si>
  <si>
    <t>1.</t>
  </si>
  <si>
    <t>공채</t>
  </si>
  <si>
    <t>Ⅰ.</t>
  </si>
  <si>
    <t>(3)</t>
  </si>
  <si>
    <t>예수금</t>
  </si>
  <si>
    <t>(1)</t>
  </si>
  <si>
    <t xml:space="preserve"> </t>
  </si>
  <si>
    <t>사채</t>
  </si>
  <si>
    <t>선수금</t>
  </si>
  <si>
    <t>보증금</t>
  </si>
  <si>
    <t>건물</t>
  </si>
  <si>
    <t>미착품</t>
  </si>
  <si>
    <t>토지</t>
  </si>
  <si>
    <t>저장품</t>
  </si>
  <si>
    <t>인건비</t>
  </si>
  <si>
    <t>미수금</t>
  </si>
  <si>
    <t>경비</t>
  </si>
  <si>
    <t>총계</t>
  </si>
  <si>
    <t>4.</t>
  </si>
  <si>
    <t>차지권</t>
  </si>
  <si>
    <t>-</t>
  </si>
  <si>
    <t>(지자체보조금)</t>
  </si>
  <si>
    <t>7호선 연장구간</t>
  </si>
  <si>
    <t>잠실광역환승센터</t>
  </si>
  <si>
    <t>매도가능증권평가차손익</t>
  </si>
  <si>
    <t>(단위 : 원)</t>
  </si>
  <si>
    <t>영업이익(손실)</t>
  </si>
  <si>
    <t>과        목</t>
  </si>
  <si>
    <t>매출총이익(손실)</t>
  </si>
  <si>
    <t>당기순이익(손실)</t>
  </si>
  <si>
    <t>대손상각비(환입)</t>
  </si>
  <si>
    <t>기타포괄손익누계액</t>
  </si>
  <si>
    <t>(사채할인발행차금)</t>
  </si>
  <si>
    <t>퇴직급여충당부채</t>
  </si>
  <si>
    <t>(국민연금전환금)</t>
  </si>
  <si>
    <t>(현재가치할인차금)</t>
  </si>
  <si>
    <t>기타의비유동부채</t>
  </si>
  <si>
    <t>유형자산수탁자산</t>
  </si>
  <si>
    <t>(수탁자산보조금)</t>
  </si>
  <si>
    <t>기타의비유동자산</t>
  </si>
  <si>
    <t>(감가상각누계액)</t>
  </si>
  <si>
    <t>무형자산수탁자산</t>
  </si>
  <si>
    <t>지분법적용투자주식</t>
  </si>
  <si>
    <t>(수탁자산취득보조금)</t>
  </si>
  <si>
    <t>현금및현금성자산</t>
  </si>
  <si>
    <t>과      목</t>
  </si>
  <si>
    <t>　          기계장치수탁자산감가상각누계액</t>
  </si>
  <si>
    <t>　          전동차량수탁자산감가상각누계액</t>
  </si>
  <si>
    <t>　          전로설비수탁자산감가상각누계액</t>
  </si>
  <si>
    <t>　          기계장치수탁자산취득보조금</t>
  </si>
  <si>
    <t>　          차량운반구수탁자산감가상각누계액</t>
  </si>
  <si>
    <t>　          선로설비수탁자산감가상각누계액</t>
  </si>
  <si>
    <t>　          전동차량수탁자산취득보조금</t>
  </si>
  <si>
    <t>　          차량운반구수탁자산취득보조금</t>
  </si>
  <si>
    <t>　          선로설비수탁자산취득보조금</t>
  </si>
  <si>
    <t>　          전로설비수탁자산취득보조금</t>
  </si>
  <si>
    <t>　          공기구비품수탁자산취득보조금</t>
  </si>
  <si>
    <t>　          공기구비품수탁자산감가상각누계액</t>
  </si>
  <si>
    <t>　          수탁자산소프트웨어취득보조금</t>
  </si>
  <si>
    <t>　          수탁자산소프트웨어감가상각누계액</t>
  </si>
  <si>
    <t>제 4 기</t>
  </si>
  <si>
    <t>업무추진비</t>
  </si>
  <si>
    <t>부대사업수익</t>
  </si>
  <si>
    <t>수도광열비</t>
  </si>
  <si>
    <t>운수사업수익</t>
  </si>
  <si>
    <t>복리후생비</t>
  </si>
  <si>
    <t>도서인쇄비</t>
  </si>
  <si>
    <t>무형자산상각비</t>
  </si>
  <si>
    <t>폐품매각수익</t>
  </si>
  <si>
    <t>기타사업수익</t>
  </si>
  <si>
    <t>대행사업수익</t>
  </si>
  <si>
    <t>퇴직급여</t>
  </si>
  <si>
    <t>공공요금및제세</t>
  </si>
  <si>
    <t>수선유지비</t>
  </si>
  <si>
    <t>감가상각비</t>
  </si>
  <si>
    <t>소모품비</t>
  </si>
  <si>
    <t>여비교통비</t>
  </si>
  <si>
    <t>지급수수료</t>
  </si>
  <si>
    <t>피해보상비</t>
  </si>
  <si>
    <t>지분법평가이익</t>
  </si>
  <si>
    <t>광고선전비</t>
  </si>
  <si>
    <t>등기소송비</t>
  </si>
  <si>
    <t>자산수증이익</t>
  </si>
  <si>
    <t>이자비용</t>
  </si>
  <si>
    <t>법인세비용</t>
  </si>
  <si>
    <t>영업외수익</t>
  </si>
  <si>
    <t>재평가이익</t>
  </si>
  <si>
    <t>지분법평가손실</t>
  </si>
  <si>
    <t>위탁수수료</t>
  </si>
  <si>
    <t>재평가손실</t>
  </si>
  <si>
    <t>수입위약배상금</t>
  </si>
  <si>
    <t>교육훈련비</t>
  </si>
  <si>
    <t>차량유지비</t>
  </si>
  <si>
    <t>이자수익</t>
  </si>
  <si>
    <t>외환차익</t>
  </si>
  <si>
    <t>재료비기타</t>
  </si>
  <si>
    <t>채무면제이익</t>
  </si>
  <si>
    <t>일반관리비</t>
  </si>
  <si>
    <t>경상연구개발비</t>
  </si>
  <si>
    <t>VII.</t>
  </si>
  <si>
    <t>III.</t>
  </si>
  <si>
    <t>수탁사업수익</t>
  </si>
  <si>
    <t>운영사업원가</t>
  </si>
  <si>
    <t>수탁사업원가</t>
  </si>
  <si>
    <t>판매비와관리비</t>
  </si>
  <si>
    <t>VIII.</t>
  </si>
  <si>
    <t>매출원가</t>
  </si>
  <si>
    <t>공기구비품</t>
  </si>
  <si>
    <t>영업외비용</t>
  </si>
  <si>
    <t>서울교통공사</t>
  </si>
  <si>
    <t>운영사업수익</t>
  </si>
  <si>
    <t>제 3 기</t>
  </si>
  <si>
    <t>자산총계</t>
  </si>
  <si>
    <t>부채및자본총계</t>
  </si>
  <si>
    <t>예수보증금</t>
  </si>
  <si>
    <t>이연법인세부채</t>
  </si>
  <si>
    <t>예수부가세</t>
  </si>
  <si>
    <t>유동부채</t>
  </si>
  <si>
    <t>장기선수수익</t>
  </si>
  <si>
    <t>부채총계</t>
  </si>
  <si>
    <t>선수수익</t>
  </si>
  <si>
    <t>(대손충당금)</t>
  </si>
  <si>
    <t>장기미수금</t>
  </si>
  <si>
    <t>기타비유동자산</t>
  </si>
  <si>
    <t>소프트웨어</t>
  </si>
  <si>
    <t>산업재산권</t>
  </si>
  <si>
    <t>미처리결손금</t>
  </si>
  <si>
    <t>출자준비금</t>
  </si>
  <si>
    <t>비유동부채</t>
  </si>
  <si>
    <t>유동성장기부채</t>
  </si>
  <si>
    <t>단기차입금</t>
  </si>
  <si>
    <t>장기차입금</t>
  </si>
  <si>
    <t>장기미지급비용</t>
  </si>
  <si>
    <t>재평가잉여금</t>
  </si>
  <si>
    <t>자본총계</t>
  </si>
  <si>
    <t>기타의유동부채</t>
  </si>
  <si>
    <t>장기미지급금</t>
  </si>
  <si>
    <t>소송충당부채</t>
  </si>
  <si>
    <t>미지급비용</t>
  </si>
  <si>
    <t>미지급금</t>
  </si>
  <si>
    <t>단기금융상품</t>
  </si>
  <si>
    <t>무형자산</t>
  </si>
  <si>
    <t>투자자산</t>
  </si>
  <si>
    <t>선로설비</t>
  </si>
  <si>
    <t>선급비용</t>
  </si>
  <si>
    <t>(정부보조금)</t>
  </si>
  <si>
    <t>기계장치</t>
  </si>
  <si>
    <t>비유동자산</t>
  </si>
  <si>
    <t>당기법인세자산</t>
  </si>
  <si>
    <t>매출채권</t>
  </si>
  <si>
    <t>유동자산</t>
  </si>
  <si>
    <t>미수수익</t>
  </si>
  <si>
    <t>기타의유형자산</t>
  </si>
  <si>
    <t>건설중인자산</t>
  </si>
  <si>
    <t>선급부가세</t>
  </si>
  <si>
    <t>전로설비</t>
  </si>
  <si>
    <t>매도가능증권</t>
  </si>
  <si>
    <t>재고자산</t>
  </si>
  <si>
    <t>당좌자산</t>
  </si>
  <si>
    <t>단기대여금</t>
  </si>
  <si>
    <t>차량운반구</t>
  </si>
  <si>
    <t>유형자산</t>
  </si>
  <si>
    <t>장기대여금</t>
  </si>
  <si>
    <t>기타의당좌자산</t>
  </si>
  <si>
    <t>전동차량</t>
  </si>
  <si>
    <t>과     목</t>
  </si>
  <si>
    <t>장기금융상품</t>
  </si>
  <si>
    <t>제 4 기  2020년 1월 1일부터 2020년 12월 31일까지</t>
    <phoneticPr fontId="34" type="noConversion"/>
  </si>
  <si>
    <t>제 3 기  2019년 1월 1일부터 2019년 12월 31일까지</t>
    <phoneticPr fontId="34" type="noConversion"/>
  </si>
  <si>
    <t>자 본 변 동 표</t>
    <phoneticPr fontId="39" type="noConversion"/>
  </si>
  <si>
    <t>과     목</t>
  </si>
  <si>
    <t>자 본 금</t>
  </si>
  <si>
    <t>결 손 금</t>
  </si>
  <si>
    <t>총   계</t>
  </si>
  <si>
    <t>-</t>
    <phoneticPr fontId="39" type="noConversion"/>
  </si>
  <si>
    <t xml:space="preserve">  3. 매도가능증권평가이익</t>
    <phoneticPr fontId="39" type="noConversion"/>
  </si>
  <si>
    <t>제 4 기 : 2020년 1월 1일 부터 2020년 12월 31일까지</t>
    <phoneticPr fontId="39" type="noConversion"/>
  </si>
  <si>
    <t>제 3 기 : 2019년 1월 1일 부터 2019년 12월 31일까지</t>
    <phoneticPr fontId="39" type="noConversion"/>
  </si>
  <si>
    <t xml:space="preserve">  3. 매도가능증권평가이익</t>
  </si>
  <si>
    <t xml:space="preserve">  4. 당기순손실</t>
  </si>
  <si>
    <t xml:space="preserve">                 잔액</t>
  </si>
  <si>
    <t xml:space="preserve">                 차변</t>
    <phoneticPr fontId="39" type="noConversion"/>
  </si>
  <si>
    <t>계정과목</t>
  </si>
  <si>
    <t xml:space="preserve">                 대변</t>
    <phoneticPr fontId="39" type="noConversion"/>
  </si>
  <si>
    <t>　          현금</t>
  </si>
  <si>
    <t>　          당좌예금</t>
  </si>
  <si>
    <t>　          보통예금</t>
  </si>
  <si>
    <t>　          기업자유예금</t>
  </si>
  <si>
    <t>　          현금성자산</t>
  </si>
  <si>
    <t>　          수탁자산취득보조금</t>
  </si>
  <si>
    <t>　          단기투자자산</t>
  </si>
  <si>
    <t>　          외상매출금</t>
  </si>
  <si>
    <t>　        대손충당금</t>
  </si>
  <si>
    <t>　          단기대여금</t>
  </si>
  <si>
    <t>　          미수금</t>
  </si>
  <si>
    <t>　          미수수익</t>
  </si>
  <si>
    <t>　          선급비용</t>
  </si>
  <si>
    <t>　          가지급금</t>
  </si>
  <si>
    <t>　          선급지방세</t>
    <phoneticPr fontId="39" type="noConversion"/>
  </si>
  <si>
    <t>　          기타의당좌자산</t>
  </si>
  <si>
    <t>　          저장품</t>
  </si>
  <si>
    <t>　          미착품</t>
  </si>
  <si>
    <t>　          매도가능증권</t>
  </si>
  <si>
    <t>　          장기대여금</t>
  </si>
  <si>
    <t>　          지분법적용투자주식</t>
  </si>
  <si>
    <t>　          지자체보조금</t>
    <phoneticPr fontId="39" type="noConversion"/>
  </si>
  <si>
    <t>　          지자체/감가상각누계액</t>
    <phoneticPr fontId="39" type="noConversion"/>
  </si>
  <si>
    <t>　          전동차량</t>
  </si>
  <si>
    <t>　          차량운반구</t>
  </si>
  <si>
    <t>　          차지권</t>
  </si>
  <si>
    <t>　          소프트웨어</t>
  </si>
  <si>
    <t>　          장기미수금</t>
    <phoneticPr fontId="39" type="noConversion"/>
  </si>
  <si>
    <t>　         대손충당금</t>
    <phoneticPr fontId="39" type="noConversion"/>
  </si>
  <si>
    <t>　          보증금</t>
  </si>
  <si>
    <t>　          기타의비유동자산</t>
  </si>
  <si>
    <t>　          단기차입금/어음차입금</t>
  </si>
  <si>
    <t>　          단기차입금/당좌차월</t>
  </si>
  <si>
    <t>　          미지급금</t>
  </si>
  <si>
    <t>　          미지급비용</t>
  </si>
  <si>
    <t>　          유동성장기부채</t>
  </si>
  <si>
    <t>　          공채</t>
  </si>
  <si>
    <t>　          장기차입금</t>
  </si>
  <si>
    <t>　          장기미지급금</t>
  </si>
  <si>
    <t>　          현재가치할인차금</t>
  </si>
  <si>
    <t>　          퇴직급여충당부채</t>
  </si>
  <si>
    <t>　          기타의비유동부채</t>
  </si>
  <si>
    <t>　          자본금</t>
  </si>
  <si>
    <t>　          출자준비금</t>
  </si>
  <si>
    <t>　          매도가능증권평가차손익</t>
    <phoneticPr fontId="39" type="noConversion"/>
  </si>
  <si>
    <t>　          재평가잉여금</t>
    <phoneticPr fontId="39" type="noConversion"/>
  </si>
  <si>
    <t>　          미처분이익잉여금</t>
    <phoneticPr fontId="39" type="noConversion"/>
  </si>
  <si>
    <t>　          운수사업수익</t>
  </si>
  <si>
    <t>　          부대사업수익</t>
  </si>
  <si>
    <t>　          기타사업수익</t>
  </si>
  <si>
    <t>　          대행사업수익</t>
  </si>
  <si>
    <t>　매출원가</t>
    <phoneticPr fontId="39" type="noConversion"/>
  </si>
  <si>
    <t>　          급여</t>
  </si>
  <si>
    <t>　          성과급</t>
  </si>
  <si>
    <t>　          퇴직급여</t>
  </si>
  <si>
    <t>　          복리후생비</t>
  </si>
  <si>
    <t>　          여비교통비</t>
  </si>
  <si>
    <t>　          수도광열비</t>
  </si>
  <si>
    <t>　          공공요금 및 제세</t>
  </si>
  <si>
    <t>　          소모품비</t>
  </si>
  <si>
    <t>　          도서인쇄비</t>
  </si>
  <si>
    <t>　          임차료</t>
  </si>
  <si>
    <t>　          감가상각비</t>
  </si>
  <si>
    <t>　          무형자산상각비</t>
  </si>
  <si>
    <t>　          수선유지비</t>
  </si>
  <si>
    <t>　          차량유지비</t>
  </si>
  <si>
    <t>　          보험료</t>
  </si>
  <si>
    <t>　          지급수수료</t>
  </si>
  <si>
    <t>　          업무추진비</t>
  </si>
  <si>
    <t>　          교육훈련비</t>
  </si>
  <si>
    <t>　          피해보상비</t>
  </si>
  <si>
    <t>　          경상연구개발비</t>
  </si>
  <si>
    <t>　          재료비기타</t>
  </si>
  <si>
    <t>　          잡비</t>
  </si>
  <si>
    <t>　          비예산공사비</t>
  </si>
  <si>
    <t>　          자본투자비</t>
  </si>
  <si>
    <t>　  수탁사업원가</t>
    <phoneticPr fontId="39" type="noConversion"/>
  </si>
  <si>
    <t>　          지급수수료</t>
    <phoneticPr fontId="39" type="noConversion"/>
  </si>
  <si>
    <t>　          포상비</t>
  </si>
  <si>
    <t xml:space="preserve">   판매비와관리비</t>
    <phoneticPr fontId="39" type="noConversion"/>
  </si>
  <si>
    <t>　          광고선전비</t>
  </si>
  <si>
    <t>　          등기소송비</t>
  </si>
  <si>
    <t>　          대손상각비</t>
  </si>
  <si>
    <t>　         이자수익</t>
  </si>
  <si>
    <t>　         폐품매각수익</t>
  </si>
  <si>
    <t>　         수입위약배상금</t>
  </si>
  <si>
    <t>　         유형자산처분이익</t>
  </si>
  <si>
    <t>　         자산수증이익</t>
  </si>
  <si>
    <t>　         수입보조금</t>
  </si>
  <si>
    <t>　         지분법이익</t>
  </si>
  <si>
    <t>　         잡이익</t>
  </si>
  <si>
    <t>　         이자비용</t>
  </si>
  <si>
    <t>　         재고자산폐기손실</t>
  </si>
  <si>
    <t>　         기부금</t>
  </si>
  <si>
    <t>　         유형자산처분손실</t>
  </si>
  <si>
    <t>　         유형자산손상차손</t>
  </si>
  <si>
    <t>　         유형자산폐기손실</t>
  </si>
  <si>
    <t>　         무형자산손상차손</t>
  </si>
  <si>
    <t>　         기타의대손상각비</t>
  </si>
  <si>
    <t>　         지분법손실</t>
  </si>
  <si>
    <t>　         잡손실</t>
  </si>
  <si>
    <t>(지자체보조금)</t>
    <phoneticPr fontId="34" type="noConversion"/>
  </si>
  <si>
    <t>제 4 기말
(2020.12.31.)</t>
    <phoneticPr fontId="34" type="noConversion"/>
  </si>
  <si>
    <t>제 3 기말 2019년 12월 31일 현재</t>
    <phoneticPr fontId="34" type="noConversion"/>
  </si>
  <si>
    <t>제 3 기말
(2019.12.31.)</t>
    <phoneticPr fontId="34" type="noConversion"/>
  </si>
  <si>
    <t xml:space="preserve">  4. 지분법자본변동</t>
    <phoneticPr fontId="39" type="noConversion"/>
  </si>
  <si>
    <t xml:space="preserve">  5. 당기순손실</t>
    <phoneticPr fontId="39" type="noConversion"/>
  </si>
  <si>
    <t>지분법자본변동</t>
    <phoneticPr fontId="34" type="noConversion"/>
  </si>
  <si>
    <t xml:space="preserve">  전기오류수정</t>
    <phoneticPr fontId="34" type="noConversion"/>
  </si>
  <si>
    <t xml:space="preserve">  1. 현금출자</t>
    <phoneticPr fontId="34" type="noConversion"/>
  </si>
  <si>
    <t xml:space="preserve">  2. 현물출자</t>
    <phoneticPr fontId="34" type="noConversion"/>
  </si>
  <si>
    <t xml:space="preserve">  1. 현금출자</t>
    <phoneticPr fontId="39" type="noConversion"/>
  </si>
  <si>
    <t xml:space="preserve">  2. 토지재평가차익</t>
    <phoneticPr fontId="39" type="noConversion"/>
  </si>
  <si>
    <t>현 금 흐 름 표</t>
    <phoneticPr fontId="39" type="noConversion"/>
  </si>
  <si>
    <t>제 3 기 : 2019년 1월 1일 부터 2019년  12월 31일까지</t>
    <phoneticPr fontId="39" type="noConversion"/>
  </si>
  <si>
    <t>과                        목</t>
  </si>
  <si>
    <t>Ⅰ. 영업활동으로인한현금흐름</t>
  </si>
  <si>
    <t> 1. 당기순손실</t>
  </si>
  <si>
    <t> 2. 현금의유출이없는비용등의가산</t>
  </si>
  <si>
    <t xml:space="preserve">  가.퇴직급여</t>
    <phoneticPr fontId="39" type="noConversion"/>
  </si>
  <si>
    <t xml:space="preserve">  나.감가상각비</t>
    <phoneticPr fontId="39" type="noConversion"/>
  </si>
  <si>
    <t xml:space="preserve">  다.유형자산처분손실</t>
    <phoneticPr fontId="39" type="noConversion"/>
  </si>
  <si>
    <t xml:space="preserve">  라.무형자산상각비</t>
    <phoneticPr fontId="39" type="noConversion"/>
  </si>
  <si>
    <t xml:space="preserve">  마.대손상각비</t>
    <phoneticPr fontId="39" type="noConversion"/>
  </si>
  <si>
    <t xml:space="preserve">  바.이자비용</t>
    <phoneticPr fontId="39" type="noConversion"/>
  </si>
  <si>
    <t xml:space="preserve">  사.재고자산폐기손실</t>
    <phoneticPr fontId="39" type="noConversion"/>
  </si>
  <si>
    <t xml:space="preserve">  아.재고자산처분손실</t>
    <phoneticPr fontId="39" type="noConversion"/>
  </si>
  <si>
    <t xml:space="preserve">  자.유형자산손상차손</t>
    <phoneticPr fontId="39" type="noConversion"/>
  </si>
  <si>
    <t xml:space="preserve">  차.유형자산폐기손실</t>
    <phoneticPr fontId="39" type="noConversion"/>
  </si>
  <si>
    <t xml:space="preserve">  카.무형자산손상차손</t>
    <phoneticPr fontId="39" type="noConversion"/>
  </si>
  <si>
    <t xml:space="preserve">  타.투자자산처분손실</t>
    <phoneticPr fontId="39" type="noConversion"/>
  </si>
  <si>
    <t xml:space="preserve">  파.기타의대손상각비</t>
    <phoneticPr fontId="39" type="noConversion"/>
  </si>
  <si>
    <t xml:space="preserve">  하.지분법평가손실</t>
    <phoneticPr fontId="39" type="noConversion"/>
  </si>
  <si>
    <t>3. 현금의유입이없는수익등의차감</t>
  </si>
  <si>
    <t xml:space="preserve">  가.폐품매각수익</t>
    <phoneticPr fontId="39" type="noConversion"/>
  </si>
  <si>
    <t xml:space="preserve">  나.유형자산처분이익</t>
    <phoneticPr fontId="39" type="noConversion"/>
  </si>
  <si>
    <t xml:space="preserve">  라.자산수증이익</t>
    <phoneticPr fontId="39" type="noConversion"/>
  </si>
  <si>
    <t xml:space="preserve">  마.지분법평가이익</t>
    <phoneticPr fontId="39" type="noConversion"/>
  </si>
  <si>
    <t xml:space="preserve">  사.잡이익</t>
    <phoneticPr fontId="39" type="noConversion"/>
  </si>
  <si>
    <t>4. 영업활동으로인한자산부채의변동</t>
  </si>
  <si>
    <t>Ⅱ. 투자활동으로인한현금흐름</t>
  </si>
  <si>
    <t>1. 투자활동으로인한현금유입액</t>
  </si>
  <si>
    <t>2. 투자활동으로인한현금유출액</t>
  </si>
  <si>
    <t>   가.장기대여금의 증가</t>
  </si>
  <si>
    <t>Ⅲ. 재무활동으로인한현금흐름</t>
  </si>
  <si>
    <t> 1. 재무활동으로인한현금유입액</t>
  </si>
  <si>
    <t> 2. 재무활동으로인한현금유출액</t>
  </si>
  <si>
    <t>   가. 유동성장기부채의 상환</t>
  </si>
  <si>
    <t xml:space="preserve">   나. 기타비유동부채의 감소</t>
  </si>
  <si>
    <t xml:space="preserve">   다. 정부보조금의 상환</t>
  </si>
  <si>
    <t>Ⅳ. 현금의증가(Ⅰ+Ⅱ+Ⅲ)</t>
  </si>
  <si>
    <t>Ⅴ. 기초의현금</t>
  </si>
  <si>
    <t>Ⅵ. 기말의현금</t>
  </si>
  <si>
    <t xml:space="preserve">  가.매출채권의 감소(증가)</t>
    <phoneticPr fontId="34" type="noConversion"/>
  </si>
  <si>
    <t xml:space="preserve">  나.미수금의 증가</t>
    <phoneticPr fontId="34" type="noConversion"/>
  </si>
  <si>
    <t xml:space="preserve">  다.미수수익의 감소(증가)</t>
    <phoneticPr fontId="34" type="noConversion"/>
  </si>
  <si>
    <t xml:space="preserve">  라.선급금의 증가</t>
    <phoneticPr fontId="34" type="noConversion"/>
  </si>
  <si>
    <t xml:space="preserve">  마.선급비용의 감소</t>
    <phoneticPr fontId="34" type="noConversion"/>
  </si>
  <si>
    <t xml:space="preserve">  바.당기법인세자산의 감소(증가)</t>
    <phoneticPr fontId="34" type="noConversion"/>
  </si>
  <si>
    <t xml:space="preserve">  사.기타의당좌자산의 감소(증가)</t>
    <phoneticPr fontId="34" type="noConversion"/>
  </si>
  <si>
    <t xml:space="preserve">  아.재고자산의 감소</t>
    <phoneticPr fontId="34" type="noConversion"/>
  </si>
  <si>
    <t xml:space="preserve">  자.보증금의 증가</t>
    <phoneticPr fontId="34" type="noConversion"/>
  </si>
  <si>
    <t xml:space="preserve">  차.미지급금의 증가(감소)</t>
    <phoneticPr fontId="34" type="noConversion"/>
  </si>
  <si>
    <t xml:space="preserve">  카.선수금의 증가(감소)</t>
    <phoneticPr fontId="34" type="noConversion"/>
  </si>
  <si>
    <t xml:space="preserve">  타.예수금의 증가</t>
    <phoneticPr fontId="34" type="noConversion"/>
  </si>
  <si>
    <t xml:space="preserve">  파.미지급비용의 증가(감소)</t>
    <phoneticPr fontId="34" type="noConversion"/>
  </si>
  <si>
    <t xml:space="preserve">  하.부가세예수금의 증가</t>
    <phoneticPr fontId="34" type="noConversion"/>
  </si>
  <si>
    <t xml:space="preserve">  거.선수수익의 감소</t>
    <phoneticPr fontId="34" type="noConversion"/>
  </si>
  <si>
    <t xml:space="preserve">  너.소송충당부채의 증가</t>
    <phoneticPr fontId="34" type="noConversion"/>
  </si>
  <si>
    <t xml:space="preserve">  더.예수보증금의 증가(감소)</t>
    <phoneticPr fontId="34" type="noConversion"/>
  </si>
  <si>
    <t xml:space="preserve">  러.기타유동부채의 증가(감소)</t>
    <phoneticPr fontId="34" type="noConversion"/>
  </si>
  <si>
    <t xml:space="preserve">  머.장기미지급금의 감소</t>
    <phoneticPr fontId="34" type="noConversion"/>
  </si>
  <si>
    <t xml:space="preserve">  버.장기미지급비용의 증가(감소)</t>
    <phoneticPr fontId="34" type="noConversion"/>
  </si>
  <si>
    <t xml:space="preserve">    서.퇴직금의 지급</t>
    <phoneticPr fontId="34" type="noConversion"/>
  </si>
  <si>
    <t xml:space="preserve">  어.국민연금전환금의 감소</t>
    <phoneticPr fontId="34" type="noConversion"/>
  </si>
  <si>
    <t xml:space="preserve">  저.기타비유동부채의 감소</t>
    <phoneticPr fontId="34" type="noConversion"/>
  </si>
  <si>
    <t xml:space="preserve">  가.단기대여금의 감소</t>
    <phoneticPr fontId="34" type="noConversion"/>
  </si>
  <si>
    <t xml:space="preserve">  나.장기대여금의 감소</t>
    <phoneticPr fontId="34" type="noConversion"/>
  </si>
  <si>
    <t xml:space="preserve">  다.지분법적용투자주식의 처분</t>
    <phoneticPr fontId="34" type="noConversion"/>
  </si>
  <si>
    <t xml:space="preserve">  라.토지의 처분</t>
    <phoneticPr fontId="34" type="noConversion"/>
  </si>
  <si>
    <t xml:space="preserve">  마.보증금의 감소</t>
    <phoneticPr fontId="34" type="noConversion"/>
  </si>
  <si>
    <t xml:space="preserve">    바.기타의비유동자산의 감소</t>
    <phoneticPr fontId="34" type="noConversion"/>
  </si>
  <si>
    <t>   나.토지의 취득</t>
  </si>
  <si>
    <t>   다.건물의 취득</t>
  </si>
  <si>
    <t>   라.선로설비의 취득</t>
  </si>
  <si>
    <t>   마.전로설비의 취득</t>
  </si>
  <si>
    <t>   바.기계장치의 취득</t>
  </si>
  <si>
    <t>   사.전동차량의 취득</t>
  </si>
  <si>
    <t>   아.차량운반구의 취득</t>
  </si>
  <si>
    <t>   자.공기구비품의 취득</t>
  </si>
  <si>
    <t>   차.기타의유형자산의 취득</t>
  </si>
  <si>
    <t>   카.건설중인자산의 증가</t>
  </si>
  <si>
    <t xml:space="preserve">   타.유형수탁자산의 취득</t>
  </si>
  <si>
    <t xml:space="preserve">   파.무형수탁자산의 취득</t>
  </si>
  <si>
    <t>   하. 보증금의 증가</t>
    <phoneticPr fontId="34" type="noConversion"/>
  </si>
  <si>
    <t xml:space="preserve">   가.단기차입금의 차입</t>
  </si>
  <si>
    <t>   나.공채의 발행</t>
  </si>
  <si>
    <t>   다.사채의 발행</t>
  </si>
  <si>
    <t>   라.장기차입금의 차입</t>
  </si>
  <si>
    <t>   마.유동성장기부채의 차입</t>
  </si>
  <si>
    <t>   바.기타비유동부채의 증가</t>
  </si>
  <si>
    <t>   사.자본금의 증가</t>
  </si>
  <si>
    <t>   아.정부보조금의 수령</t>
  </si>
  <si>
    <t>   자.지자체보조금의 수령</t>
  </si>
  <si>
    <t xml:space="preserve">   차.수탁자산취득보조금의 수령</t>
  </si>
  <si>
    <t>   가. 단기차입금의 상환</t>
  </si>
  <si>
    <t xml:space="preserve">   라. 수탁자산취득보조금의 상환</t>
  </si>
  <si>
    <t>제 4 기 : 2020년 1월 1일 부터 2020년  12월 31일까지</t>
    <phoneticPr fontId="39" type="noConversion"/>
  </si>
  <si>
    <t>제 4 기</t>
    <phoneticPr fontId="39" type="noConversion"/>
  </si>
  <si>
    <t>제 3 기</t>
    <phoneticPr fontId="34" type="noConversion"/>
  </si>
  <si>
    <t>합 계 잔 액 시 산 표</t>
    <phoneticPr fontId="34" type="noConversion"/>
  </si>
  <si>
    <t>서울교통공사</t>
    <phoneticPr fontId="34" type="noConversion"/>
  </si>
  <si>
    <t>(단위:원)</t>
    <phoneticPr fontId="34" type="noConversion"/>
  </si>
  <si>
    <t>　          소송충당부채</t>
    <phoneticPr fontId="34" type="noConversion"/>
  </si>
  <si>
    <t>　          기타의유동부채</t>
    <phoneticPr fontId="34" type="noConversion"/>
  </si>
  <si>
    <t>　          이연법인세부채</t>
    <phoneticPr fontId="34" type="noConversion"/>
  </si>
  <si>
    <t>　          지분법자본변동</t>
    <phoneticPr fontId="39" type="noConversion"/>
  </si>
  <si>
    <t>2019.01.01(전기초)(수정전)</t>
    <phoneticPr fontId="34" type="noConversion"/>
  </si>
  <si>
    <t>2019.01.01(전기초)(수정후)</t>
    <phoneticPr fontId="34" type="noConversion"/>
  </si>
  <si>
    <t>2019.12.31.(전기말)</t>
    <phoneticPr fontId="34" type="noConversion"/>
  </si>
  <si>
    <t>2020.01.01(당기초)</t>
    <phoneticPr fontId="39" type="noConversion"/>
  </si>
  <si>
    <t>2020.12.31.(당기말)</t>
    <phoneticPr fontId="39" type="noConversion"/>
  </si>
  <si>
    <t xml:space="preserve">  처.배당금의 수령</t>
    <phoneticPr fontId="34" type="noConversion"/>
  </si>
  <si>
    <t xml:space="preserve">    사.정부보조금의 수령</t>
    <phoneticPr fontId="34" type="noConversion"/>
  </si>
  <si>
    <t xml:space="preserve">    아.지자체보조금의 수령</t>
    <phoneticPr fontId="34" type="noConversion"/>
  </si>
  <si>
    <t xml:space="preserve">    자.수탁자산취득보조금의 수령</t>
    <phoneticPr fontId="34" type="noConversion"/>
  </si>
  <si>
    <t>   거.수탁자산취득보조금의 상환</t>
    <phoneticPr fontId="34" type="noConversion"/>
  </si>
  <si>
    <t>제 4 기말 2020년 12월 31일 현재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</si>
</sst>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_);[Red]\(#,##0\)"/>
    <numFmt numFmtId="177" formatCode="0.0%"/>
    <numFmt numFmtId="178" formatCode="#,##0_);\(#,##0\)"/>
    <numFmt numFmtId="179" formatCode="###,###\ ;\(###,###\)\ ;\-\ "/>
    <numFmt numFmtId="180" formatCode="#,##0\ ;\(#,##0\)"/>
    <numFmt numFmtId="183" formatCode="0_);[Red]\(0\)"/>
    <numFmt numFmtId="184" formatCode="#,##0_ "/>
  </numFmts>
  <fonts count="5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44546A"/>
      <name val="맑은 고딕"/>
      <family val="3"/>
      <charset val="129"/>
    </font>
    <font>
      <b/>
      <sz val="15"/>
      <color rgb="FF44546A"/>
      <name val="맑은 고딕"/>
      <family val="3"/>
      <charset val="129"/>
    </font>
    <font>
      <b/>
      <sz val="13"/>
      <color rgb="FF44546A"/>
      <name val="맑은 고딕"/>
      <family val="3"/>
      <charset val="129"/>
    </font>
    <font>
      <b/>
      <sz val="11"/>
      <color rgb="FF44546A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0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5"/>
      <color rgb="FFFF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5"/>
      <name val="맑은 고딕"/>
      <family val="3"/>
      <charset val="129"/>
      <scheme val="minor"/>
    </font>
    <font>
      <b/>
      <sz val="15"/>
      <name val="맑은 고딕"/>
      <family val="3"/>
      <charset val="129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BED7EE"/>
      </patternFill>
    </fill>
    <fill>
      <patternFill patternType="solid">
        <fgColor rgb="FF9CC3E6"/>
      </patternFill>
    </fill>
    <fill>
      <patternFill patternType="solid">
        <fgColor rgb="FFED7D31"/>
      </patternFill>
    </fill>
    <fill>
      <patternFill patternType="solid">
        <fgColor rgb="FFFBE5D7"/>
      </patternFill>
    </fill>
    <fill>
      <patternFill patternType="solid">
        <fgColor rgb="FFF8CBAC"/>
      </patternFill>
    </fill>
    <fill>
      <patternFill patternType="solid">
        <fgColor rgb="FFF4B184"/>
      </patternFill>
    </fill>
    <fill>
      <patternFill patternType="solid">
        <fgColor rgb="FFEDEDED"/>
      </patternFill>
    </fill>
    <fill>
      <patternFill patternType="solid">
        <fgColor rgb="FFDBDBDB"/>
      </patternFill>
    </fill>
    <fill>
      <patternFill patternType="solid">
        <fgColor rgb="FFC9C9C9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4472C4"/>
      </patternFill>
    </fill>
    <fill>
      <patternFill patternType="solid">
        <fgColor rgb="FFDAE3F3"/>
      </patternFill>
    </fill>
    <fill>
      <patternFill patternType="solid">
        <fgColor rgb="FFB4C6E7"/>
      </patternFill>
    </fill>
    <fill>
      <patternFill patternType="solid">
        <fgColor rgb="FF8FABDB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C6E0B3"/>
      </patternFill>
    </fill>
    <fill>
      <patternFill patternType="solid">
        <fgColor rgb="FFA8D08F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 diagonalUp="1" diagonalDown="1">
      <left/>
      <right/>
      <top/>
      <bottom style="thick">
        <color rgb="FF5B9BD5"/>
      </bottom>
      <diagonal/>
    </border>
    <border diagonalUp="1" diagonalDown="1">
      <left/>
      <right/>
      <top/>
      <bottom style="thick">
        <color rgb="FFADCDEA"/>
      </bottom>
      <diagonal/>
    </border>
    <border diagonalUp="1" diagonalDown="1">
      <left/>
      <right/>
      <top/>
      <bottom style="medium">
        <color rgb="FF9CC3E6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5B9BD5"/>
      </top>
      <bottom style="double">
        <color rgb="FF5B9BD5"/>
      </bottom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 style="medium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medium">
        <color indexed="64"/>
      </right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 diagonalUp="1" diagonalDown="1">
      <left/>
      <right/>
      <top/>
      <bottom/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55">
    <xf numFmtId="0" fontId="0" fillId="0" borderId="0">
      <alignment vertical="center"/>
    </xf>
    <xf numFmtId="41" fontId="33" fillId="0" borderId="0">
      <alignment vertical="center"/>
    </xf>
    <xf numFmtId="0" fontId="5" fillId="0" borderId="0"/>
    <xf numFmtId="41" fontId="5" fillId="0" borderId="0"/>
    <xf numFmtId="0" fontId="6" fillId="0" borderId="0">
      <alignment vertical="center"/>
    </xf>
    <xf numFmtId="0" fontId="7" fillId="0" borderId="1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2" borderId="0">
      <alignment vertical="center"/>
    </xf>
    <xf numFmtId="0" fontId="11" fillId="3" borderId="0">
      <alignment vertical="center"/>
    </xf>
    <xf numFmtId="0" fontId="12" fillId="4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0" borderId="6">
      <alignment vertical="center"/>
    </xf>
    <xf numFmtId="0" fontId="17" fillId="7" borderId="7">
      <alignment vertical="center"/>
    </xf>
    <xf numFmtId="0" fontId="18" fillId="0" borderId="0">
      <alignment vertical="center"/>
    </xf>
    <xf numFmtId="0" fontId="33" fillId="8" borderId="8">
      <alignment vertical="center"/>
    </xf>
    <xf numFmtId="0" fontId="19" fillId="0" borderId="0">
      <alignment vertical="center"/>
    </xf>
    <xf numFmtId="0" fontId="20" fillId="0" borderId="9">
      <alignment vertical="center"/>
    </xf>
    <xf numFmtId="0" fontId="21" fillId="9" borderId="0">
      <alignment vertical="center"/>
    </xf>
    <xf numFmtId="0" fontId="33" fillId="10" borderId="0">
      <alignment vertical="center"/>
    </xf>
    <xf numFmtId="0" fontId="33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21" fillId="16" borderId="0">
      <alignment vertical="center"/>
    </xf>
    <xf numFmtId="0" fontId="21" fillId="7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21" fillId="31" borderId="0">
      <alignment vertical="center"/>
    </xf>
    <xf numFmtId="0" fontId="22" fillId="0" borderId="0"/>
    <xf numFmtId="0" fontId="22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5" fillId="0" borderId="0"/>
    <xf numFmtId="41" fontId="35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6">
    <xf numFmtId="0" fontId="0" fillId="0" borderId="0" xfId="0" applyNumberFormat="1">
      <alignment vertical="center"/>
    </xf>
    <xf numFmtId="0" fontId="23" fillId="0" borderId="0" xfId="2" applyNumberFormat="1" applyFont="1" applyBorder="1" applyAlignment="1">
      <alignment vertical="center" shrinkToFit="1"/>
    </xf>
    <xf numFmtId="38" fontId="23" fillId="0" borderId="0" xfId="2" applyNumberFormat="1" applyFont="1" applyBorder="1" applyAlignment="1">
      <alignment vertical="center" shrinkToFit="1"/>
    </xf>
    <xf numFmtId="41" fontId="23" fillId="0" borderId="0" xfId="3" applyNumberFormat="1" applyFont="1" applyBorder="1" applyAlignment="1">
      <alignment horizontal="right" vertical="center" shrinkToFit="1"/>
    </xf>
    <xf numFmtId="1" fontId="24" fillId="33" borderId="11" xfId="2" applyNumberFormat="1" applyFont="1" applyFill="1" applyBorder="1" applyAlignment="1">
      <alignment horizontal="center" vertical="center" shrinkToFit="1"/>
    </xf>
    <xf numFmtId="1" fontId="25" fillId="33" borderId="12" xfId="2" applyNumberFormat="1" applyFont="1" applyFill="1" applyBorder="1" applyAlignment="1">
      <alignment horizontal="center" vertical="center" shrinkToFit="1"/>
    </xf>
    <xf numFmtId="0" fontId="25" fillId="34" borderId="13" xfId="2" applyNumberFormat="1" applyFont="1" applyFill="1" applyBorder="1" applyAlignment="1">
      <alignment horizontal="center" vertical="center" shrinkToFit="1"/>
    </xf>
    <xf numFmtId="0" fontId="25" fillId="34" borderId="0" xfId="2" applyNumberFormat="1" applyFont="1" applyFill="1" applyBorder="1" applyAlignment="1">
      <alignment vertical="center" shrinkToFit="1"/>
    </xf>
    <xf numFmtId="41" fontId="25" fillId="34" borderId="14" xfId="1" applyNumberFormat="1" applyFont="1" applyFill="1" applyBorder="1" applyAlignment="1">
      <alignment horizontal="right" vertical="center"/>
    </xf>
    <xf numFmtId="41" fontId="25" fillId="34" borderId="15" xfId="1" applyNumberFormat="1" applyFont="1" applyFill="1" applyBorder="1" applyAlignment="1">
      <alignment horizontal="right" vertical="center"/>
    </xf>
    <xf numFmtId="49" fontId="24" fillId="34" borderId="13" xfId="2" applyNumberFormat="1" applyFont="1" applyFill="1" applyBorder="1" applyAlignment="1">
      <alignment horizontal="center" vertical="center" shrinkToFit="1"/>
    </xf>
    <xf numFmtId="49" fontId="24" fillId="34" borderId="0" xfId="2" applyNumberFormat="1" applyFont="1" applyFill="1" applyBorder="1" applyAlignment="1">
      <alignment horizontal="center" vertical="center" shrinkToFit="1"/>
    </xf>
    <xf numFmtId="1" fontId="24" fillId="34" borderId="0" xfId="2" applyNumberFormat="1" applyFont="1" applyFill="1" applyBorder="1" applyAlignment="1">
      <alignment vertical="center" shrinkToFit="1"/>
    </xf>
    <xf numFmtId="41" fontId="24" fillId="34" borderId="14" xfId="1" applyNumberFormat="1" applyFont="1" applyFill="1" applyBorder="1" applyAlignment="1">
      <alignment horizontal="right" vertical="center"/>
    </xf>
    <xf numFmtId="41" fontId="24" fillId="34" borderId="15" xfId="1" applyNumberFormat="1" applyFont="1" applyFill="1" applyBorder="1" applyAlignment="1">
      <alignment horizontal="right" vertical="center"/>
    </xf>
    <xf numFmtId="0" fontId="24" fillId="34" borderId="13" xfId="2" applyNumberFormat="1" applyFont="1" applyFill="1" applyBorder="1" applyAlignment="1">
      <alignment horizontal="center" vertical="center" shrinkToFit="1"/>
    </xf>
    <xf numFmtId="0" fontId="24" fillId="34" borderId="0" xfId="0" applyNumberFormat="1" applyFont="1" applyFill="1" applyBorder="1" applyAlignment="1">
      <alignment horizontal="center" vertical="center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1" fontId="24" fillId="34" borderId="16" xfId="1" applyNumberFormat="1" applyFont="1" applyFill="1" applyBorder="1" applyAlignment="1">
      <alignment horizontal="right" vertical="center" shrinkToFit="1"/>
    </xf>
    <xf numFmtId="0" fontId="24" fillId="34" borderId="0" xfId="2" applyNumberFormat="1" applyFont="1" applyFill="1" applyBorder="1" applyAlignment="1">
      <alignment vertical="center" shrinkToFit="1"/>
    </xf>
    <xf numFmtId="41" fontId="24" fillId="34" borderId="16" xfId="1" applyNumberFormat="1" applyFont="1" applyFill="1" applyBorder="1" applyAlignment="1">
      <alignment horizontal="right" vertical="center"/>
    </xf>
    <xf numFmtId="176" fontId="25" fillId="34" borderId="15" xfId="1" applyNumberFormat="1" applyFont="1" applyFill="1" applyBorder="1" applyAlignment="1">
      <alignment horizontal="right" vertical="center"/>
    </xf>
    <xf numFmtId="41" fontId="24" fillId="0" borderId="14" xfId="1" applyNumberFormat="1" applyFont="1" applyFill="1" applyBorder="1" applyAlignment="1">
      <alignment horizontal="right" vertical="center"/>
    </xf>
    <xf numFmtId="41" fontId="24" fillId="34" borderId="14" xfId="1" applyNumberFormat="1" applyFont="1" applyFill="1" applyBorder="1" applyAlignment="1">
      <alignment horizontal="right" vertical="center"/>
    </xf>
    <xf numFmtId="0" fontId="25" fillId="34" borderId="17" xfId="2" applyNumberFormat="1" applyFont="1" applyFill="1" applyBorder="1" applyAlignment="1">
      <alignment horizontal="center" vertical="center" shrinkToFit="1"/>
    </xf>
    <xf numFmtId="0" fontId="25" fillId="34" borderId="18" xfId="2" applyNumberFormat="1" applyFont="1" applyFill="1" applyBorder="1" applyAlignment="1">
      <alignment vertical="center" shrinkToFit="1"/>
    </xf>
    <xf numFmtId="41" fontId="25" fillId="34" borderId="19" xfId="1" applyNumberFormat="1" applyFont="1" applyFill="1" applyBorder="1" applyAlignment="1">
      <alignment horizontal="right" vertical="center"/>
    </xf>
    <xf numFmtId="176" fontId="25" fillId="34" borderId="20" xfId="1" applyNumberFormat="1" applyFont="1" applyFill="1" applyBorder="1" applyAlignment="1">
      <alignment horizontal="right" vertical="center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1" fontId="25" fillId="33" borderId="12" xfId="2" applyNumberFormat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0" fontId="27" fillId="0" borderId="0" xfId="0" applyNumberFormat="1" applyFont="1">
      <alignment vertical="center"/>
    </xf>
    <xf numFmtId="0" fontId="27" fillId="0" borderId="0" xfId="0" applyNumberFormat="1" applyFont="1" applyAlignment="1">
      <alignment horizontal="center" vertical="center"/>
    </xf>
    <xf numFmtId="0" fontId="5" fillId="0" borderId="0" xfId="2" applyNumberFormat="1"/>
    <xf numFmtId="0" fontId="28" fillId="0" borderId="0" xfId="2" applyNumberFormat="1" applyFont="1"/>
    <xf numFmtId="0" fontId="28" fillId="0" borderId="0" xfId="2" applyNumberFormat="1" applyFont="1" applyAlignment="1">
      <alignment horizontal="center"/>
    </xf>
    <xf numFmtId="0" fontId="28" fillId="0" borderId="0" xfId="2" applyNumberFormat="1" applyFont="1" applyAlignment="1">
      <alignment vertical="center" shrinkToFit="1"/>
    </xf>
    <xf numFmtId="178" fontId="5" fillId="0" borderId="0" xfId="2" applyNumberFormat="1"/>
    <xf numFmtId="179" fontId="28" fillId="0" borderId="0" xfId="2" applyNumberFormat="1" applyFont="1" applyAlignment="1">
      <alignment vertical="center" shrinkToFit="1"/>
    </xf>
    <xf numFmtId="41" fontId="29" fillId="0" borderId="0" xfId="3" applyNumberFormat="1" applyFont="1" applyFill="1" applyBorder="1" applyAlignment="1">
      <alignment vertical="center" shrinkToFit="1"/>
    </xf>
    <xf numFmtId="0" fontId="29" fillId="0" borderId="0" xfId="2" applyNumberFormat="1" applyFont="1" applyFill="1" applyAlignment="1">
      <alignment vertical="center" shrinkToFit="1"/>
    </xf>
    <xf numFmtId="38" fontId="29" fillId="0" borderId="0" xfId="2" applyNumberFormat="1" applyFont="1" applyFill="1" applyAlignment="1">
      <alignment vertical="center" shrinkToFit="1"/>
    </xf>
    <xf numFmtId="3" fontId="28" fillId="0" borderId="0" xfId="2" applyNumberFormat="1" applyFont="1" applyFill="1" applyAlignment="1">
      <alignment vertical="center" shrinkToFit="1"/>
    </xf>
    <xf numFmtId="0" fontId="28" fillId="0" borderId="0" xfId="2" applyNumberFormat="1" applyFont="1" applyFill="1" applyAlignment="1">
      <alignment horizontal="center" vertical="center" shrinkToFit="1"/>
    </xf>
    <xf numFmtId="0" fontId="28" fillId="0" borderId="0" xfId="2" applyNumberFormat="1" applyFont="1" applyFill="1" applyAlignment="1">
      <alignment vertical="center" shrinkToFit="1"/>
    </xf>
    <xf numFmtId="0" fontId="28" fillId="0" borderId="0" xfId="2" applyNumberFormat="1" applyFont="1" applyFill="1" applyAlignment="1">
      <alignment horizontal="right" vertical="center" shrinkToFit="1"/>
    </xf>
    <xf numFmtId="178" fontId="25" fillId="34" borderId="23" xfId="3" applyNumberFormat="1" applyFont="1" applyFill="1" applyBorder="1" applyAlignment="1">
      <alignment horizontal="right" vertical="center"/>
    </xf>
    <xf numFmtId="178" fontId="25" fillId="34" borderId="19" xfId="2" applyNumberFormat="1" applyFont="1" applyFill="1" applyBorder="1" applyAlignment="1">
      <alignment horizontal="right" vertical="center"/>
    </xf>
    <xf numFmtId="1" fontId="25" fillId="34" borderId="18" xfId="2" applyNumberFormat="1" applyFont="1" applyFill="1" applyBorder="1" applyAlignment="1">
      <alignment horizontal="center" vertical="center" shrinkToFit="1"/>
    </xf>
    <xf numFmtId="1" fontId="25" fillId="34" borderId="17" xfId="2" applyNumberFormat="1" applyFont="1" applyFill="1" applyBorder="1" applyAlignment="1">
      <alignment horizontal="right" vertical="center" shrinkToFit="1"/>
    </xf>
    <xf numFmtId="178" fontId="25" fillId="34" borderId="24" xfId="3" applyNumberFormat="1" applyFont="1" applyFill="1" applyBorder="1" applyAlignment="1">
      <alignment horizontal="right" vertical="center"/>
    </xf>
    <xf numFmtId="178" fontId="25" fillId="34" borderId="14" xfId="2" applyNumberFormat="1" applyFont="1" applyFill="1" applyBorder="1" applyAlignment="1">
      <alignment horizontal="right" vertical="center"/>
    </xf>
    <xf numFmtId="1" fontId="25" fillId="34" borderId="0" xfId="2" applyNumberFormat="1" applyFont="1" applyFill="1" applyBorder="1" applyAlignment="1">
      <alignment horizontal="center" vertical="center" shrinkToFit="1"/>
    </xf>
    <xf numFmtId="1" fontId="25" fillId="34" borderId="13" xfId="2" applyNumberFormat="1" applyFont="1" applyFill="1" applyBorder="1" applyAlignment="1">
      <alignment horizontal="right" vertical="center" shrinkToFit="1"/>
    </xf>
    <xf numFmtId="178" fontId="30" fillId="34" borderId="15" xfId="3" applyNumberFormat="1" applyFont="1" applyFill="1" applyBorder="1" applyAlignment="1">
      <alignment horizontal="right" vertical="center"/>
    </xf>
    <xf numFmtId="178" fontId="30" fillId="34" borderId="14" xfId="3" applyNumberFormat="1" applyFont="1" applyFill="1" applyBorder="1" applyAlignment="1">
      <alignment horizontal="right" vertical="center"/>
    </xf>
    <xf numFmtId="49" fontId="24" fillId="34" borderId="0" xfId="2" applyNumberFormat="1" applyFont="1" applyFill="1" applyBorder="1" applyAlignment="1">
      <alignment horizontal="distributed" vertical="distributed" shrinkToFit="1"/>
    </xf>
    <xf numFmtId="0" fontId="24" fillId="34" borderId="0" xfId="0" applyNumberFormat="1" applyFont="1" applyFill="1" applyBorder="1">
      <alignment vertical="center"/>
    </xf>
    <xf numFmtId="49" fontId="24" fillId="34" borderId="13" xfId="2" applyNumberFormat="1" applyFont="1" applyFill="1" applyBorder="1" applyAlignment="1">
      <alignment vertical="center" shrinkToFit="1"/>
    </xf>
    <xf numFmtId="178" fontId="30" fillId="34" borderId="15" xfId="3" applyNumberFormat="1" applyFont="1" applyFill="1" applyBorder="1" applyAlignment="1">
      <alignment horizontal="right" vertical="center" shrinkToFit="1"/>
    </xf>
    <xf numFmtId="178" fontId="30" fillId="34" borderId="14" xfId="2" applyNumberFormat="1" applyFont="1" applyFill="1" applyBorder="1" applyAlignment="1">
      <alignment horizontal="right" vertical="center"/>
    </xf>
    <xf numFmtId="0" fontId="24" fillId="34" borderId="13" xfId="2" applyNumberFormat="1" applyFont="1" applyFill="1" applyBorder="1" applyAlignment="1">
      <alignment horizontal="right" vertical="center" shrinkToFit="1"/>
    </xf>
    <xf numFmtId="178" fontId="24" fillId="34" borderId="14" xfId="3" applyNumberFormat="1" applyFont="1" applyFill="1" applyBorder="1" applyAlignment="1">
      <alignment horizontal="right" vertical="center"/>
    </xf>
    <xf numFmtId="178" fontId="24" fillId="34" borderId="15" xfId="3" applyNumberFormat="1" applyFont="1" applyFill="1" applyBorder="1" applyAlignment="1">
      <alignment horizontal="right" vertical="center"/>
    </xf>
    <xf numFmtId="178" fontId="24" fillId="34" borderId="14" xfId="2" applyNumberFormat="1" applyFont="1" applyFill="1" applyBorder="1" applyAlignment="1">
      <alignment horizontal="right" vertical="center"/>
    </xf>
    <xf numFmtId="1" fontId="24" fillId="34" borderId="0" xfId="2" applyNumberFormat="1" applyFont="1" applyFill="1" applyBorder="1" applyAlignment="1">
      <alignment horizontal="center" vertical="center" shrinkToFit="1"/>
    </xf>
    <xf numFmtId="178" fontId="24" fillId="34" borderId="16" xfId="2" applyNumberFormat="1" applyFont="1" applyFill="1" applyBorder="1" applyAlignment="1">
      <alignment horizontal="right" vertical="center" shrinkToFit="1"/>
    </xf>
    <xf numFmtId="178" fontId="24" fillId="34" borderId="14" xfId="1" applyNumberFormat="1" applyFont="1" applyFill="1" applyBorder="1" applyAlignment="1">
      <alignment horizontal="right" vertical="center"/>
    </xf>
    <xf numFmtId="178" fontId="24" fillId="34" borderId="16" xfId="2" applyNumberFormat="1" applyFont="1" applyFill="1" applyBorder="1" applyAlignment="1">
      <alignment horizontal="right" vertical="center"/>
    </xf>
    <xf numFmtId="178" fontId="30" fillId="34" borderId="16" xfId="2" applyNumberFormat="1" applyFont="1" applyFill="1" applyBorder="1" applyAlignment="1">
      <alignment horizontal="right" vertical="center"/>
    </xf>
    <xf numFmtId="178" fontId="30" fillId="34" borderId="15" xfId="2" applyNumberFormat="1" applyFont="1" applyFill="1" applyBorder="1" applyAlignment="1">
      <alignment horizontal="right" vertical="center"/>
    </xf>
    <xf numFmtId="49" fontId="24" fillId="34" borderId="13" xfId="2" applyNumberFormat="1" applyFont="1" applyFill="1" applyBorder="1" applyAlignment="1">
      <alignment horizontal="right" vertical="center" shrinkToFit="1"/>
    </xf>
    <xf numFmtId="178" fontId="24" fillId="34" borderId="15" xfId="2" applyNumberFormat="1" applyFont="1" applyFill="1" applyBorder="1" applyAlignment="1">
      <alignment horizontal="right" vertical="center"/>
    </xf>
    <xf numFmtId="49" fontId="0" fillId="34" borderId="0" xfId="2" applyNumberFormat="1" applyFont="1" applyFill="1" applyBorder="1" applyAlignment="1">
      <alignment horizontal="distributed" vertical="center" wrapText="1" shrinkToFit="1"/>
    </xf>
    <xf numFmtId="49" fontId="24" fillId="34" borderId="0" xfId="2" applyNumberFormat="1" applyFont="1" applyFill="1" applyBorder="1" applyAlignment="1">
      <alignment vertical="center" shrinkToFit="1"/>
    </xf>
    <xf numFmtId="178" fontId="30" fillId="34" borderId="14" xfId="1" applyNumberFormat="1" applyFont="1" applyFill="1" applyBorder="1" applyAlignment="1">
      <alignment horizontal="right" vertical="center"/>
    </xf>
    <xf numFmtId="180" fontId="24" fillId="34" borderId="0" xfId="3" applyNumberFormat="1" applyFont="1" applyFill="1" applyBorder="1" applyAlignment="1">
      <alignment horizontal="right" vertical="center"/>
    </xf>
    <xf numFmtId="178" fontId="24" fillId="34" borderId="15" xfId="1" applyNumberFormat="1" applyFont="1" applyFill="1" applyBorder="1" applyAlignment="1">
      <alignment horizontal="right" vertical="center"/>
    </xf>
    <xf numFmtId="179" fontId="24" fillId="34" borderId="0" xfId="2" applyNumberFormat="1" applyFont="1" applyFill="1" applyBorder="1" applyAlignment="1">
      <alignment horizontal="right" vertical="center"/>
    </xf>
    <xf numFmtId="180" fontId="30" fillId="34" borderId="0" xfId="3" applyNumberFormat="1" applyFont="1" applyFill="1" applyBorder="1" applyAlignment="1">
      <alignment horizontal="right" vertical="center"/>
    </xf>
    <xf numFmtId="49" fontId="24" fillId="34" borderId="0" xfId="2" applyNumberFormat="1" applyFont="1" applyFill="1" applyBorder="1" applyAlignment="1">
      <alignment horizontal="right" vertical="center" shrinkToFit="1"/>
    </xf>
    <xf numFmtId="180" fontId="30" fillId="34" borderId="16" xfId="3" applyNumberFormat="1" applyFont="1" applyFill="1" applyBorder="1" applyAlignment="1">
      <alignment horizontal="right" vertical="center"/>
    </xf>
    <xf numFmtId="178" fontId="24" fillId="34" borderId="16" xfId="3" applyNumberFormat="1" applyFont="1" applyFill="1" applyBorder="1" applyAlignment="1">
      <alignment horizontal="right" vertical="center"/>
    </xf>
    <xf numFmtId="178" fontId="30" fillId="34" borderId="16" xfId="2" applyNumberFormat="1" applyFont="1" applyFill="1" applyBorder="1" applyAlignment="1">
      <alignment horizontal="right" vertical="center" shrinkToFit="1"/>
    </xf>
    <xf numFmtId="1" fontId="24" fillId="33" borderId="11" xfId="2" applyNumberFormat="1" applyFont="1" applyFill="1" applyBorder="1" applyAlignment="1">
      <alignment horizontal="right" vertical="center" shrinkToFit="1"/>
    </xf>
    <xf numFmtId="41" fontId="23" fillId="0" borderId="18" xfId="3" applyNumberFormat="1" applyFont="1" applyBorder="1" applyAlignment="1">
      <alignment horizontal="right" vertical="center" shrinkToFit="1"/>
    </xf>
    <xf numFmtId="38" fontId="23" fillId="0" borderId="18" xfId="2" applyNumberFormat="1" applyFont="1" applyBorder="1" applyAlignment="1">
      <alignment vertical="center" shrinkToFit="1"/>
    </xf>
    <xf numFmtId="0" fontId="23" fillId="0" borderId="18" xfId="2" applyNumberFormat="1" applyFont="1" applyBorder="1" applyAlignment="1">
      <alignment vertical="center" shrinkToFit="1"/>
    </xf>
    <xf numFmtId="0" fontId="31" fillId="0" borderId="0" xfId="0" applyNumberFormat="1" applyFont="1">
      <alignment vertical="center"/>
    </xf>
    <xf numFmtId="178" fontId="25" fillId="0" borderId="20" xfId="0" applyNumberFormat="1" applyFont="1" applyBorder="1">
      <alignment vertical="center"/>
    </xf>
    <xf numFmtId="1" fontId="24" fillId="34" borderId="18" xfId="2" applyNumberFormat="1" applyFont="1" applyFill="1" applyBorder="1" applyAlignment="1">
      <alignment vertical="center" shrinkToFit="1"/>
    </xf>
    <xf numFmtId="49" fontId="24" fillId="34" borderId="17" xfId="2" applyNumberFormat="1" applyFont="1" applyFill="1" applyBorder="1" applyAlignment="1">
      <alignment horizontal="center" vertical="center" shrinkToFit="1"/>
    </xf>
    <xf numFmtId="41" fontId="24" fillId="34" borderId="20" xfId="1" applyNumberFormat="1" applyFont="1" applyFill="1" applyBorder="1" applyAlignment="1">
      <alignment horizontal="right" vertical="center"/>
    </xf>
    <xf numFmtId="41" fontId="24" fillId="34" borderId="17" xfId="1" applyNumberFormat="1" applyFont="1" applyFill="1" applyBorder="1" applyAlignment="1">
      <alignment horizontal="right" vertical="center"/>
    </xf>
    <xf numFmtId="41" fontId="24" fillId="34" borderId="13" xfId="1" applyNumberFormat="1" applyFont="1" applyFill="1" applyBorder="1" applyAlignment="1">
      <alignment horizontal="right" vertical="center"/>
    </xf>
    <xf numFmtId="41" fontId="25" fillId="34" borderId="13" xfId="1" applyNumberFormat="1" applyFont="1" applyFill="1" applyBorder="1" applyAlignment="1">
      <alignment horizontal="right" vertical="center"/>
    </xf>
    <xf numFmtId="41" fontId="25" fillId="34" borderId="25" xfId="1" applyNumberFormat="1" applyFont="1" applyFill="1" applyBorder="1" applyAlignment="1">
      <alignment horizontal="right" vertical="center"/>
    </xf>
    <xf numFmtId="41" fontId="25" fillId="34" borderId="26" xfId="1" applyNumberFormat="1" applyFont="1" applyFill="1" applyBorder="1" applyAlignment="1">
      <alignment horizontal="right" vertical="center"/>
    </xf>
    <xf numFmtId="0" fontId="25" fillId="34" borderId="27" xfId="2" applyNumberFormat="1" applyFont="1" applyFill="1" applyBorder="1" applyAlignment="1">
      <alignment vertical="center" shrinkToFit="1"/>
    </xf>
    <xf numFmtId="0" fontId="25" fillId="34" borderId="26" xfId="2" applyNumberFormat="1" applyFont="1" applyFill="1" applyBorder="1" applyAlignment="1">
      <alignment horizontal="center" vertical="center" shrinkToFit="1"/>
    </xf>
    <xf numFmtId="1" fontId="25" fillId="33" borderId="27" xfId="2" applyNumberFormat="1" applyFont="1" applyFill="1" applyBorder="1" applyAlignment="1">
      <alignment horizontal="center" vertical="center" shrinkToFit="1"/>
    </xf>
    <xf numFmtId="1" fontId="24" fillId="33" borderId="26" xfId="2" applyNumberFormat="1" applyFont="1" applyFill="1" applyBorder="1" applyAlignment="1">
      <alignment horizontal="center" vertical="center" shrinkToFit="1"/>
    </xf>
    <xf numFmtId="1" fontId="27" fillId="0" borderId="0" xfId="2" applyNumberFormat="1" applyFont="1" applyBorder="1" applyAlignment="1">
      <alignment vertical="center" shrinkToFit="1"/>
    </xf>
    <xf numFmtId="49" fontId="24" fillId="34" borderId="28" xfId="2" applyNumberFormat="1" applyFont="1" applyFill="1" applyBorder="1" applyAlignment="1">
      <alignment horizontal="center" vertical="center" shrinkToFit="1"/>
    </xf>
    <xf numFmtId="1" fontId="24" fillId="34" borderId="29" xfId="2" applyNumberFormat="1" applyFont="1" applyFill="1" applyBorder="1" applyAlignment="1">
      <alignment vertical="center" shrinkToFit="1"/>
    </xf>
    <xf numFmtId="178" fontId="24" fillId="34" borderId="28" xfId="2" applyNumberFormat="1" applyFont="1" applyFill="1" applyBorder="1" applyAlignment="1">
      <alignment horizontal="right" vertical="center"/>
    </xf>
    <xf numFmtId="41" fontId="25" fillId="0" borderId="30" xfId="1" applyNumberFormat="1" applyFont="1" applyBorder="1">
      <alignment vertical="center"/>
    </xf>
    <xf numFmtId="178" fontId="24" fillId="34" borderId="21" xfId="2" applyNumberFormat="1" applyFont="1" applyFill="1" applyBorder="1" applyAlignment="1">
      <alignment horizontal="right" vertical="center"/>
    </xf>
    <xf numFmtId="1" fontId="25" fillId="33" borderId="27" xfId="2" applyNumberFormat="1" applyFont="1" applyFill="1" applyBorder="1" applyAlignment="1">
      <alignment horizontal="center" vertical="center" shrinkToFit="1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1" fontId="24" fillId="0" borderId="13" xfId="1" applyNumberFormat="1" applyFont="1" applyFill="1" applyBorder="1" applyAlignment="1">
      <alignment horizontal="right" vertical="center"/>
    </xf>
    <xf numFmtId="176" fontId="24" fillId="34" borderId="13" xfId="1" applyNumberFormat="1" applyFont="1" applyFill="1" applyBorder="1" applyAlignment="1">
      <alignment horizontal="right" vertical="center"/>
    </xf>
    <xf numFmtId="49" fontId="24" fillId="0" borderId="0" xfId="2" applyNumberFormat="1" applyFont="1" applyFill="1" applyBorder="1" applyAlignment="1">
      <alignment horizontal="distributed" vertical="center" wrapText="1" shrinkToFit="1"/>
    </xf>
    <xf numFmtId="49" fontId="24" fillId="34" borderId="13" xfId="2" applyNumberFormat="1" applyFont="1" applyFill="1" applyBorder="1" applyAlignment="1">
      <alignment horizontal="right" vertical="center" shrinkToFit="1"/>
    </xf>
    <xf numFmtId="49" fontId="24" fillId="34" borderId="0" xfId="2" applyNumberFormat="1" applyFont="1" applyFill="1" applyBorder="1" applyAlignment="1">
      <alignment horizontal="right" vertical="center" shrinkToFit="1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9" fontId="27" fillId="34" borderId="0" xfId="2" applyNumberFormat="1" applyFont="1" applyFill="1" applyBorder="1" applyAlignment="1">
      <alignment horizontal="center" vertical="center" shrinkToFit="1"/>
    </xf>
    <xf numFmtId="49" fontId="27" fillId="34" borderId="0" xfId="2" applyNumberFormat="1" applyFont="1" applyFill="1" applyBorder="1" applyAlignment="1">
      <alignment horizontal="distributed" vertical="center" wrapText="1" shrinkToFit="1"/>
    </xf>
    <xf numFmtId="1" fontId="27" fillId="34" borderId="0" xfId="2" applyNumberFormat="1" applyFont="1" applyFill="1" applyBorder="1" applyAlignment="1">
      <alignment vertical="center" shrinkToFit="1"/>
    </xf>
    <xf numFmtId="41" fontId="27" fillId="34" borderId="14" xfId="1" applyNumberFormat="1" applyFont="1" applyFill="1" applyBorder="1" applyAlignment="1">
      <alignment horizontal="right" vertical="center"/>
    </xf>
    <xf numFmtId="41" fontId="27" fillId="34" borderId="15" xfId="1" applyNumberFormat="1" applyFont="1" applyFill="1" applyBorder="1" applyAlignment="1">
      <alignment horizontal="right" vertical="center"/>
    </xf>
    <xf numFmtId="178" fontId="24" fillId="0" borderId="14" xfId="1" applyNumberFormat="1" applyFont="1" applyFill="1" applyBorder="1" applyAlignment="1">
      <alignment horizontal="right" vertical="center"/>
    </xf>
    <xf numFmtId="41" fontId="24" fillId="0" borderId="14" xfId="1" applyNumberFormat="1" applyFont="1" applyFill="1" applyBorder="1" applyAlignment="1">
      <alignment horizontal="right" vertical="center"/>
    </xf>
    <xf numFmtId="0" fontId="0" fillId="0" borderId="0" xfId="0" applyNumberFormat="1">
      <alignment vertical="center"/>
    </xf>
    <xf numFmtId="176" fontId="25" fillId="34" borderId="15" xfId="3" applyNumberFormat="1" applyFont="1" applyFill="1" applyBorder="1" applyAlignment="1">
      <alignment horizontal="right" vertical="center"/>
    </xf>
    <xf numFmtId="176" fontId="24" fillId="34" borderId="15" xfId="3" applyNumberFormat="1" applyFont="1" applyFill="1" applyBorder="1" applyAlignment="1">
      <alignment horizontal="right" vertical="center"/>
    </xf>
    <xf numFmtId="49" fontId="24" fillId="34" borderId="13" xfId="2" applyNumberFormat="1" applyFont="1" applyFill="1" applyBorder="1" applyAlignment="1">
      <alignment horizontal="right" vertical="center" shrinkToFit="1"/>
    </xf>
    <xf numFmtId="49" fontId="24" fillId="34" borderId="0" xfId="2" applyNumberFormat="1" applyFont="1" applyFill="1" applyBorder="1" applyAlignment="1">
      <alignment horizontal="right" vertical="center" shrinkToFit="1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0" fontId="4" fillId="0" borderId="0" xfId="0" applyNumberFormat="1" applyFont="1">
      <alignment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0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0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176" fontId="36" fillId="0" borderId="34" xfId="48" applyNumberFormat="1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4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41" fontId="36" fillId="0" borderId="33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41" fontId="36" fillId="35" borderId="33" xfId="48" applyFont="1" applyFill="1" applyBorder="1" applyAlignment="1">
      <alignment horizontal="right" vertical="center"/>
    </xf>
    <xf numFmtId="176" fontId="36" fillId="35" borderId="33" xfId="48" applyNumberFormat="1" applyFont="1" applyFill="1" applyBorder="1" applyAlignment="1">
      <alignment horizontal="right" vertical="center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1" fontId="37" fillId="34" borderId="15" xfId="1" applyNumberFormat="1" applyFont="1" applyFill="1" applyBorder="1" applyAlignment="1">
      <alignment horizontal="right" vertical="center"/>
    </xf>
    <xf numFmtId="41" fontId="24" fillId="34" borderId="35" xfId="1" applyNumberFormat="1" applyFont="1" applyFill="1" applyBorder="1" applyAlignment="1">
      <alignment horizontal="right" vertical="center"/>
    </xf>
    <xf numFmtId="41" fontId="33" fillId="0" borderId="0" xfId="1">
      <alignment vertical="center"/>
    </xf>
    <xf numFmtId="49" fontId="24" fillId="34" borderId="0" xfId="2" applyNumberFormat="1" applyFont="1" applyFill="1" applyBorder="1" applyAlignment="1">
      <alignment vertical="center" wrapText="1" shrinkToFit="1"/>
    </xf>
    <xf numFmtId="0" fontId="2" fillId="0" borderId="0" xfId="52">
      <alignment vertical="center"/>
    </xf>
    <xf numFmtId="0" fontId="40" fillId="0" borderId="0" xfId="52" applyFont="1" applyAlignment="1">
      <alignment horizontal="left" wrapText="1"/>
    </xf>
    <xf numFmtId="0" fontId="41" fillId="0" borderId="0" xfId="52" applyFont="1">
      <alignment vertical="center"/>
    </xf>
    <xf numFmtId="0" fontId="40" fillId="0" borderId="0" xfId="52" applyFont="1" applyAlignment="1">
      <alignment horizontal="right" wrapText="1"/>
    </xf>
    <xf numFmtId="0" fontId="42" fillId="36" borderId="36" xfId="52" applyFont="1" applyFill="1" applyBorder="1" applyAlignment="1">
      <alignment horizontal="center" vertical="center" wrapText="1"/>
    </xf>
    <xf numFmtId="0" fontId="42" fillId="36" borderId="37" xfId="52" applyFont="1" applyFill="1" applyBorder="1" applyAlignment="1">
      <alignment horizontal="center" vertical="center" wrapText="1"/>
    </xf>
    <xf numFmtId="0" fontId="42" fillId="36" borderId="38" xfId="52" applyFont="1" applyFill="1" applyBorder="1" applyAlignment="1">
      <alignment horizontal="center" vertical="center" wrapText="1"/>
    </xf>
    <xf numFmtId="0" fontId="43" fillId="0" borderId="39" xfId="52" applyFont="1" applyBorder="1" applyAlignment="1">
      <alignment horizontal="left" vertical="center" wrapText="1"/>
    </xf>
    <xf numFmtId="176" fontId="43" fillId="0" borderId="40" xfId="52" applyNumberFormat="1" applyFont="1" applyBorder="1" applyAlignment="1">
      <alignment horizontal="right" vertical="center" wrapText="1"/>
    </xf>
    <xf numFmtId="176" fontId="43" fillId="0" borderId="41" xfId="52" applyNumberFormat="1" applyFont="1" applyBorder="1" applyAlignment="1">
      <alignment horizontal="right" vertical="center" wrapText="1"/>
    </xf>
    <xf numFmtId="0" fontId="42" fillId="36" borderId="42" xfId="52" applyFont="1" applyFill="1" applyBorder="1" applyAlignment="1">
      <alignment horizontal="left" vertical="center" wrapText="1"/>
    </xf>
    <xf numFmtId="176" fontId="42" fillId="36" borderId="43" xfId="52" applyNumberFormat="1" applyFont="1" applyFill="1" applyBorder="1" applyAlignment="1">
      <alignment horizontal="right" vertical="center" wrapText="1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9" fontId="24" fillId="34" borderId="13" xfId="2" applyNumberFormat="1" applyFont="1" applyFill="1" applyBorder="1" applyAlignment="1">
      <alignment horizontal="right" vertical="center" shrinkToFit="1"/>
    </xf>
    <xf numFmtId="49" fontId="24" fillId="34" borderId="0" xfId="2" applyNumberFormat="1" applyFont="1" applyFill="1" applyBorder="1" applyAlignment="1">
      <alignment horizontal="right" vertical="center" shrinkToFit="1"/>
    </xf>
    <xf numFmtId="41" fontId="44" fillId="36" borderId="0" xfId="0" applyNumberFormat="1" applyFont="1" applyFill="1" applyAlignment="1">
      <alignment horizontal="center" vertical="center"/>
    </xf>
    <xf numFmtId="41" fontId="0" fillId="0" borderId="0" xfId="0" applyNumberFormat="1" applyFill="1">
      <alignment vertical="center"/>
    </xf>
    <xf numFmtId="41" fontId="0" fillId="0" borderId="0" xfId="0" applyNumberFormat="1" applyFill="1" applyAlignment="1">
      <alignment vertical="center"/>
    </xf>
    <xf numFmtId="41" fontId="0" fillId="0" borderId="0" xfId="1" applyNumberFormat="1" applyFont="1" applyFill="1">
      <alignment vertical="center"/>
    </xf>
    <xf numFmtId="41" fontId="0" fillId="0" borderId="0" xfId="1" applyNumberFormat="1" applyFont="1" applyFill="1" applyAlignment="1">
      <alignment vertical="center"/>
    </xf>
    <xf numFmtId="41" fontId="44" fillId="36" borderId="0" xfId="0" applyNumberFormat="1" applyFont="1" applyFill="1">
      <alignment vertical="center"/>
    </xf>
    <xf numFmtId="0" fontId="44" fillId="36" borderId="0" xfId="0" applyFont="1" applyFill="1" applyAlignment="1">
      <alignment vertical="center"/>
    </xf>
    <xf numFmtId="41" fontId="45" fillId="34" borderId="14" xfId="3" applyNumberFormat="1" applyFont="1" applyFill="1" applyBorder="1" applyAlignment="1">
      <alignment horizontal="right" vertical="center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1" fontId="30" fillId="34" borderId="14" xfId="3" applyNumberFormat="1" applyFont="1" applyFill="1" applyBorder="1" applyAlignment="1">
      <alignment horizontal="right" vertical="center"/>
    </xf>
    <xf numFmtId="183" fontId="24" fillId="34" borderId="0" xfId="2" applyNumberFormat="1" applyFont="1" applyFill="1" applyBorder="1" applyAlignment="1">
      <alignment vertical="center" wrapText="1" shrinkToFit="1"/>
    </xf>
    <xf numFmtId="1" fontId="29" fillId="0" borderId="0" xfId="2" applyNumberFormat="1" applyFont="1" applyBorder="1" applyAlignment="1">
      <alignment horizontal="center" vertical="center" shrinkToFit="1"/>
    </xf>
    <xf numFmtId="0" fontId="46" fillId="0" borderId="0" xfId="0" applyNumberFormat="1" applyFont="1" applyAlignment="1">
      <alignment horizontal="center" vertical="center"/>
    </xf>
    <xf numFmtId="41" fontId="4" fillId="0" borderId="0" xfId="1" applyFont="1">
      <alignment vertical="center"/>
    </xf>
    <xf numFmtId="177" fontId="4" fillId="0" borderId="0" xfId="0" applyNumberFormat="1" applyFont="1">
      <alignment vertical="center"/>
    </xf>
    <xf numFmtId="41" fontId="4" fillId="0" borderId="0" xfId="0" applyNumberFormat="1" applyFont="1">
      <alignment vertical="center"/>
    </xf>
    <xf numFmtId="184" fontId="4" fillId="0" borderId="0" xfId="0" applyNumberFormat="1" applyFont="1">
      <alignment vertical="center"/>
    </xf>
    <xf numFmtId="0" fontId="45" fillId="0" borderId="0" xfId="0" applyNumberFormat="1" applyFont="1" applyFill="1" applyBorder="1">
      <alignment vertical="center"/>
    </xf>
    <xf numFmtId="49" fontId="45" fillId="0" borderId="0" xfId="2" applyNumberFormat="1" applyFont="1" applyFill="1" applyBorder="1" applyAlignment="1">
      <alignment horizontal="center" vertical="center" shrinkToFit="1"/>
    </xf>
    <xf numFmtId="49" fontId="45" fillId="0" borderId="0" xfId="2" applyNumberFormat="1" applyFont="1" applyFill="1" applyBorder="1" applyAlignment="1">
      <alignment horizontal="distributed" vertical="distributed" shrinkToFit="1"/>
    </xf>
    <xf numFmtId="0" fontId="45" fillId="0" borderId="0" xfId="2" applyNumberFormat="1" applyFont="1" applyFill="1" applyBorder="1" applyAlignment="1">
      <alignment vertical="center" shrinkToFit="1"/>
    </xf>
    <xf numFmtId="178" fontId="45" fillId="0" borderId="15" xfId="3" applyNumberFormat="1" applyFont="1" applyFill="1" applyBorder="1" applyAlignment="1">
      <alignment horizontal="right" vertical="center" shrinkToFit="1"/>
    </xf>
    <xf numFmtId="49" fontId="24" fillId="35" borderId="13" xfId="2" applyNumberFormat="1" applyFont="1" applyFill="1" applyBorder="1" applyAlignment="1">
      <alignment vertical="center" shrinkToFit="1"/>
    </xf>
    <xf numFmtId="0" fontId="24" fillId="35" borderId="0" xfId="0" applyNumberFormat="1" applyFont="1" applyFill="1" applyBorder="1">
      <alignment vertical="center"/>
    </xf>
    <xf numFmtId="49" fontId="24" fillId="35" borderId="0" xfId="2" applyNumberFormat="1" applyFont="1" applyFill="1" applyBorder="1" applyAlignment="1">
      <alignment horizontal="center" vertical="center" shrinkToFit="1"/>
    </xf>
    <xf numFmtId="49" fontId="24" fillId="35" borderId="0" xfId="2" applyNumberFormat="1" applyFont="1" applyFill="1" applyBorder="1" applyAlignment="1">
      <alignment horizontal="distributed" vertical="distributed" shrinkToFit="1"/>
    </xf>
    <xf numFmtId="1" fontId="24" fillId="35" borderId="0" xfId="2" applyNumberFormat="1" applyFont="1" applyFill="1" applyBorder="1" applyAlignment="1">
      <alignment vertical="center" shrinkToFit="1"/>
    </xf>
    <xf numFmtId="178" fontId="24" fillId="35" borderId="14" xfId="1" applyNumberFormat="1" applyFont="1" applyFill="1" applyBorder="1" applyAlignment="1">
      <alignment horizontal="right" vertical="center"/>
    </xf>
    <xf numFmtId="178" fontId="24" fillId="35" borderId="16" xfId="2" applyNumberFormat="1" applyFont="1" applyFill="1" applyBorder="1" applyAlignment="1">
      <alignment horizontal="right" vertical="center" shrinkToFit="1"/>
    </xf>
    <xf numFmtId="41" fontId="24" fillId="35" borderId="14" xfId="1" applyNumberFormat="1" applyFont="1" applyFill="1" applyBorder="1" applyAlignment="1">
      <alignment horizontal="right" vertical="center"/>
    </xf>
    <xf numFmtId="0" fontId="0" fillId="35" borderId="0" xfId="0" applyNumberFormat="1" applyFill="1">
      <alignment vertical="center"/>
    </xf>
    <xf numFmtId="1" fontId="25" fillId="35" borderId="13" xfId="2" applyNumberFormat="1" applyFont="1" applyFill="1" applyBorder="1" applyAlignment="1">
      <alignment horizontal="right" vertical="center" shrinkToFit="1"/>
    </xf>
    <xf numFmtId="1" fontId="25" fillId="35" borderId="0" xfId="2" applyNumberFormat="1" applyFont="1" applyFill="1" applyBorder="1" applyAlignment="1">
      <alignment horizontal="center" vertical="center" shrinkToFit="1"/>
    </xf>
    <xf numFmtId="178" fontId="25" fillId="35" borderId="14" xfId="2" applyNumberFormat="1" applyFont="1" applyFill="1" applyBorder="1" applyAlignment="1">
      <alignment horizontal="right" vertical="center"/>
    </xf>
    <xf numFmtId="178" fontId="25" fillId="35" borderId="24" xfId="3" applyNumberFormat="1" applyFont="1" applyFill="1" applyBorder="1" applyAlignment="1">
      <alignment horizontal="right" vertical="center"/>
    </xf>
    <xf numFmtId="1" fontId="24" fillId="35" borderId="0" xfId="2" applyNumberFormat="1" applyFont="1" applyFill="1" applyBorder="1" applyAlignment="1">
      <alignment horizontal="center" vertical="center" shrinkToFit="1"/>
    </xf>
    <xf numFmtId="178" fontId="24" fillId="35" borderId="14" xfId="2" applyNumberFormat="1" applyFont="1" applyFill="1" applyBorder="1" applyAlignment="1">
      <alignment horizontal="right" vertical="center"/>
    </xf>
    <xf numFmtId="178" fontId="24" fillId="35" borderId="15" xfId="3" applyNumberFormat="1" applyFont="1" applyFill="1" applyBorder="1" applyAlignment="1">
      <alignment horizontal="right" vertical="center"/>
    </xf>
    <xf numFmtId="0" fontId="24" fillId="35" borderId="13" xfId="2" applyNumberFormat="1" applyFont="1" applyFill="1" applyBorder="1" applyAlignment="1">
      <alignment horizontal="right" vertical="center" shrinkToFit="1"/>
    </xf>
    <xf numFmtId="0" fontId="24" fillId="35" borderId="0" xfId="2" applyNumberFormat="1" applyFont="1" applyFill="1" applyBorder="1" applyAlignment="1">
      <alignment vertical="center" shrinkToFit="1"/>
    </xf>
    <xf numFmtId="178" fontId="24" fillId="35" borderId="14" xfId="3" applyNumberFormat="1" applyFont="1" applyFill="1" applyBorder="1" applyAlignment="1">
      <alignment horizontal="right" vertical="center"/>
    </xf>
    <xf numFmtId="178" fontId="24" fillId="35" borderId="13" xfId="3" applyNumberFormat="1" applyFont="1" applyFill="1" applyBorder="1" applyAlignment="1">
      <alignment horizontal="right" vertical="center"/>
    </xf>
    <xf numFmtId="178" fontId="24" fillId="35" borderId="13" xfId="2" applyNumberFormat="1" applyFont="1" applyFill="1" applyBorder="1" applyAlignment="1">
      <alignment horizontal="right" vertical="center"/>
    </xf>
    <xf numFmtId="178" fontId="24" fillId="35" borderId="15" xfId="3" applyNumberFormat="1" applyFont="1" applyFill="1" applyBorder="1" applyAlignment="1">
      <alignment horizontal="right" vertical="center" shrinkToFit="1"/>
    </xf>
    <xf numFmtId="0" fontId="46" fillId="35" borderId="0" xfId="0" applyNumberFormat="1" applyFont="1" applyFill="1" applyAlignment="1">
      <alignment horizontal="center" vertical="center"/>
    </xf>
    <xf numFmtId="0" fontId="1" fillId="0" borderId="0" xfId="53">
      <alignment vertical="center"/>
    </xf>
    <xf numFmtId="41" fontId="0" fillId="0" borderId="0" xfId="54" applyFont="1">
      <alignment vertical="center"/>
    </xf>
    <xf numFmtId="0" fontId="40" fillId="0" borderId="0" xfId="53" applyFont="1" applyAlignment="1">
      <alignment horizontal="left" wrapText="1"/>
    </xf>
    <xf numFmtId="0" fontId="41" fillId="0" borderId="0" xfId="53" applyFont="1">
      <alignment vertical="center"/>
    </xf>
    <xf numFmtId="0" fontId="40" fillId="0" borderId="0" xfId="53" applyFont="1" applyAlignment="1">
      <alignment horizontal="right" wrapText="1"/>
    </xf>
    <xf numFmtId="0" fontId="42" fillId="36" borderId="44" xfId="53" applyFont="1" applyFill="1" applyBorder="1" applyAlignment="1">
      <alignment horizontal="center" vertical="center" wrapText="1"/>
    </xf>
    <xf numFmtId="0" fontId="48" fillId="0" borderId="0" xfId="53" applyFont="1">
      <alignment vertical="center"/>
    </xf>
    <xf numFmtId="41" fontId="48" fillId="0" borderId="0" xfId="54" applyFont="1">
      <alignment vertical="center"/>
    </xf>
    <xf numFmtId="0" fontId="42" fillId="0" borderId="47" xfId="53" applyFont="1" applyBorder="1" applyAlignment="1">
      <alignment horizontal="left" vertical="top" wrapText="1"/>
    </xf>
    <xf numFmtId="176" fontId="42" fillId="0" borderId="40" xfId="53" applyNumberFormat="1" applyFont="1" applyBorder="1" applyAlignment="1">
      <alignment horizontal="right" vertical="top" wrapText="1"/>
    </xf>
    <xf numFmtId="0" fontId="49" fillId="0" borderId="0" xfId="53" applyFont="1">
      <alignment vertical="center"/>
    </xf>
    <xf numFmtId="41" fontId="49" fillId="0" borderId="0" xfId="54" applyFont="1">
      <alignment vertical="center"/>
    </xf>
    <xf numFmtId="0" fontId="43" fillId="0" borderId="47" xfId="53" applyFont="1" applyBorder="1" applyAlignment="1">
      <alignment horizontal="left" vertical="top" wrapText="1" indent="1"/>
    </xf>
    <xf numFmtId="176" fontId="43" fillId="0" borderId="40" xfId="53" applyNumberFormat="1" applyFont="1" applyBorder="1" applyAlignment="1">
      <alignment horizontal="right" vertical="top" wrapText="1"/>
    </xf>
    <xf numFmtId="0" fontId="43" fillId="0" borderId="47" xfId="53" applyFont="1" applyBorder="1" applyAlignment="1">
      <alignment horizontal="left" vertical="top" wrapText="1" indent="2"/>
    </xf>
    <xf numFmtId="0" fontId="42" fillId="0" borderId="47" xfId="53" applyFont="1" applyBorder="1" applyAlignment="1">
      <alignment horizontal="left" vertical="top" wrapText="1" indent="2"/>
    </xf>
    <xf numFmtId="0" fontId="42" fillId="0" borderId="48" xfId="53" applyFont="1" applyBorder="1" applyAlignment="1">
      <alignment horizontal="left" vertical="top" wrapText="1"/>
    </xf>
    <xf numFmtId="176" fontId="42" fillId="0" borderId="49" xfId="53" applyNumberFormat="1" applyFont="1" applyBorder="1" applyAlignment="1">
      <alignment horizontal="right" vertical="top" wrapText="1"/>
    </xf>
    <xf numFmtId="0" fontId="42" fillId="0" borderId="47" xfId="53" applyFont="1" applyBorder="1" applyAlignment="1">
      <alignment horizontal="left" vertical="top" wrapText="1" indent="1"/>
    </xf>
    <xf numFmtId="0" fontId="26" fillId="0" borderId="0" xfId="0" applyNumberFormat="1" applyFont="1">
      <alignment vertical="center"/>
    </xf>
    <xf numFmtId="0" fontId="26" fillId="0" borderId="0" xfId="0" applyNumberFormat="1" applyFont="1" applyAlignment="1">
      <alignment horizontal="right" vertical="center"/>
    </xf>
    <xf numFmtId="41" fontId="4" fillId="0" borderId="0" xfId="0" applyNumberFormat="1" applyFont="1" applyFill="1" applyAlignment="1">
      <alignment vertical="center"/>
    </xf>
    <xf numFmtId="41" fontId="0" fillId="0" borderId="0" xfId="1" applyFont="1" applyFill="1">
      <alignment vertical="center"/>
    </xf>
    <xf numFmtId="41" fontId="0" fillId="0" borderId="0" xfId="1" applyFont="1" applyFill="1" applyAlignment="1">
      <alignment vertical="center"/>
    </xf>
    <xf numFmtId="0" fontId="43" fillId="0" borderId="39" xfId="52" applyFont="1" applyFill="1" applyBorder="1" applyAlignment="1">
      <alignment horizontal="left" vertical="center" wrapText="1"/>
    </xf>
    <xf numFmtId="176" fontId="43" fillId="0" borderId="40" xfId="52" applyNumberFormat="1" applyFont="1" applyFill="1" applyBorder="1" applyAlignment="1">
      <alignment horizontal="right" vertical="center" wrapText="1"/>
    </xf>
    <xf numFmtId="176" fontId="43" fillId="0" borderId="41" xfId="52" applyNumberFormat="1" applyFont="1" applyFill="1" applyBorder="1" applyAlignment="1">
      <alignment horizontal="right" vertical="center" wrapText="1"/>
    </xf>
    <xf numFmtId="0" fontId="2" fillId="0" borderId="0" xfId="52" applyFill="1">
      <alignment vertical="center"/>
    </xf>
    <xf numFmtId="41" fontId="24" fillId="35" borderId="14" xfId="2" applyNumberFormat="1" applyFont="1" applyFill="1" applyBorder="1" applyAlignment="1">
      <alignment horizontal="right" vertical="center"/>
    </xf>
    <xf numFmtId="178" fontId="30" fillId="35" borderId="14" xfId="3" applyNumberFormat="1" applyFont="1" applyFill="1" applyBorder="1" applyAlignment="1">
      <alignment horizontal="right" vertical="center"/>
    </xf>
    <xf numFmtId="178" fontId="30" fillId="35" borderId="15" xfId="3" applyNumberFormat="1" applyFont="1" applyFill="1" applyBorder="1" applyAlignment="1">
      <alignment horizontal="right" vertical="center"/>
    </xf>
    <xf numFmtId="178" fontId="24" fillId="35" borderId="15" xfId="2" applyNumberFormat="1" applyFont="1" applyFill="1" applyBorder="1" applyAlignment="1">
      <alignment horizontal="right" vertical="center"/>
    </xf>
    <xf numFmtId="178" fontId="30" fillId="35" borderId="15" xfId="2" applyNumberFormat="1" applyFont="1" applyFill="1" applyBorder="1" applyAlignment="1">
      <alignment horizontal="right" vertical="center"/>
    </xf>
    <xf numFmtId="178" fontId="24" fillId="35" borderId="16" xfId="2" applyNumberFormat="1" applyFont="1" applyFill="1" applyBorder="1" applyAlignment="1">
      <alignment horizontal="right" vertical="center"/>
    </xf>
    <xf numFmtId="178" fontId="30" fillId="35" borderId="16" xfId="2" applyNumberFormat="1" applyFont="1" applyFill="1" applyBorder="1" applyAlignment="1">
      <alignment horizontal="right" vertical="center"/>
    </xf>
    <xf numFmtId="41" fontId="45" fillId="35" borderId="14" xfId="1" applyNumberFormat="1" applyFont="1" applyFill="1" applyBorder="1" applyAlignment="1">
      <alignment horizontal="right" vertical="center"/>
    </xf>
    <xf numFmtId="178" fontId="45" fillId="35" borderId="15" xfId="3" applyNumberFormat="1" applyFont="1" applyFill="1" applyBorder="1" applyAlignment="1">
      <alignment horizontal="right" vertical="center" shrinkToFit="1"/>
    </xf>
    <xf numFmtId="41" fontId="25" fillId="33" borderId="11" xfId="3" applyNumberFormat="1" applyFont="1" applyFill="1" applyBorder="1" applyAlignment="1">
      <alignment horizontal="center" vertical="center" wrapText="1" shrinkToFit="1"/>
    </xf>
    <xf numFmtId="41" fontId="25" fillId="33" borderId="22" xfId="3" applyNumberFormat="1" applyFont="1" applyFill="1" applyBorder="1" applyAlignment="1">
      <alignment horizontal="center" vertical="center" shrinkToFit="1"/>
    </xf>
    <xf numFmtId="1" fontId="32" fillId="0" borderId="0" xfId="2" applyNumberFormat="1" applyFont="1" applyBorder="1" applyAlignment="1">
      <alignment horizontal="center" vertical="center" shrinkToFit="1"/>
    </xf>
    <xf numFmtId="1" fontId="27" fillId="0" borderId="0" xfId="2" applyNumberFormat="1" applyFont="1" applyBorder="1" applyAlignment="1">
      <alignment horizontal="center" vertical="center" shrinkToFit="1"/>
    </xf>
    <xf numFmtId="1" fontId="25" fillId="33" borderId="12" xfId="2" applyNumberFormat="1" applyFont="1" applyFill="1" applyBorder="1" applyAlignment="1">
      <alignment horizontal="center" vertical="center" shrinkToFit="1"/>
    </xf>
    <xf numFmtId="41" fontId="27" fillId="0" borderId="18" xfId="3" applyNumberFormat="1" applyFont="1" applyBorder="1" applyAlignment="1">
      <alignment horizontal="left" vertical="center" shrinkToFit="1"/>
    </xf>
    <xf numFmtId="49" fontId="24" fillId="34" borderId="13" xfId="2" applyNumberFormat="1" applyFont="1" applyFill="1" applyBorder="1" applyAlignment="1">
      <alignment horizontal="right" vertical="center" shrinkToFit="1"/>
    </xf>
    <xf numFmtId="49" fontId="24" fillId="34" borderId="0" xfId="2" applyNumberFormat="1" applyFont="1" applyFill="1" applyBorder="1" applyAlignment="1">
      <alignment horizontal="right" vertical="center" shrinkToFit="1"/>
    </xf>
    <xf numFmtId="1" fontId="24" fillId="34" borderId="0" xfId="2" applyNumberFormat="1" applyFont="1" applyFill="1" applyBorder="1" applyAlignment="1">
      <alignment horizontal="distributed" vertical="center" wrapText="1" shrinkToFit="1"/>
    </xf>
    <xf numFmtId="49" fontId="24" fillId="34" borderId="0" xfId="2" applyNumberFormat="1" applyFont="1" applyFill="1" applyBorder="1" applyAlignment="1">
      <alignment horizontal="distributed" vertical="center" wrapText="1" shrinkToFit="1"/>
    </xf>
    <xf numFmtId="49" fontId="25" fillId="34" borderId="0" xfId="2" applyNumberFormat="1" applyFont="1" applyFill="1" applyBorder="1" applyAlignment="1">
      <alignment horizontal="distributed" vertical="center" wrapText="1" shrinkToFit="1"/>
    </xf>
    <xf numFmtId="49" fontId="25" fillId="34" borderId="13" xfId="2" applyNumberFormat="1" applyFont="1" applyFill="1" applyBorder="1" applyAlignment="1">
      <alignment horizontal="center" vertical="center" shrinkToFit="1"/>
    </xf>
    <xf numFmtId="49" fontId="25" fillId="34" borderId="0" xfId="2" applyNumberFormat="1" applyFont="1" applyFill="1" applyBorder="1" applyAlignment="1">
      <alignment horizontal="center" vertical="center" shrinkToFit="1"/>
    </xf>
    <xf numFmtId="49" fontId="25" fillId="35" borderId="0" xfId="2" applyNumberFormat="1" applyFont="1" applyFill="1" applyBorder="1" applyAlignment="1">
      <alignment horizontal="distributed" vertical="center" wrapText="1" shrinkToFit="1"/>
    </xf>
    <xf numFmtId="1" fontId="25" fillId="34" borderId="31" xfId="2" applyNumberFormat="1" applyFont="1" applyFill="1" applyBorder="1" applyAlignment="1">
      <alignment horizontal="center" vertical="center" shrinkToFit="1"/>
    </xf>
    <xf numFmtId="1" fontId="25" fillId="34" borderId="10" xfId="2" applyNumberFormat="1" applyFont="1" applyFill="1" applyBorder="1" applyAlignment="1">
      <alignment horizontal="center" vertical="center" shrinkToFit="1"/>
    </xf>
    <xf numFmtId="49" fontId="25" fillId="34" borderId="18" xfId="2" applyNumberFormat="1" applyFont="1" applyFill="1" applyBorder="1" applyAlignment="1">
      <alignment horizontal="distributed" vertical="center" wrapText="1" shrinkToFit="1"/>
    </xf>
    <xf numFmtId="49" fontId="24" fillId="35" borderId="0" xfId="2" applyNumberFormat="1" applyFont="1" applyFill="1" applyBorder="1" applyAlignment="1">
      <alignment horizontal="distributed" vertical="center" wrapText="1" shrinkToFit="1"/>
    </xf>
    <xf numFmtId="49" fontId="25" fillId="35" borderId="13" xfId="2" applyNumberFormat="1" applyFont="1" applyFill="1" applyBorder="1" applyAlignment="1">
      <alignment horizontal="center" vertical="center" shrinkToFit="1"/>
    </xf>
    <xf numFmtId="49" fontId="25" fillId="35" borderId="0" xfId="2" applyNumberFormat="1" applyFont="1" applyFill="1" applyBorder="1" applyAlignment="1">
      <alignment horizontal="center" vertical="center" shrinkToFit="1"/>
    </xf>
    <xf numFmtId="1" fontId="25" fillId="34" borderId="18" xfId="2" applyNumberFormat="1" applyFont="1" applyFill="1" applyBorder="1" applyAlignment="1">
      <alignment horizontal="distributed" vertical="center" wrapText="1" shrinkToFit="1"/>
    </xf>
    <xf numFmtId="49" fontId="24" fillId="0" borderId="0" xfId="2" applyNumberFormat="1" applyFont="1" applyFill="1" applyBorder="1" applyAlignment="1">
      <alignment horizontal="distributed" vertical="center" wrapText="1" shrinkToFit="1"/>
    </xf>
    <xf numFmtId="1" fontId="25" fillId="34" borderId="0" xfId="2" applyNumberFormat="1" applyFont="1" applyFill="1" applyBorder="1" applyAlignment="1">
      <alignment horizontal="distributed" vertical="center" wrapText="1" shrinkToFit="1"/>
    </xf>
    <xf numFmtId="1" fontId="29" fillId="0" borderId="0" xfId="2" applyNumberFormat="1" applyFont="1" applyBorder="1" applyAlignment="1">
      <alignment horizontal="center" vertical="center" shrinkToFit="1"/>
    </xf>
    <xf numFmtId="41" fontId="27" fillId="0" borderId="0" xfId="3" applyNumberFormat="1" applyFont="1" applyBorder="1" applyAlignment="1">
      <alignment horizontal="left" vertical="center" shrinkToFit="1"/>
    </xf>
    <xf numFmtId="41" fontId="25" fillId="33" borderId="11" xfId="3" applyNumberFormat="1" applyFont="1" applyFill="1" applyBorder="1" applyAlignment="1">
      <alignment horizontal="center" vertical="center" shrinkToFit="1"/>
    </xf>
    <xf numFmtId="41" fontId="25" fillId="33" borderId="26" xfId="3" applyNumberFormat="1" applyFont="1" applyFill="1" applyBorder="1" applyAlignment="1">
      <alignment horizontal="center" vertical="center" wrapText="1" shrinkToFit="1"/>
    </xf>
    <xf numFmtId="41" fontId="25" fillId="33" borderId="32" xfId="3" applyNumberFormat="1" applyFont="1" applyFill="1" applyBorder="1" applyAlignment="1">
      <alignment horizontal="center" vertical="center" shrinkToFit="1"/>
    </xf>
    <xf numFmtId="1" fontId="25" fillId="33" borderId="27" xfId="2" applyNumberFormat="1" applyFont="1" applyFill="1" applyBorder="1" applyAlignment="1">
      <alignment horizontal="center" vertical="center" shrinkToFit="1"/>
    </xf>
    <xf numFmtId="41" fontId="25" fillId="33" borderId="26" xfId="3" applyNumberFormat="1" applyFont="1" applyFill="1" applyBorder="1" applyAlignment="1">
      <alignment horizontal="center" vertical="center" shrinkToFit="1"/>
    </xf>
    <xf numFmtId="1" fontId="25" fillId="34" borderId="27" xfId="2" applyNumberFormat="1" applyFont="1" applyFill="1" applyBorder="1" applyAlignment="1">
      <alignment horizontal="distributed" vertical="center" wrapText="1" shrinkToFit="1"/>
    </xf>
    <xf numFmtId="49" fontId="24" fillId="34" borderId="18" xfId="2" applyNumberFormat="1" applyFont="1" applyFill="1" applyBorder="1" applyAlignment="1">
      <alignment horizontal="distributed" vertical="center" wrapText="1" shrinkToFit="1"/>
    </xf>
    <xf numFmtId="49" fontId="25" fillId="34" borderId="29" xfId="2" applyNumberFormat="1" applyFont="1" applyFill="1" applyBorder="1" applyAlignment="1">
      <alignment horizontal="distributed" vertical="center" wrapText="1" shrinkToFit="1"/>
    </xf>
    <xf numFmtId="49" fontId="24" fillId="34" borderId="13" xfId="2" applyNumberFormat="1" applyFont="1" applyFill="1" applyBorder="1" applyAlignment="1">
      <alignment horizontal="distributed" vertical="center" wrapText="1" shrinkToFit="1"/>
    </xf>
    <xf numFmtId="49" fontId="24" fillId="32" borderId="0" xfId="2" applyNumberFormat="1" applyFont="1" applyFill="1" applyBorder="1" applyAlignment="1">
      <alignment horizontal="distributed" vertical="center" wrapText="1" shrinkToFit="1"/>
    </xf>
    <xf numFmtId="0" fontId="38" fillId="0" borderId="0" xfId="52" applyFont="1" applyAlignment="1">
      <alignment horizontal="center" vertical="center"/>
    </xf>
    <xf numFmtId="0" fontId="40" fillId="0" borderId="0" xfId="52" applyFont="1" applyAlignment="1">
      <alignment horizontal="center" vertical="center" wrapText="1"/>
    </xf>
    <xf numFmtId="0" fontId="47" fillId="0" borderId="0" xfId="53" applyFont="1" applyAlignment="1">
      <alignment horizontal="center" vertical="center"/>
    </xf>
    <xf numFmtId="0" fontId="40" fillId="0" borderId="0" xfId="53" applyFont="1" applyAlignment="1">
      <alignment horizontal="center" vertical="center" wrapText="1"/>
    </xf>
    <xf numFmtId="0" fontId="42" fillId="36" borderId="45" xfId="53" applyFont="1" applyFill="1" applyBorder="1" applyAlignment="1">
      <alignment horizontal="center" vertical="center" wrapText="1"/>
    </xf>
    <xf numFmtId="0" fontId="42" fillId="36" borderId="46" xfId="53" applyFont="1" applyFill="1" applyBorder="1" applyAlignment="1">
      <alignment horizontal="center" vertical="center" wrapText="1"/>
    </xf>
    <xf numFmtId="0" fontId="50" fillId="0" borderId="0" xfId="0" applyNumberFormat="1" applyFont="1" applyAlignment="1">
      <alignment horizontal="center" vertical="center"/>
    </xf>
  </cellXfs>
  <cellStyles count="55">
    <cellStyle name="20% - 강조색1" xfId="22"/>
    <cellStyle name="20% - 강조색2" xfId="26"/>
    <cellStyle name="20% - 강조색3" xfId="30"/>
    <cellStyle name="20% - 강조색4" xfId="34"/>
    <cellStyle name="20% - 강조색5" xfId="38"/>
    <cellStyle name="20% - 강조색6" xfId="42"/>
    <cellStyle name="40% - 강조색1" xfId="23"/>
    <cellStyle name="40% - 강조색2" xfId="27"/>
    <cellStyle name="40% - 강조색3" xfId="31"/>
    <cellStyle name="40% - 강조색4" xfId="35"/>
    <cellStyle name="40% - 강조색5" xfId="39"/>
    <cellStyle name="40% - 강조색6" xfId="43"/>
    <cellStyle name="60% - 강조색1" xfId="24"/>
    <cellStyle name="60% - 강조색2" xfId="28"/>
    <cellStyle name="60% - 강조색3" xfId="32"/>
    <cellStyle name="60% - 강조색4" xfId="36"/>
    <cellStyle name="60% - 강조색5" xfId="40"/>
    <cellStyle name="60% - 강조색6" xfId="44"/>
    <cellStyle name="강조색1" xfId="21"/>
    <cellStyle name="강조색2" xfId="25"/>
    <cellStyle name="강조색3" xfId="29"/>
    <cellStyle name="강조색4" xfId="33"/>
    <cellStyle name="강조색5" xfId="37"/>
    <cellStyle name="강조색6" xfId="41"/>
    <cellStyle name="경고문" xfId="17"/>
    <cellStyle name="계산" xfId="14"/>
    <cellStyle name="나쁨" xfId="10"/>
    <cellStyle name="메모" xfId="18"/>
    <cellStyle name="백분율 2" xfId="49"/>
    <cellStyle name="보통" xfId="11"/>
    <cellStyle name="설명 텍스트" xfId="19"/>
    <cellStyle name="셀 확인" xfId="16"/>
    <cellStyle name="쉼표 [0]" xfId="1" builtinId="6"/>
    <cellStyle name="쉼표 [0] 2" xfId="48"/>
    <cellStyle name="쉼표 [0] 3" xfId="54"/>
    <cellStyle name="쉼표 [0] 9" xfId="3"/>
    <cellStyle name="쉼표 [0] 9 2" xfId="51"/>
    <cellStyle name="연결된 셀" xfId="15"/>
    <cellStyle name="요약" xfId="20"/>
    <cellStyle name="입력" xfId="12"/>
    <cellStyle name="제목" xfId="4"/>
    <cellStyle name="제목 1" xfId="5"/>
    <cellStyle name="제목 2" xfId="6"/>
    <cellStyle name="제목 3" xfId="7"/>
    <cellStyle name="제목 4" xfId="8"/>
    <cellStyle name="좋음" xfId="9"/>
    <cellStyle name="출력" xfId="13"/>
    <cellStyle name="표준" xfId="0" builtinId="0"/>
    <cellStyle name="표준 2" xfId="45"/>
    <cellStyle name="표준 237" xfId="2"/>
    <cellStyle name="표준 237 2" xfId="50"/>
    <cellStyle name="표준 3" xfId="46"/>
    <cellStyle name="표준 4" xfId="47"/>
    <cellStyle name="표준 5" xfId="52"/>
    <cellStyle name="표준 6" xf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149;&#51652;&#50689;\1.%20&#44208;&#49328;%20&#50756;&#47308;%20&#51088;&#47308;\1-1.%20&#44208;&#49328;%20&#50756;&#47308;%20&#51088;&#47308;(2016~2019)\&#44208;&#49328;%20&#50756;&#47308;%20&#51088;&#47308;(2019&#45380;)\5&#50900;&#44208;&#49328;\&#45236;&#48512;&#44208;&#51116;\2019%20&#54924;&#44228;&#50672;&#46020;%205&#50900;%20&#51116;&#47924;&#51228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1-1. 재무상태표 입력서식"/>
      <sheetName val="#2-1. 손익계산서 입력서식"/>
      <sheetName val="#2-2. 18년도 손익계산서 입력서식"/>
      <sheetName val="#1. 재무상태표"/>
      <sheetName val="#2. 손익계산서"/>
      <sheetName val="#3. 운영사업원가명세서"/>
      <sheetName val="#4. 수탁사업원가명세서"/>
      <sheetName val="#5. 영업비용명세서"/>
      <sheetName val="#2-2. 손익계산서(6월)"/>
      <sheetName val="#3-2. 운영사업원가명세서(6월)"/>
      <sheetName val="#4-2. 수탁사업원가명세서(6월)"/>
    </sheetNames>
    <sheetDataSet>
      <sheetData sheetId="0">
        <row r="28">
          <cell r="D28">
            <v>0</v>
          </cell>
        </row>
      </sheetData>
      <sheetData sheetId="1">
        <row r="62">
          <cell r="M62">
            <v>388317624889</v>
          </cell>
        </row>
      </sheetData>
      <sheetData sheetId="2">
        <row r="62">
          <cell r="M62">
            <v>387303152925</v>
          </cell>
        </row>
      </sheetData>
      <sheetData sheetId="3"/>
      <sheetData sheetId="4">
        <row r="2">
          <cell r="A2" t="str">
            <v>제 3 기  2019년 1월 1일부터 2019년 5월 31일까지</v>
          </cell>
        </row>
        <row r="18">
          <cell r="F18">
            <v>901066009486</v>
          </cell>
          <cell r="H18">
            <v>890585301036</v>
          </cell>
        </row>
        <row r="19">
          <cell r="F19">
            <v>24594644045</v>
          </cell>
          <cell r="H19">
            <v>13892259526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  <pageSetUpPr fitToPage="1"/>
  </sheetPr>
  <dimension ref="A1:S196"/>
  <sheetViews>
    <sheetView tabSelected="1" view="pageBreakPreview" zoomScale="55" zoomScaleNormal="100" zoomScaleSheetLayoutView="55" workbookViewId="0">
      <selection activeCell="F79" sqref="F79"/>
    </sheetView>
  </sheetViews>
  <sheetFormatPr defaultColWidth="9" defaultRowHeight="20.25" x14ac:dyDescent="0.3"/>
  <cols>
    <col min="1" max="1" width="3.625" style="31" bestFit="1" customWidth="1"/>
    <col min="2" max="2" width="5" style="31" customWidth="1"/>
    <col min="3" max="3" width="3.5" style="32" bestFit="1" customWidth="1"/>
    <col min="4" max="4" width="33.75" style="31" customWidth="1"/>
    <col min="5" max="5" width="7.625" customWidth="1"/>
    <col min="6" max="9" width="30.625" customWidth="1"/>
    <col min="10" max="10" width="9" customWidth="1"/>
    <col min="11" max="11" width="40.5" customWidth="1"/>
    <col min="12" max="12" width="21.5" customWidth="1"/>
    <col min="13" max="14" width="9" customWidth="1"/>
    <col min="19" max="19" width="18.375" bestFit="1" customWidth="1"/>
  </cols>
  <sheetData>
    <row r="1" spans="1:9" s="88" customFormat="1" ht="56.25" customHeight="1" x14ac:dyDescent="0.3">
      <c r="A1" s="256" t="s">
        <v>56</v>
      </c>
      <c r="B1" s="256"/>
      <c r="C1" s="256"/>
      <c r="D1" s="256"/>
      <c r="E1" s="256"/>
      <c r="F1" s="256"/>
      <c r="G1" s="256"/>
      <c r="H1" s="256"/>
      <c r="I1" s="256"/>
    </row>
    <row r="2" spans="1:9" ht="30" customHeight="1" x14ac:dyDescent="0.3">
      <c r="A2" s="257" t="s">
        <v>491</v>
      </c>
      <c r="B2" s="257"/>
      <c r="C2" s="257"/>
      <c r="D2" s="257"/>
      <c r="E2" s="257"/>
      <c r="F2" s="257"/>
      <c r="G2" s="257"/>
      <c r="H2" s="257"/>
      <c r="I2" s="257"/>
    </row>
    <row r="3" spans="1:9" ht="30" customHeight="1" x14ac:dyDescent="0.3">
      <c r="A3" s="257" t="s">
        <v>367</v>
      </c>
      <c r="B3" s="257"/>
      <c r="C3" s="257"/>
      <c r="D3" s="257"/>
      <c r="E3" s="257"/>
      <c r="F3" s="257"/>
      <c r="G3" s="257"/>
      <c r="H3" s="257"/>
      <c r="I3" s="257"/>
    </row>
    <row r="4" spans="1:9" s="123" customFormat="1" ht="30" customHeight="1" x14ac:dyDescent="0.3">
      <c r="A4" s="183"/>
      <c r="B4" s="183"/>
      <c r="C4" s="183"/>
      <c r="D4" s="183"/>
      <c r="E4" s="183"/>
      <c r="F4" s="183"/>
      <c r="G4" s="183"/>
      <c r="H4" s="183"/>
      <c r="I4" s="183"/>
    </row>
    <row r="5" spans="1:9" ht="30" customHeight="1" thickBot="1" x14ac:dyDescent="0.2">
      <c r="A5" s="259" t="s">
        <v>189</v>
      </c>
      <c r="B5" s="259"/>
      <c r="C5" s="259"/>
      <c r="D5" s="259"/>
      <c r="E5" s="87"/>
      <c r="F5" s="86"/>
      <c r="H5" s="33"/>
      <c r="I5" s="85"/>
    </row>
    <row r="6" spans="1:9" ht="51" customHeight="1" x14ac:dyDescent="0.3">
      <c r="A6" s="84" t="s">
        <v>86</v>
      </c>
      <c r="B6" s="258" t="s">
        <v>107</v>
      </c>
      <c r="C6" s="258"/>
      <c r="D6" s="258"/>
      <c r="E6" s="29"/>
      <c r="F6" s="254" t="s">
        <v>366</v>
      </c>
      <c r="G6" s="255"/>
      <c r="H6" s="254" t="s">
        <v>368</v>
      </c>
      <c r="I6" s="255"/>
    </row>
    <row r="7" spans="1:9" ht="30" customHeight="1" x14ac:dyDescent="0.3">
      <c r="A7" s="268" t="s">
        <v>34</v>
      </c>
      <c r="B7" s="269"/>
      <c r="C7" s="269"/>
      <c r="D7" s="269"/>
      <c r="E7" s="65"/>
      <c r="F7" s="62"/>
      <c r="G7" s="63"/>
      <c r="H7" s="62"/>
      <c r="I7" s="63"/>
    </row>
    <row r="8" spans="1:9" ht="30" customHeight="1" x14ac:dyDescent="0.3">
      <c r="A8" s="61" t="s">
        <v>82</v>
      </c>
      <c r="B8" s="262" t="s">
        <v>230</v>
      </c>
      <c r="C8" s="262"/>
      <c r="D8" s="262"/>
      <c r="E8" s="19"/>
      <c r="F8" s="64"/>
      <c r="G8" s="63">
        <v>238752037235</v>
      </c>
      <c r="H8" s="64"/>
      <c r="I8" s="63">
        <v>239730101469</v>
      </c>
    </row>
    <row r="9" spans="1:9" ht="30" customHeight="1" x14ac:dyDescent="0.3">
      <c r="A9" s="260" t="s">
        <v>85</v>
      </c>
      <c r="B9" s="261"/>
      <c r="C9" s="263" t="s">
        <v>238</v>
      </c>
      <c r="D9" s="263"/>
      <c r="E9" s="12"/>
      <c r="F9" s="64"/>
      <c r="G9" s="63">
        <v>184332113183</v>
      </c>
      <c r="H9" s="64"/>
      <c r="I9" s="63">
        <v>181346406187</v>
      </c>
    </row>
    <row r="10" spans="1:9" ht="30" customHeight="1" x14ac:dyDescent="0.3">
      <c r="A10" s="61"/>
      <c r="B10" s="57"/>
      <c r="C10" s="11"/>
      <c r="D10" s="28" t="s">
        <v>124</v>
      </c>
      <c r="E10" s="12"/>
      <c r="F10" s="67">
        <v>242838910791</v>
      </c>
      <c r="G10" s="66"/>
      <c r="H10" s="67">
        <v>192557051013</v>
      </c>
      <c r="I10" s="66"/>
    </row>
    <row r="11" spans="1:9" ht="30" customHeight="1" x14ac:dyDescent="0.3">
      <c r="A11" s="61"/>
      <c r="B11" s="57"/>
      <c r="C11" s="11"/>
      <c r="D11" s="28" t="s">
        <v>225</v>
      </c>
      <c r="E11" s="12"/>
      <c r="F11" s="55">
        <v>-125829534802</v>
      </c>
      <c r="G11" s="66"/>
      <c r="H11" s="55">
        <v>-100004857444</v>
      </c>
      <c r="I11" s="66"/>
    </row>
    <row r="12" spans="1:9" s="123" customFormat="1" ht="30" customHeight="1" x14ac:dyDescent="0.3">
      <c r="A12" s="61"/>
      <c r="B12" s="57"/>
      <c r="C12" s="11"/>
      <c r="D12" s="180" t="s">
        <v>365</v>
      </c>
      <c r="E12" s="12"/>
      <c r="F12" s="55">
        <v>-425740500</v>
      </c>
      <c r="G12" s="66"/>
      <c r="H12" s="181">
        <v>0</v>
      </c>
      <c r="I12" s="66"/>
    </row>
    <row r="13" spans="1:9" ht="30" customHeight="1" x14ac:dyDescent="0.3">
      <c r="A13" s="61"/>
      <c r="B13" s="57"/>
      <c r="C13" s="11"/>
      <c r="D13" s="28" t="s">
        <v>123</v>
      </c>
      <c r="E13" s="12"/>
      <c r="F13" s="55">
        <v>-15956707419</v>
      </c>
      <c r="G13" s="66"/>
      <c r="H13" s="55">
        <v>-3503880613</v>
      </c>
      <c r="I13" s="66"/>
    </row>
    <row r="14" spans="1:9" ht="30" customHeight="1" x14ac:dyDescent="0.3">
      <c r="A14" s="61"/>
      <c r="B14" s="57"/>
      <c r="C14" s="11"/>
      <c r="D14" s="28" t="s">
        <v>220</v>
      </c>
      <c r="E14" s="19"/>
      <c r="F14" s="13">
        <v>0</v>
      </c>
      <c r="G14" s="66"/>
      <c r="H14" s="13">
        <v>0</v>
      </c>
      <c r="I14" s="66"/>
    </row>
    <row r="15" spans="1:9" ht="30" customHeight="1" x14ac:dyDescent="0.3">
      <c r="A15" s="61"/>
      <c r="B15" s="57"/>
      <c r="C15" s="11"/>
      <c r="D15" s="28" t="s">
        <v>239</v>
      </c>
      <c r="E15" s="12"/>
      <c r="F15" s="67">
        <v>2681336330</v>
      </c>
      <c r="G15" s="68"/>
      <c r="H15" s="67">
        <v>1915569210</v>
      </c>
      <c r="I15" s="68"/>
    </row>
    <row r="16" spans="1:9" ht="30" customHeight="1" x14ac:dyDescent="0.3">
      <c r="A16" s="61"/>
      <c r="B16" s="57"/>
      <c r="C16" s="11"/>
      <c r="D16" s="28" t="s">
        <v>229</v>
      </c>
      <c r="E16" s="19"/>
      <c r="F16" s="67">
        <v>69274257480</v>
      </c>
      <c r="G16" s="63"/>
      <c r="H16" s="67">
        <v>76086314824</v>
      </c>
      <c r="I16" s="63"/>
    </row>
    <row r="17" spans="1:9" ht="30" customHeight="1" x14ac:dyDescent="0.3">
      <c r="A17" s="61"/>
      <c r="B17" s="57"/>
      <c r="C17" s="16"/>
      <c r="D17" s="28" t="s">
        <v>201</v>
      </c>
      <c r="E17" s="12"/>
      <c r="F17" s="75">
        <v>-18448457190</v>
      </c>
      <c r="G17" s="83"/>
      <c r="H17" s="75">
        <v>-13784148963</v>
      </c>
      <c r="I17" s="83"/>
    </row>
    <row r="18" spans="1:9" ht="30" customHeight="1" x14ac:dyDescent="0.3">
      <c r="A18" s="61"/>
      <c r="B18" s="57"/>
      <c r="C18" s="11"/>
      <c r="D18" s="28" t="s">
        <v>95</v>
      </c>
      <c r="E18" s="12"/>
      <c r="F18" s="67">
        <v>52426949376</v>
      </c>
      <c r="G18" s="68"/>
      <c r="H18" s="67">
        <v>36074228163</v>
      </c>
      <c r="I18" s="68"/>
    </row>
    <row r="19" spans="1:9" ht="30" customHeight="1" x14ac:dyDescent="0.3">
      <c r="A19" s="61"/>
      <c r="B19" s="57"/>
      <c r="C19" s="11"/>
      <c r="D19" s="28" t="s">
        <v>201</v>
      </c>
      <c r="E19" s="19"/>
      <c r="F19" s="55">
        <v>-24711628907</v>
      </c>
      <c r="G19" s="54"/>
      <c r="H19" s="55">
        <v>-22791370223</v>
      </c>
      <c r="I19" s="54"/>
    </row>
    <row r="20" spans="1:9" ht="30" customHeight="1" x14ac:dyDescent="0.3">
      <c r="A20" s="61"/>
      <c r="B20" s="57"/>
      <c r="C20" s="11"/>
      <c r="D20" s="28" t="s">
        <v>231</v>
      </c>
      <c r="E20" s="19"/>
      <c r="F20" s="23">
        <v>32317867</v>
      </c>
      <c r="G20" s="82"/>
      <c r="H20" s="23">
        <v>445733</v>
      </c>
      <c r="I20" s="82"/>
    </row>
    <row r="21" spans="1:9" ht="30" customHeight="1" x14ac:dyDescent="0.3">
      <c r="A21" s="61"/>
      <c r="B21" s="57"/>
      <c r="C21" s="11"/>
      <c r="D21" s="28" t="s">
        <v>76</v>
      </c>
      <c r="E21" s="12"/>
      <c r="F21" s="67">
        <v>669081173</v>
      </c>
      <c r="G21" s="66"/>
      <c r="H21" s="67">
        <v>12527262561</v>
      </c>
      <c r="I21" s="66"/>
    </row>
    <row r="22" spans="1:9" ht="30" customHeight="1" x14ac:dyDescent="0.3">
      <c r="A22" s="61"/>
      <c r="B22" s="57"/>
      <c r="C22" s="11"/>
      <c r="D22" s="28" t="s">
        <v>224</v>
      </c>
      <c r="E22" s="19"/>
      <c r="F22" s="67">
        <v>268556387</v>
      </c>
      <c r="G22" s="66"/>
      <c r="H22" s="67">
        <v>313300187</v>
      </c>
      <c r="I22" s="66"/>
    </row>
    <row r="23" spans="1:9" ht="30" customHeight="1" x14ac:dyDescent="0.3">
      <c r="A23" s="61"/>
      <c r="B23" s="57"/>
      <c r="C23" s="11"/>
      <c r="D23" s="28" t="s">
        <v>228</v>
      </c>
      <c r="E23" s="12"/>
      <c r="F23" s="67">
        <v>236462265</v>
      </c>
      <c r="G23" s="66"/>
      <c r="H23" s="67">
        <v>487874615</v>
      </c>
      <c r="I23" s="66"/>
    </row>
    <row r="24" spans="1:9" ht="30" customHeight="1" x14ac:dyDescent="0.3">
      <c r="A24" s="61"/>
      <c r="B24" s="57"/>
      <c r="C24" s="11"/>
      <c r="D24" s="28" t="s">
        <v>234</v>
      </c>
      <c r="E24" s="12"/>
      <c r="F24" s="23">
        <v>0</v>
      </c>
      <c r="G24" s="66"/>
      <c r="H24" s="13">
        <v>0</v>
      </c>
      <c r="I24" s="66"/>
    </row>
    <row r="25" spans="1:9" ht="30" customHeight="1" x14ac:dyDescent="0.3">
      <c r="A25" s="61"/>
      <c r="B25" s="57"/>
      <c r="C25" s="11"/>
      <c r="D25" s="28" t="s">
        <v>243</v>
      </c>
      <c r="E25" s="12"/>
      <c r="F25" s="67">
        <v>1276310332</v>
      </c>
      <c r="G25" s="66"/>
      <c r="H25" s="67">
        <v>1468617124</v>
      </c>
      <c r="I25" s="66"/>
    </row>
    <row r="26" spans="1:9" ht="30" customHeight="1" x14ac:dyDescent="0.3">
      <c r="A26" s="260" t="s">
        <v>69</v>
      </c>
      <c r="B26" s="261"/>
      <c r="C26" s="263" t="s">
        <v>237</v>
      </c>
      <c r="D26" s="263"/>
      <c r="E26" s="12"/>
      <c r="F26" s="64"/>
      <c r="G26" s="63">
        <v>54419924052</v>
      </c>
      <c r="H26" s="64"/>
      <c r="I26" s="63">
        <v>58383695282</v>
      </c>
    </row>
    <row r="27" spans="1:9" ht="30" customHeight="1" x14ac:dyDescent="0.3">
      <c r="A27" s="61"/>
      <c r="B27" s="57"/>
      <c r="C27" s="11"/>
      <c r="D27" s="28" t="s">
        <v>93</v>
      </c>
      <c r="E27" s="12"/>
      <c r="F27" s="67">
        <v>54065613925</v>
      </c>
      <c r="G27" s="63"/>
      <c r="H27" s="67">
        <v>52989011274</v>
      </c>
      <c r="I27" s="63"/>
    </row>
    <row r="28" spans="1:9" ht="30" customHeight="1" x14ac:dyDescent="0.3">
      <c r="A28" s="61"/>
      <c r="B28" s="57"/>
      <c r="C28" s="11"/>
      <c r="D28" s="28" t="s">
        <v>91</v>
      </c>
      <c r="E28" s="12"/>
      <c r="F28" s="67">
        <v>354310127</v>
      </c>
      <c r="G28" s="66"/>
      <c r="H28" s="67">
        <v>5394684008</v>
      </c>
      <c r="I28" s="66"/>
    </row>
    <row r="29" spans="1:9" ht="30" customHeight="1" x14ac:dyDescent="0.3">
      <c r="A29" s="61" t="s">
        <v>74</v>
      </c>
      <c r="B29" s="263" t="s">
        <v>227</v>
      </c>
      <c r="C29" s="263"/>
      <c r="D29" s="263"/>
      <c r="E29" s="19"/>
      <c r="F29" s="62"/>
      <c r="G29" s="63">
        <v>13101512002571</v>
      </c>
      <c r="H29" s="62"/>
      <c r="I29" s="63">
        <v>12959314696015</v>
      </c>
    </row>
    <row r="30" spans="1:9" ht="30" customHeight="1" x14ac:dyDescent="0.3">
      <c r="A30" s="260" t="s">
        <v>85</v>
      </c>
      <c r="B30" s="261"/>
      <c r="C30" s="263" t="s">
        <v>222</v>
      </c>
      <c r="D30" s="263"/>
      <c r="E30" s="12"/>
      <c r="F30" s="64"/>
      <c r="G30" s="63">
        <v>78569545026</v>
      </c>
      <c r="H30" s="64"/>
      <c r="I30" s="63">
        <v>75689454308</v>
      </c>
    </row>
    <row r="31" spans="1:9" ht="30" customHeight="1" x14ac:dyDescent="0.3">
      <c r="A31" s="71"/>
      <c r="B31" s="80"/>
      <c r="C31" s="11"/>
      <c r="D31" s="28" t="s">
        <v>236</v>
      </c>
      <c r="E31" s="12"/>
      <c r="F31" s="67">
        <v>424799200</v>
      </c>
      <c r="G31" s="63"/>
      <c r="H31" s="67">
        <v>400737620</v>
      </c>
      <c r="I31" s="63"/>
    </row>
    <row r="32" spans="1:9" ht="30" customHeight="1" x14ac:dyDescent="0.3">
      <c r="A32" s="71"/>
      <c r="B32" s="80"/>
      <c r="C32" s="11"/>
      <c r="D32" s="28" t="s">
        <v>242</v>
      </c>
      <c r="E32" s="12"/>
      <c r="F32" s="67">
        <v>52036045685</v>
      </c>
      <c r="G32" s="63"/>
      <c r="H32" s="67">
        <v>55961110540</v>
      </c>
      <c r="I32" s="63"/>
    </row>
    <row r="33" spans="1:9" ht="30" customHeight="1" x14ac:dyDescent="0.3">
      <c r="A33" s="61"/>
      <c r="B33" s="57"/>
      <c r="C33" s="11"/>
      <c r="D33" s="28" t="s">
        <v>122</v>
      </c>
      <c r="E33" s="79"/>
      <c r="F33" s="67">
        <v>26108700141</v>
      </c>
      <c r="G33" s="72"/>
      <c r="H33" s="67">
        <v>19327606148</v>
      </c>
      <c r="I33" s="72"/>
    </row>
    <row r="34" spans="1:9" ht="30" hidden="1" customHeight="1" x14ac:dyDescent="0.3">
      <c r="A34" s="61"/>
      <c r="B34" s="57"/>
      <c r="C34" s="11" t="s">
        <v>98</v>
      </c>
      <c r="D34" s="28" t="s">
        <v>246</v>
      </c>
      <c r="E34" s="79"/>
      <c r="F34" s="67"/>
      <c r="G34" s="72"/>
      <c r="H34" s="67"/>
      <c r="I34" s="72"/>
    </row>
    <row r="35" spans="1:9" ht="30" customHeight="1" x14ac:dyDescent="0.3">
      <c r="A35" s="260" t="s">
        <v>69</v>
      </c>
      <c r="B35" s="261"/>
      <c r="C35" s="263" t="s">
        <v>241</v>
      </c>
      <c r="D35" s="263"/>
      <c r="E35" s="76"/>
      <c r="F35" s="62"/>
      <c r="G35" s="77">
        <v>12897905955715</v>
      </c>
      <c r="H35" s="62"/>
      <c r="I35" s="77">
        <v>12762232922256</v>
      </c>
    </row>
    <row r="36" spans="1:9" ht="30" customHeight="1" x14ac:dyDescent="0.3">
      <c r="A36" s="71"/>
      <c r="B36" s="80"/>
      <c r="C36" s="11"/>
      <c r="D36" s="28" t="s">
        <v>92</v>
      </c>
      <c r="E36" s="79"/>
      <c r="F36" s="62">
        <v>3517271652300</v>
      </c>
      <c r="G36" s="63"/>
      <c r="H36" s="62">
        <v>3520085114300</v>
      </c>
      <c r="I36" s="63"/>
    </row>
    <row r="37" spans="1:9" ht="30" customHeight="1" x14ac:dyDescent="0.3">
      <c r="A37" s="61"/>
      <c r="B37" s="57"/>
      <c r="C37" s="11"/>
      <c r="D37" s="28" t="s">
        <v>90</v>
      </c>
      <c r="E37" s="76"/>
      <c r="F37" s="62">
        <v>460705168176</v>
      </c>
      <c r="G37" s="63"/>
      <c r="H37" s="62">
        <v>452542702541</v>
      </c>
      <c r="I37" s="63"/>
    </row>
    <row r="38" spans="1:9" ht="30" customHeight="1" x14ac:dyDescent="0.3">
      <c r="A38" s="61"/>
      <c r="B38" s="57"/>
      <c r="C38" s="11"/>
      <c r="D38" s="28" t="s">
        <v>120</v>
      </c>
      <c r="E38" s="79"/>
      <c r="F38" s="55">
        <v>-308802124742</v>
      </c>
      <c r="G38" s="54"/>
      <c r="H38" s="55">
        <v>-298642117567</v>
      </c>
      <c r="I38" s="54"/>
    </row>
    <row r="39" spans="1:9" ht="30" customHeight="1" x14ac:dyDescent="0.3">
      <c r="A39" s="71"/>
      <c r="B39" s="80"/>
      <c r="C39" s="11"/>
      <c r="D39" s="28" t="s">
        <v>225</v>
      </c>
      <c r="E39" s="79"/>
      <c r="F39" s="55">
        <v>-542303342</v>
      </c>
      <c r="G39" s="54"/>
      <c r="H39" s="55">
        <v>-523762764</v>
      </c>
      <c r="I39" s="54"/>
    </row>
    <row r="40" spans="1:9" ht="30" customHeight="1" x14ac:dyDescent="0.3">
      <c r="A40" s="61"/>
      <c r="B40" s="57"/>
      <c r="C40" s="11"/>
      <c r="D40" s="28" t="s">
        <v>226</v>
      </c>
      <c r="E40" s="76"/>
      <c r="F40" s="67">
        <v>94972626027</v>
      </c>
      <c r="G40" s="63"/>
      <c r="H40" s="67">
        <v>92695433375</v>
      </c>
      <c r="I40" s="63"/>
    </row>
    <row r="41" spans="1:9" ht="30" customHeight="1" x14ac:dyDescent="0.3">
      <c r="A41" s="61"/>
      <c r="B41" s="57"/>
      <c r="C41" s="11"/>
      <c r="D41" s="28" t="s">
        <v>120</v>
      </c>
      <c r="E41" s="79"/>
      <c r="F41" s="55">
        <v>-58706126412</v>
      </c>
      <c r="G41" s="54"/>
      <c r="H41" s="55">
        <v>-56525316138</v>
      </c>
      <c r="I41" s="54"/>
    </row>
    <row r="42" spans="1:9" ht="30" customHeight="1" x14ac:dyDescent="0.3">
      <c r="A42" s="71"/>
      <c r="B42" s="80"/>
      <c r="C42" s="11"/>
      <c r="D42" s="28" t="s">
        <v>223</v>
      </c>
      <c r="E42" s="76"/>
      <c r="F42" s="67">
        <v>11824344951297</v>
      </c>
      <c r="G42" s="63"/>
      <c r="H42" s="67">
        <v>11707905628584</v>
      </c>
      <c r="I42" s="63"/>
    </row>
    <row r="43" spans="1:9" ht="30" customHeight="1" x14ac:dyDescent="0.3">
      <c r="A43" s="61"/>
      <c r="B43" s="57"/>
      <c r="C43" s="11"/>
      <c r="D43" s="28" t="s">
        <v>120</v>
      </c>
      <c r="E43" s="79"/>
      <c r="F43" s="55">
        <v>-4724799634006</v>
      </c>
      <c r="G43" s="54"/>
      <c r="H43" s="55">
        <v>-4504510544079</v>
      </c>
      <c r="I43" s="54"/>
    </row>
    <row r="44" spans="1:9" ht="30" customHeight="1" x14ac:dyDescent="0.3">
      <c r="A44" s="61"/>
      <c r="B44" s="57"/>
      <c r="C44" s="11"/>
      <c r="D44" s="28" t="s">
        <v>225</v>
      </c>
      <c r="E44" s="79"/>
      <c r="F44" s="55">
        <v>-92704210238</v>
      </c>
      <c r="G44" s="54"/>
      <c r="H44" s="55">
        <v>-65101252823</v>
      </c>
      <c r="I44" s="54"/>
    </row>
    <row r="45" spans="1:9" ht="30" customHeight="1" x14ac:dyDescent="0.3">
      <c r="A45" s="126"/>
      <c r="B45" s="127"/>
      <c r="C45" s="11"/>
      <c r="D45" s="128" t="s">
        <v>101</v>
      </c>
      <c r="E45" s="79"/>
      <c r="F45" s="55">
        <v>-355292252</v>
      </c>
      <c r="G45" s="54"/>
      <c r="H45" s="13">
        <v>0</v>
      </c>
      <c r="I45" s="54"/>
    </row>
    <row r="46" spans="1:9" ht="30" customHeight="1" x14ac:dyDescent="0.3">
      <c r="A46" s="71"/>
      <c r="B46" s="80"/>
      <c r="C46" s="11"/>
      <c r="D46" s="28" t="s">
        <v>235</v>
      </c>
      <c r="E46" s="76"/>
      <c r="F46" s="67">
        <v>2153365622280</v>
      </c>
      <c r="G46" s="63"/>
      <c r="H46" s="67">
        <v>2058873263616</v>
      </c>
      <c r="I46" s="63"/>
    </row>
    <row r="47" spans="1:9" ht="30" customHeight="1" x14ac:dyDescent="0.3">
      <c r="A47" s="61"/>
      <c r="B47" s="57"/>
      <c r="C47" s="11"/>
      <c r="D47" s="28" t="s">
        <v>120</v>
      </c>
      <c r="E47" s="79"/>
      <c r="F47" s="55">
        <v>-1356772586762</v>
      </c>
      <c r="G47" s="54"/>
      <c r="H47" s="55">
        <v>-1324597363425</v>
      </c>
      <c r="I47" s="54"/>
    </row>
    <row r="48" spans="1:9" ht="30" customHeight="1" x14ac:dyDescent="0.3">
      <c r="A48" s="61"/>
      <c r="B48" s="57"/>
      <c r="C48" s="11"/>
      <c r="D48" s="28" t="s">
        <v>225</v>
      </c>
      <c r="E48" s="79"/>
      <c r="F48" s="55">
        <v>-49570632660</v>
      </c>
      <c r="G48" s="54"/>
      <c r="H48" s="55">
        <v>-20552616769</v>
      </c>
      <c r="I48" s="54"/>
    </row>
    <row r="49" spans="1:9" ht="30" customHeight="1" x14ac:dyDescent="0.3">
      <c r="A49" s="71"/>
      <c r="B49" s="80"/>
      <c r="C49" s="11"/>
      <c r="D49" s="28" t="s">
        <v>244</v>
      </c>
      <c r="E49" s="76"/>
      <c r="F49" s="67">
        <v>2585069593026</v>
      </c>
      <c r="G49" s="63"/>
      <c r="H49" s="67">
        <v>2672417306931</v>
      </c>
      <c r="I49" s="63"/>
    </row>
    <row r="50" spans="1:9" ht="30" customHeight="1" x14ac:dyDescent="0.3">
      <c r="A50" s="61"/>
      <c r="B50" s="57"/>
      <c r="C50" s="11"/>
      <c r="D50" s="28" t="s">
        <v>120</v>
      </c>
      <c r="E50" s="81"/>
      <c r="F50" s="55">
        <v>-1809750813624</v>
      </c>
      <c r="G50" s="54"/>
      <c r="H50" s="55">
        <v>-1823755855251</v>
      </c>
      <c r="I50" s="54"/>
    </row>
    <row r="51" spans="1:9" ht="30" customHeight="1" x14ac:dyDescent="0.3">
      <c r="A51" s="61"/>
      <c r="B51" s="57"/>
      <c r="C51" s="11"/>
      <c r="D51" s="128" t="s">
        <v>225</v>
      </c>
      <c r="E51" s="79"/>
      <c r="F51" s="55">
        <v>-613873249</v>
      </c>
      <c r="G51" s="54"/>
      <c r="H51" s="13">
        <v>0</v>
      </c>
      <c r="I51" s="54"/>
    </row>
    <row r="52" spans="1:9" ht="30" customHeight="1" x14ac:dyDescent="0.3">
      <c r="A52" s="61"/>
      <c r="B52" s="57"/>
      <c r="C52" s="11"/>
      <c r="D52" s="112" t="s">
        <v>240</v>
      </c>
      <c r="E52" s="76"/>
      <c r="F52" s="67">
        <v>5691751929</v>
      </c>
      <c r="G52" s="63"/>
      <c r="H52" s="67">
        <v>4999292547</v>
      </c>
      <c r="I52" s="63"/>
    </row>
    <row r="53" spans="1:9" ht="30" customHeight="1" x14ac:dyDescent="0.3">
      <c r="A53" s="71"/>
      <c r="B53" s="80"/>
      <c r="C53" s="11"/>
      <c r="D53" s="28" t="s">
        <v>120</v>
      </c>
      <c r="E53" s="79"/>
      <c r="F53" s="55">
        <v>-4377536606</v>
      </c>
      <c r="G53" s="54"/>
      <c r="H53" s="55">
        <v>-4320859331</v>
      </c>
      <c r="I53" s="54"/>
    </row>
    <row r="54" spans="1:9" ht="30" customHeight="1" x14ac:dyDescent="0.3">
      <c r="A54" s="113"/>
      <c r="B54" s="114"/>
      <c r="C54" s="11"/>
      <c r="D54" s="115" t="s">
        <v>225</v>
      </c>
      <c r="E54" s="79"/>
      <c r="F54" s="55">
        <v>-155226999</v>
      </c>
      <c r="G54" s="54"/>
      <c r="H54" s="55">
        <v>-52200000</v>
      </c>
      <c r="I54" s="54"/>
    </row>
    <row r="55" spans="1:9" ht="30" customHeight="1" x14ac:dyDescent="0.3">
      <c r="A55" s="113"/>
      <c r="B55" s="114"/>
      <c r="C55" s="11"/>
      <c r="D55" s="115" t="s">
        <v>101</v>
      </c>
      <c r="E55" s="79"/>
      <c r="F55" s="55">
        <v>-473959831</v>
      </c>
      <c r="G55" s="54"/>
      <c r="H55" s="55">
        <v>-217848000</v>
      </c>
      <c r="I55" s="54"/>
    </row>
    <row r="56" spans="1:9" ht="30" customHeight="1" x14ac:dyDescent="0.3">
      <c r="A56" s="61"/>
      <c r="B56" s="57"/>
      <c r="C56" s="11"/>
      <c r="D56" s="28" t="s">
        <v>187</v>
      </c>
      <c r="E56" s="76"/>
      <c r="F56" s="67">
        <v>126764853641</v>
      </c>
      <c r="G56" s="63"/>
      <c r="H56" s="67">
        <v>124253743865</v>
      </c>
      <c r="I56" s="63"/>
    </row>
    <row r="57" spans="1:9" ht="30" customHeight="1" x14ac:dyDescent="0.3">
      <c r="A57" s="61"/>
      <c r="B57" s="57"/>
      <c r="C57" s="11"/>
      <c r="D57" s="28" t="s">
        <v>120</v>
      </c>
      <c r="E57" s="79"/>
      <c r="F57" s="55">
        <v>-99948063915</v>
      </c>
      <c r="G57" s="54"/>
      <c r="H57" s="55">
        <v>-98918949869</v>
      </c>
      <c r="I57" s="54"/>
    </row>
    <row r="58" spans="1:9" ht="30" customHeight="1" x14ac:dyDescent="0.3">
      <c r="A58" s="71"/>
      <c r="B58" s="80"/>
      <c r="C58" s="11"/>
      <c r="D58" s="28" t="s">
        <v>225</v>
      </c>
      <c r="E58" s="79"/>
      <c r="F58" s="55">
        <v>-60128640</v>
      </c>
      <c r="G58" s="54"/>
      <c r="H58" s="55">
        <v>-37415643</v>
      </c>
      <c r="I58" s="54"/>
    </row>
    <row r="59" spans="1:9" s="123" customFormat="1" ht="30" customHeight="1" x14ac:dyDescent="0.3">
      <c r="A59" s="170"/>
      <c r="B59" s="171"/>
      <c r="C59" s="11"/>
      <c r="D59" s="169" t="s">
        <v>101</v>
      </c>
      <c r="E59" s="79"/>
      <c r="F59" s="55">
        <v>-363265840</v>
      </c>
      <c r="G59" s="54"/>
      <c r="H59" s="179">
        <v>0</v>
      </c>
      <c r="I59" s="54"/>
    </row>
    <row r="60" spans="1:9" ht="30" customHeight="1" x14ac:dyDescent="0.3">
      <c r="A60" s="61"/>
      <c r="B60" s="57"/>
      <c r="C60" s="11"/>
      <c r="D60" s="28" t="s">
        <v>232</v>
      </c>
      <c r="E60" s="76"/>
      <c r="F60" s="67">
        <v>8662851127</v>
      </c>
      <c r="G60" s="63"/>
      <c r="H60" s="67">
        <v>8399656014</v>
      </c>
      <c r="I60" s="63"/>
    </row>
    <row r="61" spans="1:9" ht="30" customHeight="1" x14ac:dyDescent="0.3">
      <c r="A61" s="61"/>
      <c r="B61" s="57"/>
      <c r="C61" s="11"/>
      <c r="D61" s="28" t="s">
        <v>120</v>
      </c>
      <c r="E61" s="79"/>
      <c r="F61" s="55">
        <v>-6348527396</v>
      </c>
      <c r="G61" s="54"/>
      <c r="H61" s="55">
        <v>-5493583808</v>
      </c>
      <c r="I61" s="54"/>
    </row>
    <row r="62" spans="1:9" ht="30" customHeight="1" x14ac:dyDescent="0.3">
      <c r="A62" s="71"/>
      <c r="B62" s="80"/>
      <c r="C62" s="11"/>
      <c r="D62" s="28" t="s">
        <v>233</v>
      </c>
      <c r="E62" s="76"/>
      <c r="F62" s="67">
        <v>706118195239</v>
      </c>
      <c r="G62" s="63"/>
      <c r="H62" s="67">
        <v>375266376177</v>
      </c>
      <c r="I62" s="63"/>
    </row>
    <row r="63" spans="1:9" ht="30" customHeight="1" x14ac:dyDescent="0.3">
      <c r="A63" s="61"/>
      <c r="B63" s="57"/>
      <c r="C63" s="11"/>
      <c r="D63" s="28" t="s">
        <v>225</v>
      </c>
      <c r="E63" s="79"/>
      <c r="F63" s="55">
        <v>-70717002813</v>
      </c>
      <c r="G63" s="54"/>
      <c r="H63" s="55">
        <v>-51955910227</v>
      </c>
      <c r="I63" s="54"/>
    </row>
    <row r="64" spans="1:9" ht="30" customHeight="1" x14ac:dyDescent="0.3">
      <c r="A64" s="61"/>
      <c r="B64" s="57"/>
      <c r="C64" s="11"/>
      <c r="D64" s="28" t="s">
        <v>117</v>
      </c>
      <c r="E64" s="76"/>
      <c r="F64" s="121">
        <v>77086125168</v>
      </c>
      <c r="G64" s="63"/>
      <c r="H64" s="67">
        <v>71749504782</v>
      </c>
      <c r="I64" s="63"/>
    </row>
    <row r="65" spans="1:15" ht="30" customHeight="1" x14ac:dyDescent="0.3">
      <c r="A65" s="71"/>
      <c r="B65" s="80"/>
      <c r="C65" s="11"/>
      <c r="D65" s="28" t="s">
        <v>120</v>
      </c>
      <c r="E65" s="79"/>
      <c r="F65" s="55">
        <v>-20337348841</v>
      </c>
      <c r="G65" s="54"/>
      <c r="H65" s="55">
        <v>-17518780320</v>
      </c>
      <c r="I65" s="54"/>
    </row>
    <row r="66" spans="1:15" ht="30" customHeight="1" x14ac:dyDescent="0.3">
      <c r="A66" s="61"/>
      <c r="B66" s="57"/>
      <c r="C66" s="11"/>
      <c r="D66" s="28" t="s">
        <v>118</v>
      </c>
      <c r="E66" s="79"/>
      <c r="F66" s="55">
        <v>-56748776327</v>
      </c>
      <c r="G66" s="70"/>
      <c r="H66" s="55">
        <v>-54230724462</v>
      </c>
      <c r="I66" s="70"/>
    </row>
    <row r="67" spans="1:15" ht="30" customHeight="1" x14ac:dyDescent="0.3">
      <c r="A67" s="260" t="s">
        <v>83</v>
      </c>
      <c r="B67" s="261"/>
      <c r="C67" s="263" t="s">
        <v>221</v>
      </c>
      <c r="D67" s="263"/>
      <c r="E67" s="78"/>
      <c r="F67" s="64"/>
      <c r="G67" s="77">
        <v>109333769490</v>
      </c>
      <c r="H67" s="64"/>
      <c r="I67" s="77">
        <v>108868803708</v>
      </c>
    </row>
    <row r="68" spans="1:15" ht="30" customHeight="1" x14ac:dyDescent="0.3">
      <c r="A68" s="61"/>
      <c r="B68" s="57"/>
      <c r="C68" s="11"/>
      <c r="D68" s="56" t="s">
        <v>205</v>
      </c>
      <c r="E68" s="76"/>
      <c r="F68" s="67">
        <v>148574126</v>
      </c>
      <c r="G68" s="63"/>
      <c r="H68" s="67">
        <v>165029036</v>
      </c>
      <c r="I68" s="63"/>
      <c r="O68" s="129"/>
    </row>
    <row r="69" spans="1:15" ht="30" customHeight="1" x14ac:dyDescent="0.3">
      <c r="A69" s="61"/>
      <c r="B69" s="57"/>
      <c r="C69" s="11"/>
      <c r="D69" s="56" t="s">
        <v>99</v>
      </c>
      <c r="E69" s="76"/>
      <c r="F69" s="67">
        <v>99598023461</v>
      </c>
      <c r="G69" s="63"/>
      <c r="H69" s="67">
        <v>99598023461</v>
      </c>
      <c r="I69" s="63"/>
    </row>
    <row r="70" spans="1:15" ht="30" customHeight="1" x14ac:dyDescent="0.3">
      <c r="A70" s="61"/>
      <c r="B70" s="57"/>
      <c r="C70" s="11"/>
      <c r="D70" s="56" t="s">
        <v>204</v>
      </c>
      <c r="E70" s="19"/>
      <c r="F70" s="67">
        <v>9587171903</v>
      </c>
      <c r="G70" s="63"/>
      <c r="H70" s="67">
        <v>9105751211</v>
      </c>
      <c r="I70" s="63"/>
    </row>
    <row r="71" spans="1:15" ht="30" customHeight="1" x14ac:dyDescent="0.3">
      <c r="A71" s="61"/>
      <c r="B71" s="57"/>
      <c r="C71" s="11"/>
      <c r="D71" s="56" t="s">
        <v>121</v>
      </c>
      <c r="E71" s="19"/>
      <c r="F71" s="67">
        <v>1330743711</v>
      </c>
      <c r="G71" s="63"/>
      <c r="H71" s="67">
        <v>1062988711</v>
      </c>
      <c r="I71" s="63"/>
    </row>
    <row r="72" spans="1:15" ht="30" customHeight="1" x14ac:dyDescent="0.3">
      <c r="A72" s="61"/>
      <c r="B72" s="11"/>
      <c r="C72" s="11"/>
      <c r="D72" s="28" t="s">
        <v>120</v>
      </c>
      <c r="E72" s="19"/>
      <c r="F72" s="75">
        <v>-915301892</v>
      </c>
      <c r="G72" s="54"/>
      <c r="H72" s="75">
        <v>-707523650</v>
      </c>
      <c r="I72" s="54"/>
    </row>
    <row r="73" spans="1:15" ht="30" customHeight="1" x14ac:dyDescent="0.3">
      <c r="A73" s="61"/>
      <c r="B73" s="11"/>
      <c r="C73" s="11"/>
      <c r="D73" s="28" t="s">
        <v>118</v>
      </c>
      <c r="E73" s="19"/>
      <c r="F73" s="55">
        <v>-415441819</v>
      </c>
      <c r="G73" s="70"/>
      <c r="H73" s="55">
        <v>-355465061</v>
      </c>
      <c r="I73" s="70"/>
    </row>
    <row r="74" spans="1:15" ht="30" customHeight="1" x14ac:dyDescent="0.3">
      <c r="A74" s="260" t="s">
        <v>68</v>
      </c>
      <c r="B74" s="261"/>
      <c r="C74" s="263" t="s">
        <v>203</v>
      </c>
      <c r="D74" s="263"/>
      <c r="E74" s="12"/>
      <c r="F74" s="64"/>
      <c r="G74" s="72">
        <v>15702732340</v>
      </c>
      <c r="H74" s="64"/>
      <c r="I74" s="72">
        <v>12523515743</v>
      </c>
    </row>
    <row r="75" spans="1:15" ht="30" customHeight="1" x14ac:dyDescent="0.3">
      <c r="A75" s="71"/>
      <c r="B75" s="57"/>
      <c r="C75" s="11"/>
      <c r="D75" s="28" t="s">
        <v>89</v>
      </c>
      <c r="E75" s="12"/>
      <c r="F75" s="67">
        <v>2293965500</v>
      </c>
      <c r="G75" s="63"/>
      <c r="H75" s="67">
        <v>2276665500</v>
      </c>
      <c r="I75" s="63"/>
    </row>
    <row r="76" spans="1:15" ht="30" customHeight="1" x14ac:dyDescent="0.3">
      <c r="A76" s="71"/>
      <c r="B76" s="57"/>
      <c r="C76" s="11"/>
      <c r="D76" s="28" t="s">
        <v>202</v>
      </c>
      <c r="E76" s="12"/>
      <c r="F76" s="67">
        <v>1241309884</v>
      </c>
      <c r="G76" s="63"/>
      <c r="H76" s="67">
        <v>1241309884</v>
      </c>
      <c r="I76" s="63"/>
    </row>
    <row r="77" spans="1:15" ht="30" customHeight="1" x14ac:dyDescent="0.3">
      <c r="A77" s="71"/>
      <c r="B77" s="57"/>
      <c r="C77" s="11"/>
      <c r="D77" s="28" t="s">
        <v>201</v>
      </c>
      <c r="E77" s="12"/>
      <c r="F77" s="60">
        <v>-1179746238</v>
      </c>
      <c r="G77" s="54"/>
      <c r="H77" s="60">
        <v>-1179746238</v>
      </c>
      <c r="I77" s="54"/>
    </row>
    <row r="78" spans="1:15" ht="30" customHeight="1" x14ac:dyDescent="0.3">
      <c r="A78" s="61"/>
      <c r="B78" s="57"/>
      <c r="C78" s="11"/>
      <c r="D78" s="28" t="s">
        <v>119</v>
      </c>
      <c r="E78" s="12"/>
      <c r="F78" s="67">
        <v>13347203194</v>
      </c>
      <c r="G78" s="63"/>
      <c r="H78" s="67">
        <v>10185286597</v>
      </c>
      <c r="I78" s="63"/>
    </row>
    <row r="79" spans="1:15" ht="30" customHeight="1" thickBot="1" x14ac:dyDescent="0.35">
      <c r="A79" s="53" t="s">
        <v>86</v>
      </c>
      <c r="B79" s="264" t="s">
        <v>192</v>
      </c>
      <c r="C79" s="264"/>
      <c r="D79" s="264"/>
      <c r="E79" s="52"/>
      <c r="F79" s="51"/>
      <c r="G79" s="50">
        <v>13340264039806</v>
      </c>
      <c r="H79" s="51"/>
      <c r="I79" s="50">
        <v>13199044797484</v>
      </c>
    </row>
    <row r="80" spans="1:15" ht="30" customHeight="1" thickTop="1" x14ac:dyDescent="0.3">
      <c r="A80" s="265" t="s">
        <v>33</v>
      </c>
      <c r="B80" s="266"/>
      <c r="C80" s="266"/>
      <c r="D80" s="266"/>
      <c r="E80" s="65"/>
      <c r="F80" s="64"/>
      <c r="G80" s="63"/>
      <c r="H80" s="64"/>
      <c r="I80" s="63"/>
    </row>
    <row r="81" spans="1:9" ht="30" customHeight="1" x14ac:dyDescent="0.3">
      <c r="A81" s="61" t="s">
        <v>82</v>
      </c>
      <c r="B81" s="263" t="s">
        <v>197</v>
      </c>
      <c r="C81" s="263"/>
      <c r="D81" s="263"/>
      <c r="E81" s="12"/>
      <c r="F81" s="64"/>
      <c r="G81" s="63">
        <v>1408315576232</v>
      </c>
      <c r="H81" s="64"/>
      <c r="I81" s="63">
        <v>907466140015</v>
      </c>
    </row>
    <row r="82" spans="1:9" ht="30" customHeight="1" x14ac:dyDescent="0.3">
      <c r="A82" s="61"/>
      <c r="B82" s="28"/>
      <c r="C82" s="28"/>
      <c r="D82" s="28" t="s">
        <v>210</v>
      </c>
      <c r="E82" s="12"/>
      <c r="F82" s="245">
        <v>300000000000</v>
      </c>
      <c r="G82" s="209"/>
      <c r="H82" s="199">
        <v>175000000000</v>
      </c>
      <c r="I82" s="63"/>
    </row>
    <row r="83" spans="1:9" ht="30" customHeight="1" x14ac:dyDescent="0.3">
      <c r="A83" s="71"/>
      <c r="B83" s="57"/>
      <c r="C83" s="28"/>
      <c r="D83" s="56" t="s">
        <v>219</v>
      </c>
      <c r="E83" s="12"/>
      <c r="F83" s="199">
        <v>326345082901</v>
      </c>
      <c r="G83" s="209"/>
      <c r="H83" s="199">
        <v>380314637697</v>
      </c>
      <c r="I83" s="63"/>
    </row>
    <row r="84" spans="1:9" ht="30" customHeight="1" x14ac:dyDescent="0.3">
      <c r="A84" s="71"/>
      <c r="B84" s="57"/>
      <c r="C84" s="28"/>
      <c r="D84" s="56" t="s">
        <v>218</v>
      </c>
      <c r="E84" s="12"/>
      <c r="F84" s="199">
        <v>249083391407</v>
      </c>
      <c r="G84" s="209"/>
      <c r="H84" s="199">
        <v>148434461830</v>
      </c>
      <c r="I84" s="63"/>
    </row>
    <row r="85" spans="1:9" ht="30" customHeight="1" x14ac:dyDescent="0.3">
      <c r="A85" s="71"/>
      <c r="B85" s="57"/>
      <c r="C85" s="28"/>
      <c r="D85" s="56" t="s">
        <v>88</v>
      </c>
      <c r="E85" s="12"/>
      <c r="F85" s="199">
        <v>2385688914</v>
      </c>
      <c r="G85" s="209"/>
      <c r="H85" s="199">
        <v>8124684570</v>
      </c>
      <c r="I85" s="63"/>
    </row>
    <row r="86" spans="1:9" ht="30" customHeight="1" x14ac:dyDescent="0.3">
      <c r="A86" s="71"/>
      <c r="B86" s="57"/>
      <c r="C86" s="28"/>
      <c r="D86" s="56" t="s">
        <v>84</v>
      </c>
      <c r="E86" s="12"/>
      <c r="F86" s="199">
        <v>76204393843</v>
      </c>
      <c r="G86" s="209"/>
      <c r="H86" s="199">
        <v>63759816450</v>
      </c>
      <c r="I86" s="63"/>
    </row>
    <row r="87" spans="1:9" ht="30" customHeight="1" x14ac:dyDescent="0.3">
      <c r="A87" s="71"/>
      <c r="B87" s="57"/>
      <c r="C87" s="28"/>
      <c r="D87" s="56" t="s">
        <v>209</v>
      </c>
      <c r="E87" s="12"/>
      <c r="F87" s="199">
        <v>327900000000</v>
      </c>
      <c r="G87" s="209"/>
      <c r="H87" s="199">
        <v>17400000000</v>
      </c>
      <c r="I87" s="63"/>
    </row>
    <row r="88" spans="1:9" ht="30" customHeight="1" x14ac:dyDescent="0.3">
      <c r="A88" s="71"/>
      <c r="B88" s="57"/>
      <c r="C88" s="28"/>
      <c r="D88" s="56" t="s">
        <v>196</v>
      </c>
      <c r="E88" s="12"/>
      <c r="F88" s="199">
        <v>4801160547</v>
      </c>
      <c r="G88" s="209"/>
      <c r="H88" s="199">
        <v>6024080492</v>
      </c>
      <c r="I88" s="63"/>
    </row>
    <row r="89" spans="1:9" ht="30" customHeight="1" x14ac:dyDescent="0.3">
      <c r="A89" s="71"/>
      <c r="B89" s="57"/>
      <c r="C89" s="28"/>
      <c r="D89" s="56" t="s">
        <v>200</v>
      </c>
      <c r="E89" s="12"/>
      <c r="F89" s="199">
        <v>8487787727</v>
      </c>
      <c r="G89" s="209"/>
      <c r="H89" s="199">
        <v>7769021383</v>
      </c>
      <c r="I89" s="63"/>
    </row>
    <row r="90" spans="1:9" ht="30" customHeight="1" x14ac:dyDescent="0.3">
      <c r="A90" s="71"/>
      <c r="B90" s="57"/>
      <c r="C90" s="28"/>
      <c r="D90" s="56" t="s">
        <v>194</v>
      </c>
      <c r="E90" s="12"/>
      <c r="F90" s="199">
        <v>2946748635</v>
      </c>
      <c r="G90" s="209"/>
      <c r="H90" s="199">
        <v>2857927902</v>
      </c>
      <c r="I90" s="63"/>
    </row>
    <row r="91" spans="1:9" ht="30" customHeight="1" x14ac:dyDescent="0.3">
      <c r="A91" s="58"/>
      <c r="B91" s="74"/>
      <c r="C91" s="28"/>
      <c r="D91" s="56" t="s">
        <v>217</v>
      </c>
      <c r="E91" s="12"/>
      <c r="F91" s="199">
        <v>98432923051</v>
      </c>
      <c r="G91" s="209"/>
      <c r="H91" s="199">
        <v>97716489121</v>
      </c>
      <c r="I91" s="63"/>
    </row>
    <row r="92" spans="1:9" ht="30" customHeight="1" x14ac:dyDescent="0.3">
      <c r="A92" s="58"/>
      <c r="B92" s="74"/>
      <c r="C92" s="73"/>
      <c r="D92" s="56" t="s">
        <v>215</v>
      </c>
      <c r="E92" s="12"/>
      <c r="F92" s="201">
        <v>11728399207</v>
      </c>
      <c r="G92" s="209"/>
      <c r="H92" s="201">
        <v>65020570</v>
      </c>
      <c r="I92" s="63"/>
    </row>
    <row r="93" spans="1:9" ht="30" customHeight="1" x14ac:dyDescent="0.3">
      <c r="A93" s="61" t="s">
        <v>74</v>
      </c>
      <c r="B93" s="263" t="s">
        <v>208</v>
      </c>
      <c r="C93" s="263"/>
      <c r="D93" s="263"/>
      <c r="E93" s="12"/>
      <c r="F93" s="212"/>
      <c r="G93" s="209">
        <v>4845154595212</v>
      </c>
      <c r="H93" s="212"/>
      <c r="I93" s="63">
        <v>4423184391778</v>
      </c>
    </row>
    <row r="94" spans="1:9" ht="30" customHeight="1" x14ac:dyDescent="0.3">
      <c r="A94" s="58"/>
      <c r="B94" s="57"/>
      <c r="C94" s="11"/>
      <c r="D94" s="56" t="s">
        <v>87</v>
      </c>
      <c r="E94" s="12"/>
      <c r="F94" s="199">
        <v>1438000000000</v>
      </c>
      <c r="G94" s="209"/>
      <c r="H94" s="199">
        <v>730000000000</v>
      </c>
      <c r="I94" s="63"/>
    </row>
    <row r="95" spans="1:9" ht="30" customHeight="1" x14ac:dyDescent="0.3">
      <c r="A95" s="61"/>
      <c r="B95" s="57"/>
      <c r="C95" s="11"/>
      <c r="D95" s="56" t="s">
        <v>112</v>
      </c>
      <c r="E95" s="12"/>
      <c r="F95" s="246">
        <v>-253082766</v>
      </c>
      <c r="G95" s="247"/>
      <c r="H95" s="246">
        <v>-131894671</v>
      </c>
      <c r="I95" s="54"/>
    </row>
    <row r="96" spans="1:9" ht="30" customHeight="1" x14ac:dyDescent="0.3">
      <c r="A96" s="58"/>
      <c r="B96" s="57"/>
      <c r="C96" s="11"/>
      <c r="D96" s="56" t="s">
        <v>81</v>
      </c>
      <c r="E96" s="12"/>
      <c r="F96" s="199">
        <v>1422309320000</v>
      </c>
      <c r="G96" s="248"/>
      <c r="H96" s="199">
        <v>1732809320000</v>
      </c>
      <c r="I96" s="72"/>
    </row>
    <row r="97" spans="1:19" ht="30" customHeight="1" x14ac:dyDescent="0.3">
      <c r="A97" s="58"/>
      <c r="B97" s="57"/>
      <c r="C97" s="11"/>
      <c r="D97" s="56" t="s">
        <v>211</v>
      </c>
      <c r="E97" s="12"/>
      <c r="F97" s="201">
        <v>0</v>
      </c>
      <c r="G97" s="248"/>
      <c r="H97" s="199">
        <v>17400000000</v>
      </c>
      <c r="I97" s="72"/>
    </row>
    <row r="98" spans="1:19" ht="30" customHeight="1" x14ac:dyDescent="0.3">
      <c r="A98" s="58"/>
      <c r="B98" s="57"/>
      <c r="C98" s="11"/>
      <c r="D98" s="56" t="s">
        <v>216</v>
      </c>
      <c r="E98" s="12"/>
      <c r="F98" s="199">
        <v>1374273773</v>
      </c>
      <c r="G98" s="248"/>
      <c r="H98" s="199">
        <v>3053226519</v>
      </c>
      <c r="I98" s="72"/>
    </row>
    <row r="99" spans="1:19" ht="30" customHeight="1" x14ac:dyDescent="0.3">
      <c r="A99" s="71"/>
      <c r="B99" s="57"/>
      <c r="C99" s="11"/>
      <c r="D99" s="56" t="s">
        <v>115</v>
      </c>
      <c r="E99" s="12"/>
      <c r="F99" s="246">
        <v>-30593181</v>
      </c>
      <c r="G99" s="249"/>
      <c r="H99" s="246">
        <v>-155947751</v>
      </c>
      <c r="I99" s="70"/>
    </row>
    <row r="100" spans="1:19" ht="30" customHeight="1" x14ac:dyDescent="0.3">
      <c r="A100" s="58"/>
      <c r="B100" s="57"/>
      <c r="C100" s="11"/>
      <c r="D100" s="56" t="s">
        <v>212</v>
      </c>
      <c r="E100" s="12"/>
      <c r="F100" s="199">
        <v>65279313266</v>
      </c>
      <c r="G100" s="250"/>
      <c r="H100" s="199">
        <v>81570297261</v>
      </c>
      <c r="I100" s="68"/>
    </row>
    <row r="101" spans="1:19" ht="30" customHeight="1" x14ac:dyDescent="0.3">
      <c r="A101" s="61"/>
      <c r="B101" s="57"/>
      <c r="C101" s="11"/>
      <c r="D101" s="56" t="s">
        <v>113</v>
      </c>
      <c r="E101" s="12"/>
      <c r="F101" s="212">
        <v>1146798398833</v>
      </c>
      <c r="G101" s="249"/>
      <c r="H101" s="199">
        <v>1052823283737</v>
      </c>
      <c r="I101" s="63"/>
    </row>
    <row r="102" spans="1:19" ht="30" customHeight="1" x14ac:dyDescent="0.3">
      <c r="A102" s="58"/>
      <c r="B102" s="57"/>
      <c r="C102" s="11"/>
      <c r="D102" s="56" t="s">
        <v>114</v>
      </c>
      <c r="E102" s="12"/>
      <c r="F102" s="246">
        <v>-290831970</v>
      </c>
      <c r="G102" s="251"/>
      <c r="H102" s="246">
        <v>-294417770</v>
      </c>
      <c r="I102" s="69"/>
    </row>
    <row r="103" spans="1:19" ht="30" customHeight="1" x14ac:dyDescent="0.3">
      <c r="A103" s="58"/>
      <c r="B103" s="57"/>
      <c r="C103" s="11"/>
      <c r="D103" s="56" t="s">
        <v>198</v>
      </c>
      <c r="E103" s="12"/>
      <c r="F103" s="199">
        <v>30590261363</v>
      </c>
      <c r="G103" s="250"/>
      <c r="H103" s="199">
        <v>38316170146</v>
      </c>
      <c r="I103" s="68"/>
    </row>
    <row r="104" spans="1:19" ht="30" customHeight="1" x14ac:dyDescent="0.3">
      <c r="A104" s="58"/>
      <c r="B104" s="57"/>
      <c r="C104" s="11"/>
      <c r="D104" s="56" t="s">
        <v>116</v>
      </c>
      <c r="E104" s="12"/>
      <c r="F104" s="199">
        <v>66773509497</v>
      </c>
      <c r="G104" s="200"/>
      <c r="H104" s="199">
        <v>82613981436</v>
      </c>
      <c r="I104" s="66"/>
    </row>
    <row r="105" spans="1:19" s="202" customFormat="1" ht="30" customHeight="1" x14ac:dyDescent="0.3">
      <c r="A105" s="194"/>
      <c r="B105" s="195"/>
      <c r="C105" s="196"/>
      <c r="D105" s="197" t="s">
        <v>195</v>
      </c>
      <c r="E105" s="198"/>
      <c r="F105" s="199">
        <v>674604026397</v>
      </c>
      <c r="G105" s="200"/>
      <c r="H105" s="201">
        <v>685180372871</v>
      </c>
      <c r="I105" s="200"/>
    </row>
    <row r="106" spans="1:19" s="202" customFormat="1" ht="30" customHeight="1" thickBot="1" x14ac:dyDescent="0.35">
      <c r="A106" s="203" t="s">
        <v>86</v>
      </c>
      <c r="B106" s="267" t="s">
        <v>199</v>
      </c>
      <c r="C106" s="267"/>
      <c r="D106" s="267"/>
      <c r="E106" s="204"/>
      <c r="F106" s="205"/>
      <c r="G106" s="206">
        <v>6253470171444</v>
      </c>
      <c r="H106" s="205"/>
      <c r="I106" s="206">
        <v>5330650531793</v>
      </c>
    </row>
    <row r="107" spans="1:19" s="202" customFormat="1" ht="30" customHeight="1" thickTop="1" x14ac:dyDescent="0.3">
      <c r="A107" s="272" t="s">
        <v>35</v>
      </c>
      <c r="B107" s="273"/>
      <c r="C107" s="273"/>
      <c r="D107" s="273"/>
      <c r="E107" s="207"/>
      <c r="F107" s="208"/>
      <c r="G107" s="209"/>
      <c r="H107" s="208"/>
      <c r="I107" s="209"/>
      <c r="S107" s="155"/>
    </row>
    <row r="108" spans="1:19" s="202" customFormat="1" ht="30" customHeight="1" x14ac:dyDescent="0.3">
      <c r="A108" s="210" t="s">
        <v>82</v>
      </c>
      <c r="B108" s="271" t="s">
        <v>57</v>
      </c>
      <c r="C108" s="271"/>
      <c r="D108" s="271"/>
      <c r="E108" s="211"/>
      <c r="F108" s="208"/>
      <c r="G108" s="209">
        <v>21000848151447</v>
      </c>
      <c r="H108" s="208"/>
      <c r="I108" s="209">
        <v>20676935389447</v>
      </c>
    </row>
    <row r="109" spans="1:19" s="202" customFormat="1" ht="30" customHeight="1" x14ac:dyDescent="0.3">
      <c r="A109" s="194"/>
      <c r="B109" s="195"/>
      <c r="C109" s="196"/>
      <c r="D109" s="197" t="s">
        <v>78</v>
      </c>
      <c r="E109" s="211"/>
      <c r="F109" s="212">
        <v>20999041485107</v>
      </c>
      <c r="G109" s="209"/>
      <c r="H109" s="212">
        <v>20675128723107</v>
      </c>
      <c r="I109" s="209"/>
    </row>
    <row r="110" spans="1:19" s="202" customFormat="1" ht="30" customHeight="1" x14ac:dyDescent="0.3">
      <c r="A110" s="194"/>
      <c r="B110" s="195"/>
      <c r="C110" s="196"/>
      <c r="D110" s="197" t="s">
        <v>207</v>
      </c>
      <c r="E110" s="211"/>
      <c r="F110" s="213">
        <v>1806666340</v>
      </c>
      <c r="G110" s="209"/>
      <c r="H110" s="213">
        <v>1806666340</v>
      </c>
      <c r="I110" s="209"/>
    </row>
    <row r="111" spans="1:19" s="202" customFormat="1" ht="30" customHeight="1" x14ac:dyDescent="0.3">
      <c r="A111" s="210" t="s">
        <v>74</v>
      </c>
      <c r="B111" s="271" t="s">
        <v>111</v>
      </c>
      <c r="C111" s="271"/>
      <c r="D111" s="271"/>
      <c r="E111" s="211"/>
      <c r="F111" s="214"/>
      <c r="G111" s="215">
        <v>2154387079295</v>
      </c>
      <c r="H111" s="214"/>
      <c r="I111" s="215">
        <v>2146163675987</v>
      </c>
    </row>
    <row r="112" spans="1:19" s="202" customFormat="1" ht="30" customHeight="1" x14ac:dyDescent="0.3">
      <c r="A112" s="194"/>
      <c r="B112" s="195"/>
      <c r="C112" s="196"/>
      <c r="D112" s="197" t="s">
        <v>104</v>
      </c>
      <c r="E112" s="211"/>
      <c r="F112" s="212">
        <v>44255600</v>
      </c>
      <c r="G112" s="215"/>
      <c r="H112" s="212">
        <v>20194020</v>
      </c>
      <c r="I112" s="215"/>
    </row>
    <row r="113" spans="1:12" s="202" customFormat="1" ht="30" customHeight="1" x14ac:dyDescent="0.3">
      <c r="A113" s="194"/>
      <c r="B113" s="195"/>
      <c r="C113" s="196"/>
      <c r="D113" s="197" t="s">
        <v>213</v>
      </c>
      <c r="E113" s="211"/>
      <c r="F113" s="201">
        <v>2154342486585</v>
      </c>
      <c r="G113" s="215"/>
      <c r="H113" s="201">
        <v>2146143481967</v>
      </c>
      <c r="I113" s="215"/>
      <c r="K113" s="216"/>
      <c r="L113" s="216"/>
    </row>
    <row r="114" spans="1:12" s="123" customFormat="1" ht="30" customHeight="1" x14ac:dyDescent="0.3">
      <c r="A114" s="58"/>
      <c r="B114" s="189"/>
      <c r="C114" s="190"/>
      <c r="D114" s="191" t="s">
        <v>371</v>
      </c>
      <c r="E114" s="192"/>
      <c r="F114" s="252">
        <v>337110</v>
      </c>
      <c r="G114" s="253"/>
      <c r="H114" s="252">
        <v>0</v>
      </c>
      <c r="I114" s="193"/>
      <c r="K114" s="184"/>
      <c r="L114" s="184"/>
    </row>
    <row r="115" spans="1:12" ht="30" customHeight="1" x14ac:dyDescent="0.3">
      <c r="A115" s="61" t="s">
        <v>74</v>
      </c>
      <c r="B115" s="263" t="s">
        <v>77</v>
      </c>
      <c r="C115" s="263"/>
      <c r="D115" s="263"/>
      <c r="E115" s="19"/>
      <c r="F115" s="60"/>
      <c r="G115" s="59">
        <v>-16068441362380</v>
      </c>
      <c r="H115" s="60"/>
      <c r="I115" s="59">
        <v>-14954704799743</v>
      </c>
      <c r="K115" s="185"/>
      <c r="L115" s="186"/>
    </row>
    <row r="116" spans="1:12" ht="30" customHeight="1" x14ac:dyDescent="0.3">
      <c r="A116" s="58"/>
      <c r="B116" s="57"/>
      <c r="C116" s="11"/>
      <c r="D116" s="56" t="s">
        <v>206</v>
      </c>
      <c r="E116" s="19"/>
      <c r="F116" s="55">
        <v>-16068441362380</v>
      </c>
      <c r="G116" s="54"/>
      <c r="H116" s="55">
        <v>-14954704799743</v>
      </c>
      <c r="I116" s="54"/>
      <c r="K116" s="187"/>
      <c r="L116" s="188"/>
    </row>
    <row r="117" spans="1:12" ht="30" customHeight="1" thickBot="1" x14ac:dyDescent="0.35">
      <c r="A117" s="53" t="s">
        <v>86</v>
      </c>
      <c r="B117" s="264" t="s">
        <v>214</v>
      </c>
      <c r="C117" s="264"/>
      <c r="D117" s="264"/>
      <c r="E117" s="52"/>
      <c r="F117" s="51"/>
      <c r="G117" s="50">
        <v>7086793868362</v>
      </c>
      <c r="H117" s="51"/>
      <c r="I117" s="50">
        <v>7868394265691</v>
      </c>
      <c r="K117" s="129"/>
      <c r="L117" s="129"/>
    </row>
    <row r="118" spans="1:12" ht="30" customHeight="1" thickTop="1" thickBot="1" x14ac:dyDescent="0.35">
      <c r="A118" s="49" t="s">
        <v>86</v>
      </c>
      <c r="B118" s="270" t="s">
        <v>193</v>
      </c>
      <c r="C118" s="270"/>
      <c r="D118" s="270"/>
      <c r="E118" s="48"/>
      <c r="F118" s="47"/>
      <c r="G118" s="46">
        <v>13340264039806</v>
      </c>
      <c r="H118" s="47"/>
      <c r="I118" s="46">
        <v>13199044797484</v>
      </c>
    </row>
    <row r="119" spans="1:12" ht="18.75" x14ac:dyDescent="0.3">
      <c r="A119" s="45"/>
      <c r="B119" s="44"/>
      <c r="C119" s="43"/>
      <c r="D119" s="42"/>
      <c r="E119" s="40"/>
      <c r="F119" s="41"/>
      <c r="G119" s="40"/>
    </row>
    <row r="120" spans="1:12" ht="18.75" x14ac:dyDescent="0.25">
      <c r="A120" s="34"/>
      <c r="B120" s="34"/>
      <c r="C120" s="35"/>
      <c r="D120" s="34"/>
      <c r="E120" s="33"/>
      <c r="F120" s="33"/>
      <c r="G120" s="39" t="b">
        <f>G79=G118</f>
        <v>1</v>
      </c>
      <c r="I120" s="39" t="b">
        <f>I79=I118</f>
        <v>1</v>
      </c>
    </row>
    <row r="121" spans="1:12" ht="18.75" x14ac:dyDescent="0.25">
      <c r="A121" s="34"/>
      <c r="B121" s="34"/>
      <c r="C121" s="35"/>
      <c r="D121" s="38"/>
      <c r="E121" s="33"/>
      <c r="F121" s="33"/>
      <c r="G121" s="37"/>
    </row>
    <row r="122" spans="1:12" ht="18.75" x14ac:dyDescent="0.25">
      <c r="A122" s="34"/>
      <c r="B122" s="34"/>
      <c r="C122" s="35"/>
      <c r="D122" s="34"/>
      <c r="E122" s="33"/>
      <c r="F122" s="33"/>
      <c r="G122" s="33"/>
    </row>
    <row r="123" spans="1:12" ht="18.75" x14ac:dyDescent="0.25">
      <c r="A123" s="34"/>
      <c r="B123" s="34"/>
      <c r="C123" s="35"/>
      <c r="D123" s="34"/>
      <c r="E123" s="33"/>
      <c r="F123" s="33"/>
      <c r="G123" s="33"/>
    </row>
    <row r="124" spans="1:12" ht="18.75" x14ac:dyDescent="0.25">
      <c r="A124" s="34"/>
      <c r="B124" s="34"/>
      <c r="C124" s="35"/>
      <c r="D124" s="34"/>
      <c r="E124" s="33"/>
      <c r="F124" s="33"/>
      <c r="G124" s="33"/>
    </row>
    <row r="125" spans="1:12" ht="18.75" x14ac:dyDescent="0.25">
      <c r="A125" s="34"/>
      <c r="B125" s="34"/>
      <c r="C125" s="35"/>
      <c r="D125" s="34"/>
      <c r="E125" s="33"/>
      <c r="F125" s="33"/>
      <c r="G125" s="33"/>
    </row>
    <row r="126" spans="1:12" ht="18.75" x14ac:dyDescent="0.25">
      <c r="A126" s="34"/>
      <c r="B126" s="34"/>
      <c r="C126" s="35"/>
      <c r="D126" s="34"/>
      <c r="E126" s="33"/>
      <c r="F126" s="33"/>
      <c r="G126" s="33"/>
    </row>
    <row r="127" spans="1:12" ht="18.75" x14ac:dyDescent="0.25">
      <c r="A127" s="34"/>
      <c r="B127" s="34"/>
      <c r="C127" s="35"/>
      <c r="D127" s="34"/>
      <c r="E127" s="33"/>
      <c r="F127" s="33"/>
      <c r="G127" s="33"/>
    </row>
    <row r="128" spans="1:12" ht="18.75" x14ac:dyDescent="0.25">
      <c r="A128" s="34"/>
      <c r="B128" s="34"/>
      <c r="C128" s="35"/>
      <c r="D128" s="34"/>
      <c r="E128" s="33"/>
      <c r="F128" s="33"/>
      <c r="G128" s="33"/>
    </row>
    <row r="129" spans="1:7" ht="18.75" x14ac:dyDescent="0.25">
      <c r="A129" s="36"/>
      <c r="B129" s="34"/>
      <c r="C129" s="35"/>
      <c r="D129" s="34"/>
      <c r="E129" s="33"/>
      <c r="F129" s="33"/>
      <c r="G129" s="33"/>
    </row>
    <row r="130" spans="1:7" ht="18.75" x14ac:dyDescent="0.25">
      <c r="A130" s="36"/>
      <c r="B130" s="34"/>
      <c r="C130" s="35"/>
      <c r="D130" s="34"/>
      <c r="E130" s="33"/>
      <c r="F130" s="33"/>
      <c r="G130" s="33"/>
    </row>
    <row r="131" spans="1:7" ht="18.75" x14ac:dyDescent="0.25">
      <c r="A131" s="36"/>
      <c r="B131" s="34"/>
      <c r="C131" s="35"/>
      <c r="D131" s="34"/>
      <c r="E131" s="33"/>
      <c r="F131" s="33"/>
      <c r="G131" s="33"/>
    </row>
    <row r="132" spans="1:7" ht="18.75" x14ac:dyDescent="0.25">
      <c r="A132" s="36"/>
      <c r="B132" s="34"/>
      <c r="C132" s="35"/>
      <c r="D132" s="34"/>
      <c r="E132" s="33"/>
      <c r="F132" s="33"/>
      <c r="G132" s="33"/>
    </row>
    <row r="133" spans="1:7" ht="18.75" x14ac:dyDescent="0.25">
      <c r="A133" s="36"/>
      <c r="B133" s="34"/>
      <c r="C133" s="35"/>
      <c r="D133" s="34"/>
      <c r="E133" s="33"/>
      <c r="F133" s="33"/>
      <c r="G133" s="33"/>
    </row>
    <row r="134" spans="1:7" ht="18.75" x14ac:dyDescent="0.25">
      <c r="A134" s="36"/>
      <c r="B134" s="34"/>
      <c r="C134" s="35"/>
      <c r="D134" s="34"/>
      <c r="E134" s="33"/>
      <c r="F134" s="33"/>
      <c r="G134" s="33"/>
    </row>
    <row r="135" spans="1:7" ht="18.75" x14ac:dyDescent="0.25">
      <c r="A135" s="36"/>
      <c r="B135" s="34"/>
      <c r="C135" s="35"/>
      <c r="D135" s="34"/>
      <c r="E135" s="33"/>
      <c r="F135" s="33"/>
      <c r="G135" s="33"/>
    </row>
    <row r="136" spans="1:7" ht="18.75" x14ac:dyDescent="0.25">
      <c r="A136" s="36"/>
      <c r="B136" s="34"/>
      <c r="C136" s="35"/>
      <c r="D136" s="34"/>
      <c r="E136" s="33"/>
      <c r="F136" s="33"/>
      <c r="G136" s="33"/>
    </row>
    <row r="137" spans="1:7" ht="18.75" x14ac:dyDescent="0.25">
      <c r="A137" s="36"/>
      <c r="B137" s="34"/>
      <c r="C137" s="35"/>
      <c r="D137" s="34"/>
      <c r="E137" s="33"/>
      <c r="F137" s="33"/>
      <c r="G137" s="33"/>
    </row>
    <row r="138" spans="1:7" ht="18.75" x14ac:dyDescent="0.25">
      <c r="A138" s="36"/>
      <c r="B138" s="34"/>
      <c r="C138" s="35"/>
      <c r="D138" s="34"/>
      <c r="E138" s="33"/>
      <c r="F138" s="33"/>
      <c r="G138" s="33"/>
    </row>
    <row r="139" spans="1:7" ht="18.75" x14ac:dyDescent="0.25">
      <c r="A139" s="36"/>
      <c r="B139" s="34"/>
      <c r="C139" s="35"/>
      <c r="D139" s="34"/>
      <c r="E139" s="33"/>
      <c r="F139" s="33"/>
      <c r="G139" s="33"/>
    </row>
    <row r="140" spans="1:7" ht="18.75" x14ac:dyDescent="0.25">
      <c r="A140" s="36"/>
      <c r="B140" s="34"/>
      <c r="C140" s="35"/>
      <c r="D140" s="34"/>
      <c r="E140" s="33"/>
      <c r="F140" s="33"/>
      <c r="G140" s="33"/>
    </row>
    <row r="141" spans="1:7" ht="18.75" x14ac:dyDescent="0.25">
      <c r="A141" s="36"/>
      <c r="B141" s="34"/>
      <c r="C141" s="35"/>
      <c r="D141" s="34"/>
      <c r="E141" s="33"/>
      <c r="F141" s="33"/>
      <c r="G141" s="33"/>
    </row>
    <row r="142" spans="1:7" ht="18.75" x14ac:dyDescent="0.25">
      <c r="A142" s="36"/>
      <c r="B142" s="34"/>
      <c r="C142" s="35"/>
      <c r="D142" s="34"/>
      <c r="E142" s="33"/>
      <c r="F142" s="33"/>
      <c r="G142" s="33"/>
    </row>
    <row r="143" spans="1:7" ht="18.75" x14ac:dyDescent="0.25">
      <c r="A143" s="36"/>
      <c r="B143" s="34"/>
      <c r="C143" s="35"/>
      <c r="D143" s="34"/>
      <c r="E143" s="33"/>
      <c r="F143" s="33"/>
      <c r="G143" s="33"/>
    </row>
    <row r="144" spans="1:7" ht="18.75" x14ac:dyDescent="0.25">
      <c r="A144" s="36"/>
      <c r="B144" s="34"/>
      <c r="C144" s="35"/>
      <c r="D144" s="34"/>
      <c r="E144" s="33"/>
      <c r="F144" s="33"/>
      <c r="G144" s="33"/>
    </row>
    <row r="145" spans="1:7" ht="18.75" x14ac:dyDescent="0.25">
      <c r="A145" s="36"/>
      <c r="B145" s="34"/>
      <c r="C145" s="35"/>
      <c r="D145" s="34"/>
      <c r="E145" s="33"/>
      <c r="F145" s="33"/>
      <c r="G145" s="33"/>
    </row>
    <row r="146" spans="1:7" ht="18.75" x14ac:dyDescent="0.25">
      <c r="A146" s="36"/>
      <c r="B146" s="34"/>
      <c r="C146" s="35"/>
      <c r="D146" s="34"/>
      <c r="E146" s="33"/>
      <c r="F146" s="33"/>
      <c r="G146" s="33"/>
    </row>
    <row r="147" spans="1:7" ht="18.75" x14ac:dyDescent="0.25">
      <c r="A147" s="36"/>
      <c r="B147" s="34"/>
      <c r="C147" s="35"/>
      <c r="D147" s="34"/>
      <c r="E147" s="33"/>
      <c r="F147" s="33"/>
      <c r="G147" s="33"/>
    </row>
    <row r="148" spans="1:7" ht="18.75" x14ac:dyDescent="0.25">
      <c r="A148" s="36"/>
      <c r="B148" s="34"/>
      <c r="C148" s="35"/>
      <c r="D148" s="34"/>
      <c r="E148" s="33"/>
      <c r="F148" s="33"/>
      <c r="G148" s="33"/>
    </row>
    <row r="149" spans="1:7" ht="18.75" x14ac:dyDescent="0.25">
      <c r="A149" s="36"/>
      <c r="B149" s="34"/>
      <c r="C149" s="35"/>
      <c r="D149" s="34"/>
      <c r="E149" s="33"/>
      <c r="F149" s="33"/>
      <c r="G149" s="33"/>
    </row>
    <row r="150" spans="1:7" ht="18.75" x14ac:dyDescent="0.25">
      <c r="A150" s="36"/>
      <c r="B150" s="34"/>
      <c r="C150" s="35"/>
      <c r="D150" s="34"/>
      <c r="E150" s="33"/>
      <c r="F150" s="33"/>
      <c r="G150" s="33"/>
    </row>
    <row r="151" spans="1:7" ht="18.75" x14ac:dyDescent="0.25">
      <c r="A151" s="36"/>
      <c r="B151" s="34"/>
      <c r="C151" s="35"/>
      <c r="D151" s="34"/>
      <c r="E151" s="33"/>
      <c r="F151" s="33"/>
      <c r="G151" s="33"/>
    </row>
    <row r="152" spans="1:7" ht="18.75" x14ac:dyDescent="0.25">
      <c r="A152" s="36"/>
      <c r="B152" s="34"/>
      <c r="C152" s="35"/>
      <c r="D152" s="34"/>
      <c r="E152" s="33"/>
      <c r="F152" s="33"/>
      <c r="G152" s="33"/>
    </row>
    <row r="153" spans="1:7" ht="18.75" x14ac:dyDescent="0.25">
      <c r="A153" s="36"/>
      <c r="B153" s="34"/>
      <c r="C153" s="35"/>
      <c r="D153" s="34"/>
      <c r="E153" s="33"/>
      <c r="F153" s="33"/>
      <c r="G153" s="33"/>
    </row>
    <row r="154" spans="1:7" ht="18.75" x14ac:dyDescent="0.25">
      <c r="A154" s="36"/>
      <c r="B154" s="34"/>
      <c r="C154" s="35"/>
      <c r="D154" s="34"/>
      <c r="E154" s="33"/>
      <c r="F154" s="33"/>
      <c r="G154" s="33"/>
    </row>
    <row r="155" spans="1:7" ht="18.75" x14ac:dyDescent="0.25">
      <c r="A155" s="36"/>
      <c r="B155" s="34"/>
      <c r="C155" s="35"/>
      <c r="D155" s="34"/>
      <c r="E155" s="33"/>
      <c r="F155" s="33"/>
      <c r="G155" s="33"/>
    </row>
    <row r="156" spans="1:7" ht="18.75" x14ac:dyDescent="0.25">
      <c r="A156" s="36"/>
      <c r="B156" s="34"/>
      <c r="C156" s="35"/>
      <c r="D156" s="34"/>
      <c r="E156" s="33"/>
      <c r="F156" s="33"/>
      <c r="G156" s="33"/>
    </row>
    <row r="157" spans="1:7" ht="18.75" x14ac:dyDescent="0.25">
      <c r="A157" s="36"/>
      <c r="B157" s="34"/>
      <c r="C157" s="35"/>
      <c r="D157" s="34"/>
      <c r="E157" s="33"/>
      <c r="F157" s="33"/>
      <c r="G157" s="33"/>
    </row>
    <row r="158" spans="1:7" ht="18.75" x14ac:dyDescent="0.25">
      <c r="A158" s="36"/>
      <c r="B158" s="34"/>
      <c r="C158" s="35"/>
      <c r="D158" s="34"/>
      <c r="E158" s="33"/>
      <c r="F158" s="33"/>
      <c r="G158" s="33"/>
    </row>
    <row r="159" spans="1:7" ht="18.75" x14ac:dyDescent="0.25">
      <c r="A159" s="36"/>
      <c r="B159" s="34"/>
      <c r="C159" s="35"/>
      <c r="D159" s="34"/>
      <c r="E159" s="33"/>
      <c r="F159" s="33"/>
      <c r="G159" s="33"/>
    </row>
    <row r="160" spans="1:7" ht="18.75" x14ac:dyDescent="0.25">
      <c r="A160" s="36"/>
      <c r="B160" s="34"/>
      <c r="C160" s="35"/>
      <c r="D160" s="34"/>
      <c r="E160" s="33"/>
      <c r="F160" s="33"/>
      <c r="G160" s="33"/>
    </row>
    <row r="161" spans="1:7" ht="18.75" x14ac:dyDescent="0.25">
      <c r="A161" s="36"/>
      <c r="B161" s="34"/>
      <c r="C161" s="35"/>
      <c r="D161" s="34"/>
      <c r="E161" s="33"/>
      <c r="F161" s="33"/>
      <c r="G161" s="33"/>
    </row>
    <row r="162" spans="1:7" ht="18.75" x14ac:dyDescent="0.25">
      <c r="A162" s="36"/>
      <c r="B162" s="34"/>
      <c r="C162" s="35"/>
      <c r="D162" s="34"/>
      <c r="E162" s="33"/>
      <c r="F162" s="33"/>
      <c r="G162" s="33"/>
    </row>
    <row r="163" spans="1:7" ht="18.75" x14ac:dyDescent="0.25">
      <c r="A163" s="36"/>
      <c r="B163" s="34"/>
      <c r="C163" s="35"/>
      <c r="D163" s="34"/>
      <c r="E163" s="33"/>
      <c r="F163" s="33"/>
      <c r="G163" s="33"/>
    </row>
    <row r="164" spans="1:7" ht="18.75" x14ac:dyDescent="0.25">
      <c r="A164" s="36"/>
      <c r="B164" s="34"/>
      <c r="C164" s="35"/>
      <c r="D164" s="34"/>
      <c r="E164" s="33"/>
      <c r="F164" s="33"/>
      <c r="G164" s="33"/>
    </row>
    <row r="165" spans="1:7" ht="18.75" x14ac:dyDescent="0.25">
      <c r="A165" s="36"/>
      <c r="B165" s="34"/>
      <c r="C165" s="35"/>
      <c r="D165" s="34"/>
      <c r="E165" s="33"/>
      <c r="F165" s="33"/>
      <c r="G165" s="33"/>
    </row>
    <row r="166" spans="1:7" ht="18.75" x14ac:dyDescent="0.25">
      <c r="A166" s="36"/>
      <c r="B166" s="34"/>
      <c r="C166" s="35"/>
      <c r="D166" s="34"/>
      <c r="E166" s="33"/>
      <c r="F166" s="33"/>
      <c r="G166" s="33"/>
    </row>
    <row r="167" spans="1:7" ht="18.75" x14ac:dyDescent="0.25">
      <c r="A167" s="36"/>
      <c r="B167" s="34"/>
      <c r="C167" s="35"/>
      <c r="D167" s="34"/>
      <c r="E167" s="33"/>
      <c r="F167" s="33"/>
      <c r="G167" s="33"/>
    </row>
    <row r="168" spans="1:7" ht="18.75" x14ac:dyDescent="0.25">
      <c r="A168" s="36"/>
      <c r="B168" s="34"/>
      <c r="C168" s="35"/>
      <c r="D168" s="34"/>
      <c r="E168" s="33"/>
      <c r="F168" s="33"/>
      <c r="G168" s="33"/>
    </row>
    <row r="169" spans="1:7" ht="18.75" x14ac:dyDescent="0.25">
      <c r="A169" s="36"/>
      <c r="B169" s="34"/>
      <c r="C169" s="35"/>
      <c r="D169" s="34"/>
      <c r="E169" s="33"/>
      <c r="F169" s="33"/>
      <c r="G169" s="33"/>
    </row>
    <row r="170" spans="1:7" ht="18.75" x14ac:dyDescent="0.25">
      <c r="A170" s="36"/>
      <c r="B170" s="34"/>
      <c r="C170" s="35"/>
      <c r="D170" s="34"/>
      <c r="E170" s="33"/>
      <c r="F170" s="33"/>
      <c r="G170" s="33"/>
    </row>
    <row r="171" spans="1:7" ht="18.75" x14ac:dyDescent="0.25">
      <c r="A171" s="36"/>
      <c r="B171" s="34"/>
      <c r="C171" s="35"/>
      <c r="D171" s="34"/>
      <c r="E171" s="33"/>
      <c r="F171" s="33"/>
      <c r="G171" s="33"/>
    </row>
    <row r="172" spans="1:7" ht="18.75" x14ac:dyDescent="0.25">
      <c r="A172" s="36"/>
      <c r="B172" s="34"/>
      <c r="C172" s="35"/>
      <c r="D172" s="34"/>
      <c r="E172" s="33"/>
      <c r="F172" s="33"/>
      <c r="G172" s="33"/>
    </row>
    <row r="173" spans="1:7" ht="18.75" x14ac:dyDescent="0.25">
      <c r="A173" s="36"/>
      <c r="B173" s="34"/>
      <c r="C173" s="35"/>
      <c r="D173" s="34"/>
      <c r="E173" s="33"/>
      <c r="F173" s="33"/>
      <c r="G173" s="33"/>
    </row>
    <row r="174" spans="1:7" ht="18.75" x14ac:dyDescent="0.25">
      <c r="A174" s="36"/>
      <c r="B174" s="34"/>
      <c r="C174" s="35"/>
      <c r="D174" s="34"/>
      <c r="E174" s="33"/>
      <c r="F174" s="33"/>
      <c r="G174" s="33"/>
    </row>
    <row r="175" spans="1:7" ht="18.75" x14ac:dyDescent="0.25">
      <c r="A175" s="36"/>
      <c r="B175" s="34"/>
      <c r="C175" s="35"/>
      <c r="D175" s="34"/>
      <c r="E175" s="33"/>
      <c r="F175" s="33"/>
      <c r="G175" s="33"/>
    </row>
    <row r="176" spans="1:7" ht="18.75" x14ac:dyDescent="0.25">
      <c r="A176" s="36"/>
      <c r="B176" s="34"/>
      <c r="C176" s="35"/>
      <c r="D176" s="34"/>
      <c r="E176" s="33"/>
      <c r="F176" s="33"/>
      <c r="G176" s="33"/>
    </row>
    <row r="177" spans="1:7" ht="18.75" x14ac:dyDescent="0.25">
      <c r="A177" s="36"/>
      <c r="B177" s="34"/>
      <c r="C177" s="35"/>
      <c r="D177" s="34"/>
      <c r="E177" s="33"/>
      <c r="F177" s="33"/>
      <c r="G177" s="33"/>
    </row>
    <row r="178" spans="1:7" ht="18.75" x14ac:dyDescent="0.25">
      <c r="A178" s="36"/>
      <c r="B178" s="34"/>
      <c r="C178" s="35"/>
      <c r="D178" s="34"/>
      <c r="E178" s="33"/>
      <c r="F178" s="33"/>
      <c r="G178" s="33"/>
    </row>
    <row r="179" spans="1:7" ht="18.75" x14ac:dyDescent="0.25">
      <c r="A179" s="36"/>
      <c r="B179" s="34"/>
      <c r="C179" s="35"/>
      <c r="D179" s="34"/>
      <c r="E179" s="33"/>
      <c r="F179" s="33"/>
      <c r="G179" s="33"/>
    </row>
    <row r="180" spans="1:7" ht="18.75" x14ac:dyDescent="0.25">
      <c r="A180" s="36"/>
      <c r="B180" s="34"/>
      <c r="C180" s="35"/>
      <c r="D180" s="34"/>
      <c r="E180" s="33"/>
      <c r="F180" s="33"/>
      <c r="G180" s="33"/>
    </row>
    <row r="181" spans="1:7" ht="18.75" x14ac:dyDescent="0.25">
      <c r="A181" s="36"/>
      <c r="B181" s="34"/>
      <c r="C181" s="35"/>
      <c r="D181" s="34"/>
      <c r="E181" s="33"/>
      <c r="F181" s="33"/>
      <c r="G181" s="33"/>
    </row>
    <row r="182" spans="1:7" ht="18.75" x14ac:dyDescent="0.25">
      <c r="A182" s="36"/>
      <c r="B182" s="34"/>
      <c r="C182" s="35"/>
      <c r="D182" s="34"/>
      <c r="E182" s="33"/>
      <c r="F182" s="33"/>
      <c r="G182" s="33"/>
    </row>
    <row r="183" spans="1:7" ht="18.75" x14ac:dyDescent="0.25">
      <c r="A183" s="36"/>
      <c r="B183" s="34"/>
      <c r="C183" s="35"/>
      <c r="D183" s="34"/>
      <c r="E183" s="33"/>
      <c r="F183" s="33"/>
      <c r="G183" s="33"/>
    </row>
    <row r="184" spans="1:7" ht="18.75" x14ac:dyDescent="0.25">
      <c r="A184" s="36"/>
      <c r="B184" s="34"/>
      <c r="C184" s="35"/>
      <c r="D184" s="34"/>
      <c r="E184" s="33"/>
      <c r="F184" s="33"/>
      <c r="G184" s="33"/>
    </row>
    <row r="185" spans="1:7" ht="18.75" x14ac:dyDescent="0.25">
      <c r="A185" s="36"/>
      <c r="B185" s="34"/>
      <c r="C185" s="35"/>
      <c r="D185" s="34"/>
      <c r="E185" s="33"/>
      <c r="F185" s="33"/>
      <c r="G185" s="33"/>
    </row>
    <row r="186" spans="1:7" ht="18.75" x14ac:dyDescent="0.25">
      <c r="A186" s="36"/>
      <c r="B186" s="34"/>
      <c r="C186" s="35"/>
      <c r="D186" s="34"/>
      <c r="E186" s="33"/>
      <c r="F186" s="33"/>
      <c r="G186" s="33"/>
    </row>
    <row r="187" spans="1:7" ht="18.75" x14ac:dyDescent="0.25">
      <c r="A187" s="36"/>
      <c r="B187" s="34"/>
      <c r="C187" s="35"/>
      <c r="D187" s="34"/>
      <c r="E187" s="33"/>
      <c r="F187" s="33"/>
      <c r="G187" s="33"/>
    </row>
    <row r="188" spans="1:7" ht="18.75" x14ac:dyDescent="0.25">
      <c r="A188" s="36"/>
      <c r="B188" s="34"/>
      <c r="C188" s="35"/>
      <c r="D188" s="34"/>
      <c r="E188" s="33"/>
      <c r="F188" s="33"/>
      <c r="G188" s="33"/>
    </row>
    <row r="189" spans="1:7" ht="18.75" x14ac:dyDescent="0.25">
      <c r="A189" s="36"/>
      <c r="B189" s="34"/>
      <c r="C189" s="35"/>
      <c r="D189" s="34"/>
      <c r="E189" s="33"/>
      <c r="F189" s="33"/>
      <c r="G189" s="33"/>
    </row>
    <row r="190" spans="1:7" ht="18.75" x14ac:dyDescent="0.25">
      <c r="A190" s="36"/>
      <c r="B190" s="34"/>
      <c r="C190" s="35"/>
      <c r="D190" s="34"/>
      <c r="E190" s="33"/>
      <c r="F190" s="33"/>
      <c r="G190" s="33"/>
    </row>
    <row r="191" spans="1:7" ht="18.75" x14ac:dyDescent="0.25">
      <c r="A191" s="36"/>
      <c r="B191" s="34"/>
      <c r="C191" s="35"/>
      <c r="D191" s="34"/>
      <c r="E191" s="33"/>
      <c r="F191" s="33"/>
      <c r="G191" s="33"/>
    </row>
    <row r="192" spans="1:7" ht="18.75" x14ac:dyDescent="0.25">
      <c r="A192" s="36"/>
      <c r="B192" s="34"/>
      <c r="C192" s="35"/>
      <c r="D192" s="34"/>
      <c r="E192" s="33"/>
      <c r="F192" s="33"/>
      <c r="G192" s="33"/>
    </row>
    <row r="193" spans="1:7" ht="18.75" x14ac:dyDescent="0.25">
      <c r="A193" s="36"/>
      <c r="B193" s="34"/>
      <c r="C193" s="35"/>
      <c r="D193" s="34"/>
      <c r="E193" s="33"/>
      <c r="F193" s="33"/>
      <c r="G193" s="33"/>
    </row>
    <row r="194" spans="1:7" ht="18.75" x14ac:dyDescent="0.25">
      <c r="A194" s="36"/>
      <c r="B194" s="34"/>
      <c r="C194" s="35"/>
      <c r="D194" s="34"/>
      <c r="E194" s="33"/>
      <c r="F194" s="33"/>
      <c r="G194" s="33"/>
    </row>
    <row r="195" spans="1:7" ht="18.75" x14ac:dyDescent="0.25">
      <c r="A195" s="36"/>
      <c r="B195" s="34"/>
      <c r="C195" s="35"/>
      <c r="D195" s="34"/>
      <c r="E195" s="33"/>
      <c r="F195" s="33"/>
      <c r="G195" s="33"/>
    </row>
    <row r="196" spans="1:7" ht="18.75" x14ac:dyDescent="0.25">
      <c r="A196" s="36"/>
      <c r="B196" s="34"/>
      <c r="C196" s="35"/>
      <c r="D196" s="34"/>
      <c r="E196" s="33"/>
      <c r="F196" s="33"/>
      <c r="G196" s="33"/>
    </row>
  </sheetData>
  <mergeCells count="33">
    <mergeCell ref="A7:D7"/>
    <mergeCell ref="C9:D9"/>
    <mergeCell ref="B118:D118"/>
    <mergeCell ref="B115:D115"/>
    <mergeCell ref="B117:D117"/>
    <mergeCell ref="C67:D67"/>
    <mergeCell ref="A67:B67"/>
    <mergeCell ref="B111:D111"/>
    <mergeCell ref="B108:D108"/>
    <mergeCell ref="A74:B74"/>
    <mergeCell ref="C74:D74"/>
    <mergeCell ref="A107:D107"/>
    <mergeCell ref="A35:B35"/>
    <mergeCell ref="C26:D26"/>
    <mergeCell ref="A26:B26"/>
    <mergeCell ref="C35:D35"/>
    <mergeCell ref="B93:D93"/>
    <mergeCell ref="B79:D79"/>
    <mergeCell ref="A80:D80"/>
    <mergeCell ref="B81:D81"/>
    <mergeCell ref="B106:D106"/>
    <mergeCell ref="A9:B9"/>
    <mergeCell ref="B8:D8"/>
    <mergeCell ref="A30:B30"/>
    <mergeCell ref="B29:D29"/>
    <mergeCell ref="C30:D30"/>
    <mergeCell ref="A1:I1"/>
    <mergeCell ref="A2:I2"/>
    <mergeCell ref="A3:I3"/>
    <mergeCell ref="H6:I6"/>
    <mergeCell ref="B6:D6"/>
    <mergeCell ref="A5:D5"/>
    <mergeCell ref="F6:G6"/>
  </mergeCells>
  <phoneticPr fontId="34" type="noConversion"/>
  <pageMargins left="0.39361110329627991" right="0.39361110329627991" top="0.74791663885116577" bottom="0.74791663885116577" header="0.31486111879348755" footer="0.31486111879348755"/>
  <pageSetup paperSize="9" scale="49" fitToHeight="0" orientation="portrait" r:id="rId1"/>
  <rowBreaks count="1" manualBreakCount="1">
    <brk id="67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F0"/>
    <pageSetUpPr fitToPage="1"/>
  </sheetPr>
  <dimension ref="A1:AA79"/>
  <sheetViews>
    <sheetView view="pageBreakPreview" zoomScale="55" zoomScaleNormal="55" zoomScaleSheetLayoutView="55" workbookViewId="0">
      <selection activeCell="H41" sqref="H41"/>
    </sheetView>
  </sheetViews>
  <sheetFormatPr defaultRowHeight="16.5" x14ac:dyDescent="0.3"/>
  <cols>
    <col min="1" max="1" width="6.375" customWidth="1"/>
    <col min="2" max="2" width="5.125" customWidth="1"/>
    <col min="4" max="4" width="30.25" customWidth="1"/>
    <col min="5" max="5" width="4.25" customWidth="1"/>
    <col min="6" max="6" width="27.75" customWidth="1"/>
    <col min="7" max="7" width="31.25" customWidth="1"/>
    <col min="8" max="8" width="30.75" customWidth="1"/>
    <col min="9" max="9" width="32.125" customWidth="1"/>
    <col min="10" max="10" width="8.75" customWidth="1"/>
    <col min="11" max="11" width="14.875" bestFit="1" customWidth="1"/>
  </cols>
  <sheetData>
    <row r="1" spans="1:9" ht="56.25" customHeight="1" x14ac:dyDescent="0.3">
      <c r="A1" s="256" t="s">
        <v>7</v>
      </c>
      <c r="B1" s="256"/>
      <c r="C1" s="256"/>
      <c r="D1" s="256"/>
      <c r="E1" s="256"/>
      <c r="F1" s="256"/>
      <c r="G1" s="256"/>
      <c r="H1" s="256"/>
      <c r="I1" s="256"/>
    </row>
    <row r="2" spans="1:9" ht="30" customHeight="1" x14ac:dyDescent="0.3">
      <c r="A2" s="257" t="s">
        <v>247</v>
      </c>
      <c r="B2" s="257"/>
      <c r="C2" s="257"/>
      <c r="D2" s="257"/>
      <c r="E2" s="257"/>
      <c r="F2" s="257"/>
      <c r="G2" s="257"/>
      <c r="H2" s="257"/>
      <c r="I2" s="257"/>
    </row>
    <row r="3" spans="1:9" ht="30" customHeight="1" x14ac:dyDescent="0.3">
      <c r="A3" s="257" t="s">
        <v>248</v>
      </c>
      <c r="B3" s="257"/>
      <c r="C3" s="257"/>
      <c r="D3" s="257"/>
      <c r="E3" s="257"/>
      <c r="F3" s="257"/>
      <c r="G3" s="257"/>
      <c r="H3" s="257"/>
      <c r="I3" s="257"/>
    </row>
    <row r="4" spans="1:9" x14ac:dyDescent="0.3">
      <c r="A4" s="277"/>
      <c r="B4" s="277"/>
      <c r="C4" s="277"/>
      <c r="D4" s="277"/>
      <c r="E4" s="277"/>
      <c r="F4" s="277"/>
      <c r="G4" s="277"/>
    </row>
    <row r="5" spans="1:9" ht="30" customHeight="1" x14ac:dyDescent="0.3">
      <c r="A5" s="278" t="s">
        <v>189</v>
      </c>
      <c r="B5" s="278"/>
      <c r="C5" s="278"/>
      <c r="D5" s="278"/>
      <c r="E5" s="1"/>
      <c r="F5" s="2"/>
      <c r="G5" s="3"/>
      <c r="I5" s="3" t="s">
        <v>105</v>
      </c>
    </row>
    <row r="6" spans="1:9" ht="51" customHeight="1" x14ac:dyDescent="0.3">
      <c r="A6" s="4" t="s">
        <v>86</v>
      </c>
      <c r="B6" s="258" t="s">
        <v>107</v>
      </c>
      <c r="C6" s="258"/>
      <c r="D6" s="258"/>
      <c r="E6" s="5"/>
      <c r="F6" s="279" t="s">
        <v>140</v>
      </c>
      <c r="G6" s="255"/>
      <c r="H6" s="254" t="s">
        <v>191</v>
      </c>
      <c r="I6" s="255"/>
    </row>
    <row r="7" spans="1:9" ht="24" x14ac:dyDescent="0.3">
      <c r="A7" s="6" t="s">
        <v>82</v>
      </c>
      <c r="B7" s="276" t="s">
        <v>71</v>
      </c>
      <c r="C7" s="276"/>
      <c r="D7" s="276"/>
      <c r="E7" s="7"/>
      <c r="F7" s="8"/>
      <c r="G7" s="9">
        <v>1559524670022</v>
      </c>
      <c r="H7" s="8"/>
      <c r="I7" s="124">
        <v>2004643402499</v>
      </c>
    </row>
    <row r="8" spans="1:9" ht="24" x14ac:dyDescent="0.3">
      <c r="A8" s="10"/>
      <c r="B8" s="11" t="s">
        <v>80</v>
      </c>
      <c r="C8" s="263" t="s">
        <v>190</v>
      </c>
      <c r="D8" s="263"/>
      <c r="E8" s="12"/>
      <c r="F8" s="13"/>
      <c r="G8" s="14">
        <v>1469318644820</v>
      </c>
      <c r="H8" s="13"/>
      <c r="I8" s="125">
        <v>1930358967091</v>
      </c>
    </row>
    <row r="9" spans="1:9" ht="24" x14ac:dyDescent="0.3">
      <c r="A9" s="15"/>
      <c r="B9" s="16"/>
      <c r="C9" s="11" t="s">
        <v>85</v>
      </c>
      <c r="D9" s="17" t="s">
        <v>144</v>
      </c>
      <c r="E9" s="12"/>
      <c r="F9" s="13">
        <v>1193190739339</v>
      </c>
      <c r="G9" s="18"/>
      <c r="H9" s="130">
        <v>1636749394102</v>
      </c>
      <c r="I9" s="18"/>
    </row>
    <row r="10" spans="1:9" ht="24" x14ac:dyDescent="0.3">
      <c r="A10" s="15"/>
      <c r="B10" s="16"/>
      <c r="C10" s="11" t="s">
        <v>69</v>
      </c>
      <c r="D10" s="17" t="s">
        <v>142</v>
      </c>
      <c r="E10" s="12"/>
      <c r="F10" s="13">
        <v>182975978871</v>
      </c>
      <c r="G10" s="18"/>
      <c r="H10" s="130">
        <v>201708041379</v>
      </c>
      <c r="I10" s="18"/>
    </row>
    <row r="11" spans="1:9" ht="24" x14ac:dyDescent="0.3">
      <c r="A11" s="15"/>
      <c r="B11" s="16"/>
      <c r="C11" s="11" t="s">
        <v>83</v>
      </c>
      <c r="D11" s="17" t="s">
        <v>149</v>
      </c>
      <c r="E11" s="12"/>
      <c r="F11" s="13">
        <v>93151926610</v>
      </c>
      <c r="G11" s="18"/>
      <c r="H11" s="130">
        <v>91901531610</v>
      </c>
      <c r="I11" s="18"/>
    </row>
    <row r="12" spans="1:9" ht="24" x14ac:dyDescent="0.3">
      <c r="A12" s="10"/>
      <c r="B12" s="11" t="s">
        <v>73</v>
      </c>
      <c r="C12" s="263" t="s">
        <v>181</v>
      </c>
      <c r="D12" s="263"/>
      <c r="E12" s="12"/>
      <c r="F12" s="13"/>
      <c r="G12" s="14">
        <v>90206025202</v>
      </c>
      <c r="H12" s="13"/>
      <c r="I12" s="125">
        <v>74284435408</v>
      </c>
    </row>
    <row r="13" spans="1:9" ht="24" x14ac:dyDescent="0.3">
      <c r="A13" s="15"/>
      <c r="B13" s="16"/>
      <c r="C13" s="11" t="s">
        <v>85</v>
      </c>
      <c r="D13" s="17" t="s">
        <v>144</v>
      </c>
      <c r="E13" s="19"/>
      <c r="F13" s="13">
        <v>26703961010</v>
      </c>
      <c r="G13" s="18"/>
      <c r="H13" s="131">
        <v>34638443925</v>
      </c>
      <c r="I13" s="18"/>
    </row>
    <row r="14" spans="1:9" ht="24" x14ac:dyDescent="0.3">
      <c r="A14" s="15"/>
      <c r="B14" s="16"/>
      <c r="C14" s="11" t="s">
        <v>69</v>
      </c>
      <c r="D14" s="17" t="s">
        <v>142</v>
      </c>
      <c r="E14" s="12"/>
      <c r="F14" s="13">
        <v>2227967822</v>
      </c>
      <c r="G14" s="20"/>
      <c r="H14" s="131">
        <v>2741859716</v>
      </c>
      <c r="I14" s="20"/>
    </row>
    <row r="15" spans="1:9" ht="24" x14ac:dyDescent="0.3">
      <c r="A15" s="15"/>
      <c r="B15" s="16"/>
      <c r="C15" s="11" t="s">
        <v>83</v>
      </c>
      <c r="D15" s="17" t="s">
        <v>149</v>
      </c>
      <c r="E15" s="12"/>
      <c r="F15" s="13">
        <v>87488579</v>
      </c>
      <c r="G15" s="20"/>
      <c r="H15" s="131">
        <v>153993445</v>
      </c>
      <c r="I15" s="20"/>
    </row>
    <row r="16" spans="1:9" ht="24" x14ac:dyDescent="0.3">
      <c r="A16" s="15"/>
      <c r="B16" s="16"/>
      <c r="C16" s="11" t="s">
        <v>68</v>
      </c>
      <c r="D16" s="17" t="s">
        <v>150</v>
      </c>
      <c r="E16" s="19"/>
      <c r="F16" s="13">
        <v>61186607791</v>
      </c>
      <c r="G16" s="14"/>
      <c r="H16" s="131">
        <v>36750138322</v>
      </c>
      <c r="I16" s="14"/>
    </row>
    <row r="17" spans="1:11" ht="24" x14ac:dyDescent="0.3">
      <c r="A17" s="6" t="s">
        <v>74</v>
      </c>
      <c r="B17" s="276" t="s">
        <v>186</v>
      </c>
      <c r="C17" s="276"/>
      <c r="D17" s="276"/>
      <c r="E17" s="7"/>
      <c r="F17" s="8"/>
      <c r="G17" s="9">
        <v>2525060409210</v>
      </c>
      <c r="H17" s="8"/>
      <c r="I17" s="124">
        <v>2425976565726</v>
      </c>
    </row>
    <row r="18" spans="1:11" ht="24" x14ac:dyDescent="0.3">
      <c r="A18" s="10"/>
      <c r="B18" s="11" t="s">
        <v>80</v>
      </c>
      <c r="C18" s="263" t="s">
        <v>182</v>
      </c>
      <c r="D18" s="263"/>
      <c r="E18" s="12"/>
      <c r="F18" s="13">
        <v>2434854384008</v>
      </c>
      <c r="G18" s="14"/>
      <c r="H18" s="132">
        <v>2351692130318</v>
      </c>
      <c r="I18" s="14"/>
    </row>
    <row r="19" spans="1:11" ht="24" x14ac:dyDescent="0.3">
      <c r="A19" s="10"/>
      <c r="B19" s="11" t="s">
        <v>73</v>
      </c>
      <c r="C19" s="263" t="s">
        <v>183</v>
      </c>
      <c r="D19" s="263"/>
      <c r="E19" s="12"/>
      <c r="F19" s="13">
        <v>90206025202</v>
      </c>
      <c r="G19" s="14"/>
      <c r="H19" s="132">
        <v>74284435408</v>
      </c>
      <c r="I19" s="14"/>
    </row>
    <row r="20" spans="1:11" ht="24" hidden="1" x14ac:dyDescent="0.3">
      <c r="A20" s="10"/>
      <c r="B20" s="11"/>
      <c r="C20" s="116" t="s">
        <v>85</v>
      </c>
      <c r="D20" s="117" t="s">
        <v>102</v>
      </c>
      <c r="E20" s="118"/>
      <c r="F20" s="119"/>
      <c r="G20" s="120"/>
      <c r="H20" s="8">
        <v>40788577545</v>
      </c>
      <c r="I20" s="21"/>
    </row>
    <row r="21" spans="1:11" ht="24" hidden="1" x14ac:dyDescent="0.3">
      <c r="A21" s="10"/>
      <c r="B21" s="11"/>
      <c r="C21" s="116" t="s">
        <v>69</v>
      </c>
      <c r="D21" s="117" t="s">
        <v>22</v>
      </c>
      <c r="E21" s="118"/>
      <c r="F21" s="119"/>
      <c r="G21" s="120"/>
      <c r="H21" s="8">
        <v>31731972382</v>
      </c>
      <c r="I21" s="9"/>
    </row>
    <row r="22" spans="1:11" ht="24" hidden="1" x14ac:dyDescent="0.3">
      <c r="A22" s="10"/>
      <c r="B22" s="11"/>
      <c r="C22" s="116" t="s">
        <v>83</v>
      </c>
      <c r="D22" s="117" t="s">
        <v>103</v>
      </c>
      <c r="E22" s="118"/>
      <c r="F22" s="119"/>
      <c r="G22" s="120"/>
      <c r="H22" s="13">
        <v>1763885481</v>
      </c>
      <c r="I22" s="14"/>
    </row>
    <row r="23" spans="1:11" ht="24" x14ac:dyDescent="0.3">
      <c r="A23" s="6" t="s">
        <v>180</v>
      </c>
      <c r="B23" s="276" t="s">
        <v>108</v>
      </c>
      <c r="C23" s="276"/>
      <c r="D23" s="276"/>
      <c r="E23" s="7"/>
      <c r="F23" s="8"/>
      <c r="G23" s="21">
        <v>-965535739188</v>
      </c>
      <c r="H23" s="22"/>
      <c r="I23" s="124">
        <v>-421333163227</v>
      </c>
    </row>
    <row r="24" spans="1:11" ht="24" x14ac:dyDescent="0.3">
      <c r="A24" s="6" t="s">
        <v>67</v>
      </c>
      <c r="B24" s="276" t="s">
        <v>184</v>
      </c>
      <c r="C24" s="276"/>
      <c r="D24" s="276"/>
      <c r="E24" s="7"/>
      <c r="F24" s="8"/>
      <c r="G24" s="9">
        <v>124625107059</v>
      </c>
      <c r="H24" s="13"/>
      <c r="I24" s="124">
        <v>111070576071</v>
      </c>
    </row>
    <row r="25" spans="1:11" ht="24" x14ac:dyDescent="0.3">
      <c r="A25" s="10"/>
      <c r="B25" s="11"/>
      <c r="C25" s="263" t="s">
        <v>62</v>
      </c>
      <c r="D25" s="263"/>
      <c r="E25" s="12"/>
      <c r="F25" s="13">
        <v>65459559113</v>
      </c>
      <c r="G25" s="14"/>
      <c r="H25" s="23">
        <v>61925775834</v>
      </c>
      <c r="I25" s="14"/>
      <c r="K25" s="30"/>
    </row>
    <row r="26" spans="1:11" ht="24" x14ac:dyDescent="0.3">
      <c r="A26" s="10"/>
      <c r="B26" s="11"/>
      <c r="C26" s="275" t="s">
        <v>151</v>
      </c>
      <c r="D26" s="275"/>
      <c r="E26" s="12"/>
      <c r="F26" s="13">
        <v>11457550390</v>
      </c>
      <c r="G26" s="14"/>
      <c r="H26" s="23">
        <v>6743896130</v>
      </c>
      <c r="I26" s="14"/>
      <c r="K26" s="30"/>
    </row>
    <row r="27" spans="1:11" ht="24" x14ac:dyDescent="0.3">
      <c r="A27" s="10"/>
      <c r="B27" s="11"/>
      <c r="C27" s="263" t="s">
        <v>145</v>
      </c>
      <c r="D27" s="263"/>
      <c r="E27" s="12"/>
      <c r="F27" s="13">
        <v>9442796143</v>
      </c>
      <c r="G27" s="14"/>
      <c r="H27" s="23">
        <v>9966306566</v>
      </c>
      <c r="I27" s="14"/>
      <c r="K27" s="30"/>
    </row>
    <row r="28" spans="1:11" ht="24" x14ac:dyDescent="0.3">
      <c r="A28" s="10"/>
      <c r="B28" s="11"/>
      <c r="C28" s="263" t="s">
        <v>156</v>
      </c>
      <c r="D28" s="263"/>
      <c r="E28" s="12"/>
      <c r="F28" s="13">
        <v>35767231</v>
      </c>
      <c r="G28" s="14"/>
      <c r="H28" s="23">
        <v>249967171</v>
      </c>
      <c r="I28" s="14"/>
      <c r="K28" s="30"/>
    </row>
    <row r="29" spans="1:11" ht="24" customHeight="1" x14ac:dyDescent="0.3">
      <c r="A29" s="10"/>
      <c r="B29" s="11"/>
      <c r="C29" s="263" t="s">
        <v>152</v>
      </c>
      <c r="D29" s="263"/>
      <c r="E29" s="12"/>
      <c r="F29" s="13">
        <v>1033050422</v>
      </c>
      <c r="G29" s="14"/>
      <c r="H29" s="23">
        <v>1082519457</v>
      </c>
      <c r="I29" s="14"/>
      <c r="K29" s="30"/>
    </row>
    <row r="30" spans="1:11" ht="24" x14ac:dyDescent="0.3">
      <c r="A30" s="10"/>
      <c r="B30" s="11"/>
      <c r="C30" s="263" t="s">
        <v>143</v>
      </c>
      <c r="D30" s="263"/>
      <c r="E30" s="12"/>
      <c r="F30" s="13">
        <v>202921216</v>
      </c>
      <c r="G30" s="14"/>
      <c r="H30" s="23">
        <v>205544602</v>
      </c>
      <c r="I30" s="14"/>
      <c r="K30" s="30"/>
    </row>
    <row r="31" spans="1:11" ht="24" x14ac:dyDescent="0.3">
      <c r="A31" s="10"/>
      <c r="B31" s="11"/>
      <c r="C31" s="263" t="s">
        <v>155</v>
      </c>
      <c r="D31" s="263"/>
      <c r="E31" s="12"/>
      <c r="F31" s="13">
        <v>266063727</v>
      </c>
      <c r="G31" s="14"/>
      <c r="H31" s="23">
        <v>416149447</v>
      </c>
      <c r="I31" s="14"/>
      <c r="K31" s="30"/>
    </row>
    <row r="32" spans="1:11" ht="24" x14ac:dyDescent="0.3">
      <c r="A32" s="10"/>
      <c r="B32" s="11"/>
      <c r="C32" s="263" t="s">
        <v>146</v>
      </c>
      <c r="D32" s="263"/>
      <c r="E32" s="12"/>
      <c r="F32" s="13">
        <v>277408106</v>
      </c>
      <c r="G32" s="14"/>
      <c r="H32" s="23">
        <v>251942630</v>
      </c>
      <c r="I32" s="14"/>
      <c r="K32" s="30"/>
    </row>
    <row r="33" spans="1:11" ht="24" x14ac:dyDescent="0.3">
      <c r="A33" s="10"/>
      <c r="B33" s="11"/>
      <c r="C33" s="263" t="s">
        <v>65</v>
      </c>
      <c r="D33" s="263"/>
      <c r="E33" s="12"/>
      <c r="F33" s="13">
        <v>123737558</v>
      </c>
      <c r="G33" s="14"/>
      <c r="H33" s="23">
        <v>156083579</v>
      </c>
      <c r="I33" s="14"/>
      <c r="K33" s="30"/>
    </row>
    <row r="34" spans="1:11" ht="24" x14ac:dyDescent="0.3">
      <c r="A34" s="10"/>
      <c r="B34" s="11"/>
      <c r="C34" s="263" t="s">
        <v>154</v>
      </c>
      <c r="D34" s="263"/>
      <c r="E34" s="12"/>
      <c r="F34" s="13">
        <v>4782110468</v>
      </c>
      <c r="G34" s="14"/>
      <c r="H34" s="23">
        <v>3490147736</v>
      </c>
      <c r="I34" s="14"/>
      <c r="K34" s="30"/>
    </row>
    <row r="35" spans="1:11" ht="24" x14ac:dyDescent="0.3">
      <c r="A35" s="10"/>
      <c r="B35" s="11"/>
      <c r="C35" s="263" t="s">
        <v>147</v>
      </c>
      <c r="D35" s="263"/>
      <c r="E35" s="12"/>
      <c r="F35" s="13">
        <v>3147364107</v>
      </c>
      <c r="G35" s="14"/>
      <c r="H35" s="23">
        <v>2809236378</v>
      </c>
      <c r="I35" s="14"/>
      <c r="K35" s="30"/>
    </row>
    <row r="36" spans="1:11" ht="24" x14ac:dyDescent="0.3">
      <c r="A36" s="10"/>
      <c r="B36" s="11"/>
      <c r="C36" s="263" t="s">
        <v>153</v>
      </c>
      <c r="D36" s="263"/>
      <c r="E36" s="12"/>
      <c r="F36" s="13">
        <v>203098238</v>
      </c>
      <c r="G36" s="14"/>
      <c r="H36" s="23">
        <v>177849032</v>
      </c>
      <c r="I36" s="14"/>
      <c r="K36" s="30"/>
    </row>
    <row r="37" spans="1:11" ht="24" x14ac:dyDescent="0.3">
      <c r="A37" s="10"/>
      <c r="B37" s="11"/>
      <c r="C37" s="263" t="s">
        <v>172</v>
      </c>
      <c r="D37" s="263"/>
      <c r="E37" s="12"/>
      <c r="F37" s="13">
        <v>11795577</v>
      </c>
      <c r="G37" s="14"/>
      <c r="H37" s="23">
        <v>24008076</v>
      </c>
      <c r="I37" s="14"/>
      <c r="K37" s="30"/>
    </row>
    <row r="38" spans="1:11" ht="24" x14ac:dyDescent="0.3">
      <c r="A38" s="10"/>
      <c r="B38" s="11"/>
      <c r="C38" s="263" t="s">
        <v>64</v>
      </c>
      <c r="D38" s="263"/>
      <c r="E38" s="12"/>
      <c r="F38" s="13">
        <v>11845629</v>
      </c>
      <c r="G38" s="14"/>
      <c r="H38" s="23">
        <v>12597995</v>
      </c>
      <c r="I38" s="14"/>
      <c r="K38" s="30"/>
    </row>
    <row r="39" spans="1:11" ht="24" x14ac:dyDescent="0.3">
      <c r="A39" s="10"/>
      <c r="B39" s="11"/>
      <c r="C39" s="263" t="s">
        <v>157</v>
      </c>
      <c r="D39" s="263"/>
      <c r="E39" s="12"/>
      <c r="F39" s="13">
        <v>12643203976</v>
      </c>
      <c r="G39" s="14"/>
      <c r="H39" s="23">
        <v>11753589652</v>
      </c>
      <c r="I39" s="14"/>
      <c r="K39" s="30"/>
    </row>
    <row r="40" spans="1:11" ht="24" x14ac:dyDescent="0.3">
      <c r="A40" s="10"/>
      <c r="B40" s="11"/>
      <c r="C40" s="263" t="s">
        <v>141</v>
      </c>
      <c r="D40" s="263"/>
      <c r="E40" s="12"/>
      <c r="F40" s="13">
        <v>134082028</v>
      </c>
      <c r="G40" s="14"/>
      <c r="H40" s="23">
        <v>177070984</v>
      </c>
      <c r="I40" s="14"/>
      <c r="K40" s="30"/>
    </row>
    <row r="41" spans="1:11" ht="24" x14ac:dyDescent="0.3">
      <c r="A41" s="10"/>
      <c r="B41" s="11"/>
      <c r="C41" s="263" t="s">
        <v>160</v>
      </c>
      <c r="D41" s="263"/>
      <c r="E41" s="12"/>
      <c r="F41" s="13">
        <v>264767643</v>
      </c>
      <c r="G41" s="14"/>
      <c r="H41" s="23">
        <v>382502010</v>
      </c>
      <c r="I41" s="14"/>
      <c r="K41" s="30"/>
    </row>
    <row r="42" spans="1:11" ht="24" x14ac:dyDescent="0.3">
      <c r="A42" s="10"/>
      <c r="B42" s="11"/>
      <c r="C42" s="263" t="s">
        <v>171</v>
      </c>
      <c r="D42" s="263"/>
      <c r="E42" s="12"/>
      <c r="F42" s="13">
        <v>453368034</v>
      </c>
      <c r="G42" s="14"/>
      <c r="H42" s="23">
        <v>1521973095</v>
      </c>
      <c r="I42" s="14"/>
      <c r="K42" s="30"/>
    </row>
    <row r="43" spans="1:11" ht="24" x14ac:dyDescent="0.3">
      <c r="A43" s="10"/>
      <c r="B43" s="11"/>
      <c r="C43" s="263" t="s">
        <v>60</v>
      </c>
      <c r="D43" s="263"/>
      <c r="E43" s="12"/>
      <c r="F43" s="13">
        <v>1841640021</v>
      </c>
      <c r="G43" s="14"/>
      <c r="H43" s="23">
        <v>1754139137</v>
      </c>
      <c r="I43" s="14"/>
      <c r="K43" s="30"/>
    </row>
    <row r="44" spans="1:11" ht="24" x14ac:dyDescent="0.3">
      <c r="A44" s="10"/>
      <c r="B44" s="11"/>
      <c r="C44" s="263" t="s">
        <v>161</v>
      </c>
      <c r="D44" s="263"/>
      <c r="E44" s="12"/>
      <c r="F44" s="13">
        <v>851473432</v>
      </c>
      <c r="G44" s="14"/>
      <c r="H44" s="23">
        <v>843114581</v>
      </c>
      <c r="I44" s="14"/>
      <c r="K44" s="30"/>
    </row>
    <row r="45" spans="1:11" ht="24" x14ac:dyDescent="0.3">
      <c r="A45" s="10"/>
      <c r="B45" s="11"/>
      <c r="C45" s="263" t="s">
        <v>158</v>
      </c>
      <c r="D45" s="263"/>
      <c r="E45" s="12"/>
      <c r="F45" s="13">
        <v>1674022956</v>
      </c>
      <c r="G45" s="14"/>
      <c r="H45" s="23">
        <v>376213533</v>
      </c>
      <c r="I45" s="14"/>
      <c r="K45" s="30"/>
    </row>
    <row r="46" spans="1:11" ht="24" x14ac:dyDescent="0.3">
      <c r="A46" s="10"/>
      <c r="B46" s="11"/>
      <c r="C46" s="263" t="s">
        <v>178</v>
      </c>
      <c r="D46" s="263"/>
      <c r="E46" s="12"/>
      <c r="F46" s="13">
        <v>545377334</v>
      </c>
      <c r="G46" s="14"/>
      <c r="H46" s="23">
        <v>335728819</v>
      </c>
      <c r="I46" s="21"/>
      <c r="K46" s="30"/>
    </row>
    <row r="47" spans="1:11" ht="24" x14ac:dyDescent="0.3">
      <c r="A47" s="10"/>
      <c r="B47" s="11"/>
      <c r="C47" s="275" t="s">
        <v>110</v>
      </c>
      <c r="D47" s="275"/>
      <c r="E47" s="12"/>
      <c r="F47" s="13">
        <v>7263897707</v>
      </c>
      <c r="G47" s="14"/>
      <c r="H47" s="125">
        <v>5200984575</v>
      </c>
      <c r="I47" s="9"/>
      <c r="K47" s="30"/>
    </row>
    <row r="48" spans="1:11" ht="24" x14ac:dyDescent="0.3">
      <c r="A48" s="10"/>
      <c r="B48" s="11"/>
      <c r="C48" s="263" t="s">
        <v>58</v>
      </c>
      <c r="D48" s="263"/>
      <c r="E48" s="12"/>
      <c r="F48" s="13">
        <v>2498206003</v>
      </c>
      <c r="G48" s="14"/>
      <c r="H48" s="23">
        <v>1213235052</v>
      </c>
      <c r="I48" s="14"/>
      <c r="K48" s="30"/>
    </row>
    <row r="49" spans="1:9" ht="24" x14ac:dyDescent="0.3">
      <c r="A49" s="6" t="s">
        <v>70</v>
      </c>
      <c r="B49" s="276" t="s">
        <v>106</v>
      </c>
      <c r="C49" s="276"/>
      <c r="D49" s="276"/>
      <c r="E49" s="7"/>
      <c r="F49" s="8"/>
      <c r="G49" s="21">
        <v>-1090160846247</v>
      </c>
      <c r="H49" s="13"/>
      <c r="I49" s="124">
        <v>-532403739298</v>
      </c>
    </row>
    <row r="50" spans="1:9" ht="24" x14ac:dyDescent="0.3">
      <c r="A50" s="6" t="s">
        <v>72</v>
      </c>
      <c r="B50" s="276" t="s">
        <v>165</v>
      </c>
      <c r="C50" s="276"/>
      <c r="D50" s="276"/>
      <c r="E50" s="7"/>
      <c r="F50" s="8"/>
      <c r="G50" s="9">
        <v>50685169229</v>
      </c>
      <c r="H50" s="13"/>
      <c r="I50" s="124">
        <v>50400985333</v>
      </c>
    </row>
    <row r="51" spans="1:9" ht="24" x14ac:dyDescent="0.3">
      <c r="A51" s="10"/>
      <c r="B51" s="11"/>
      <c r="C51" s="263" t="s">
        <v>173</v>
      </c>
      <c r="D51" s="263"/>
      <c r="E51" s="12"/>
      <c r="F51" s="13">
        <v>1426810395</v>
      </c>
      <c r="G51" s="14"/>
      <c r="H51" s="133">
        <v>2385498833</v>
      </c>
      <c r="I51" s="14"/>
    </row>
    <row r="52" spans="1:9" ht="24" hidden="1" customHeight="1" x14ac:dyDescent="0.3">
      <c r="A52" s="10"/>
      <c r="B52" s="11"/>
      <c r="C52" s="263" t="s">
        <v>174</v>
      </c>
      <c r="D52" s="263"/>
      <c r="E52" s="12"/>
      <c r="F52" s="13">
        <v>0</v>
      </c>
      <c r="G52" s="14"/>
      <c r="H52" s="23">
        <v>0</v>
      </c>
      <c r="I52" s="14"/>
    </row>
    <row r="53" spans="1:9" ht="24" x14ac:dyDescent="0.3">
      <c r="A53" s="10"/>
      <c r="B53" s="11"/>
      <c r="C53" s="263" t="s">
        <v>148</v>
      </c>
      <c r="D53" s="263"/>
      <c r="E53" s="12"/>
      <c r="F53" s="22">
        <v>1440154181</v>
      </c>
      <c r="G53" s="14"/>
      <c r="H53" s="135">
        <v>1828803148</v>
      </c>
      <c r="I53" s="14"/>
    </row>
    <row r="54" spans="1:9" ht="24" x14ac:dyDescent="0.3">
      <c r="A54" s="10"/>
      <c r="B54" s="11"/>
      <c r="C54" s="263" t="s">
        <v>170</v>
      </c>
      <c r="D54" s="263"/>
      <c r="E54" s="12"/>
      <c r="F54" s="13">
        <v>2548258393</v>
      </c>
      <c r="G54" s="14"/>
      <c r="H54" s="134">
        <v>2954099601</v>
      </c>
      <c r="I54" s="14"/>
    </row>
    <row r="55" spans="1:9" ht="24" hidden="1" customHeight="1" x14ac:dyDescent="0.3">
      <c r="A55" s="10"/>
      <c r="B55" s="11"/>
      <c r="C55" s="263" t="s">
        <v>25</v>
      </c>
      <c r="D55" s="263"/>
      <c r="E55" s="12"/>
      <c r="F55" s="13">
        <v>0</v>
      </c>
      <c r="G55" s="14"/>
      <c r="H55" s="134">
        <v>0</v>
      </c>
      <c r="I55" s="14"/>
    </row>
    <row r="56" spans="1:9" ht="24" hidden="1" customHeight="1" x14ac:dyDescent="0.3">
      <c r="A56" s="10"/>
      <c r="B56" s="11"/>
      <c r="C56" s="263" t="s">
        <v>28</v>
      </c>
      <c r="D56" s="263"/>
      <c r="E56" s="12"/>
      <c r="F56" s="13">
        <v>0</v>
      </c>
      <c r="G56" s="14"/>
      <c r="H56" s="134">
        <v>0</v>
      </c>
      <c r="I56" s="14"/>
    </row>
    <row r="57" spans="1:9" ht="24" x14ac:dyDescent="0.3">
      <c r="A57" s="10"/>
      <c r="B57" s="11"/>
      <c r="C57" s="263" t="s">
        <v>29</v>
      </c>
      <c r="D57" s="263"/>
      <c r="E57" s="12"/>
      <c r="F57" s="13">
        <v>4560767437</v>
      </c>
      <c r="G57" s="14"/>
      <c r="H57" s="134">
        <v>644493450</v>
      </c>
      <c r="I57" s="14"/>
    </row>
    <row r="58" spans="1:9" ht="24" hidden="1" customHeight="1" x14ac:dyDescent="0.3">
      <c r="A58" s="10"/>
      <c r="B58" s="11"/>
      <c r="C58" s="263" t="s">
        <v>176</v>
      </c>
      <c r="D58" s="263"/>
      <c r="E58" s="12"/>
      <c r="F58" s="13">
        <v>0</v>
      </c>
      <c r="G58" s="14"/>
      <c r="H58" s="23">
        <v>0</v>
      </c>
      <c r="I58" s="14"/>
    </row>
    <row r="59" spans="1:9" ht="24" x14ac:dyDescent="0.3">
      <c r="A59" s="10"/>
      <c r="B59" s="11"/>
      <c r="C59" s="263" t="s">
        <v>162</v>
      </c>
      <c r="D59" s="263"/>
      <c r="E59" s="12"/>
      <c r="F59" s="13">
        <v>11683040326</v>
      </c>
      <c r="G59" s="14"/>
      <c r="H59" s="136">
        <v>13567301683</v>
      </c>
      <c r="I59" s="14"/>
    </row>
    <row r="60" spans="1:9" ht="24" hidden="1" customHeight="1" x14ac:dyDescent="0.3">
      <c r="A60" s="10"/>
      <c r="B60" s="11"/>
      <c r="C60" s="263" t="s">
        <v>166</v>
      </c>
      <c r="D60" s="263"/>
      <c r="E60" s="12"/>
      <c r="F60" s="13">
        <v>0</v>
      </c>
      <c r="G60" s="14"/>
      <c r="H60" s="23">
        <v>0</v>
      </c>
      <c r="I60" s="14"/>
    </row>
    <row r="61" spans="1:9" ht="24" customHeight="1" x14ac:dyDescent="0.3">
      <c r="A61" s="10"/>
      <c r="B61" s="11"/>
      <c r="C61" s="275" t="s">
        <v>159</v>
      </c>
      <c r="D61" s="275"/>
      <c r="E61" s="12"/>
      <c r="F61" s="13">
        <v>8268756883</v>
      </c>
      <c r="G61" s="14"/>
      <c r="H61" s="23">
        <v>7841607843</v>
      </c>
      <c r="I61" s="9"/>
    </row>
    <row r="62" spans="1:9" ht="24" x14ac:dyDescent="0.3">
      <c r="A62" s="10"/>
      <c r="B62" s="11"/>
      <c r="C62" s="263" t="s">
        <v>59</v>
      </c>
      <c r="D62" s="263"/>
      <c r="E62" s="12"/>
      <c r="F62" s="13">
        <v>3218782808</v>
      </c>
      <c r="G62" s="14"/>
      <c r="H62" s="23">
        <v>0</v>
      </c>
      <c r="I62" s="14"/>
    </row>
    <row r="63" spans="1:9" ht="24" x14ac:dyDescent="0.3">
      <c r="A63" s="10"/>
      <c r="B63" s="11"/>
      <c r="C63" s="275" t="s">
        <v>66</v>
      </c>
      <c r="D63" s="275"/>
      <c r="E63" s="12"/>
      <c r="F63" s="22">
        <v>17538598806</v>
      </c>
      <c r="G63" s="14"/>
      <c r="H63" s="137">
        <v>21179180775</v>
      </c>
      <c r="I63" s="153"/>
    </row>
    <row r="64" spans="1:9" ht="24" x14ac:dyDescent="0.3">
      <c r="A64" s="6" t="s">
        <v>179</v>
      </c>
      <c r="B64" s="276" t="s">
        <v>188</v>
      </c>
      <c r="C64" s="276"/>
      <c r="D64" s="276"/>
      <c r="E64" s="7"/>
      <c r="F64" s="8"/>
      <c r="G64" s="9">
        <v>74260885619</v>
      </c>
      <c r="H64" s="13"/>
      <c r="I64" s="9">
        <v>104464514180</v>
      </c>
    </row>
    <row r="65" spans="1:9" ht="24" x14ac:dyDescent="0.3">
      <c r="A65" s="10"/>
      <c r="B65" s="11"/>
      <c r="C65" s="263" t="s">
        <v>163</v>
      </c>
      <c r="D65" s="263"/>
      <c r="E65" s="12"/>
      <c r="F65" s="13">
        <v>55996942710</v>
      </c>
      <c r="G65" s="14"/>
      <c r="H65" s="138">
        <v>57821731366</v>
      </c>
      <c r="I65" s="14"/>
    </row>
    <row r="66" spans="1:9" ht="24" x14ac:dyDescent="0.3">
      <c r="A66" s="10"/>
      <c r="B66" s="11"/>
      <c r="C66" s="263" t="s">
        <v>27</v>
      </c>
      <c r="D66" s="263"/>
      <c r="E66" s="12"/>
      <c r="F66" s="23">
        <v>0</v>
      </c>
      <c r="G66" s="14"/>
      <c r="H66" s="138">
        <v>298343755</v>
      </c>
      <c r="I66" s="14"/>
    </row>
    <row r="67" spans="1:9" ht="24" x14ac:dyDescent="0.3">
      <c r="A67" s="10"/>
      <c r="B67" s="11"/>
      <c r="C67" s="263" t="s">
        <v>30</v>
      </c>
      <c r="D67" s="263"/>
      <c r="E67" s="12"/>
      <c r="F67" s="122">
        <v>81822507</v>
      </c>
      <c r="G67" s="14"/>
      <c r="H67" s="139">
        <v>40484242</v>
      </c>
      <c r="I67" s="14"/>
    </row>
    <row r="68" spans="1:9" ht="24" x14ac:dyDescent="0.3">
      <c r="A68" s="10"/>
      <c r="B68" s="11"/>
      <c r="C68" s="263" t="s">
        <v>61</v>
      </c>
      <c r="D68" s="263"/>
      <c r="E68" s="12"/>
      <c r="F68" s="23">
        <v>2329225000</v>
      </c>
      <c r="G68" s="14"/>
      <c r="H68" s="138">
        <v>80000000</v>
      </c>
      <c r="I68" s="14"/>
    </row>
    <row r="69" spans="1:9" ht="24" customHeight="1" x14ac:dyDescent="0.3">
      <c r="A69" s="10"/>
      <c r="B69" s="11"/>
      <c r="C69" s="263" t="s">
        <v>31</v>
      </c>
      <c r="D69" s="263"/>
      <c r="E69" s="12"/>
      <c r="F69" s="23">
        <v>1383601340</v>
      </c>
      <c r="G69" s="14"/>
      <c r="H69" s="23">
        <v>0</v>
      </c>
      <c r="I69" s="14"/>
    </row>
    <row r="70" spans="1:9" ht="24" x14ac:dyDescent="0.3">
      <c r="A70" s="10"/>
      <c r="B70" s="11"/>
      <c r="C70" s="263" t="s">
        <v>23</v>
      </c>
      <c r="D70" s="263"/>
      <c r="E70" s="12"/>
      <c r="F70" s="13">
        <v>2800705151</v>
      </c>
      <c r="G70" s="14"/>
      <c r="H70" s="140">
        <v>166510105</v>
      </c>
      <c r="I70" s="14"/>
    </row>
    <row r="71" spans="1:9" ht="24" x14ac:dyDescent="0.3">
      <c r="A71" s="10"/>
      <c r="B71" s="11"/>
      <c r="C71" s="263" t="s">
        <v>24</v>
      </c>
      <c r="D71" s="263"/>
      <c r="E71" s="12"/>
      <c r="F71" s="13">
        <v>7797858300</v>
      </c>
      <c r="G71" s="14"/>
      <c r="H71" s="141">
        <v>2186805495</v>
      </c>
      <c r="I71" s="14"/>
    </row>
    <row r="72" spans="1:9" ht="24" x14ac:dyDescent="0.3">
      <c r="A72" s="10"/>
      <c r="B72" s="11"/>
      <c r="C72" s="263" t="s">
        <v>32</v>
      </c>
      <c r="D72" s="263"/>
      <c r="E72" s="12"/>
      <c r="F72" s="13">
        <v>6938000</v>
      </c>
      <c r="G72" s="14"/>
      <c r="H72" s="141">
        <v>83549254</v>
      </c>
      <c r="I72" s="14"/>
    </row>
    <row r="73" spans="1:9" ht="24" x14ac:dyDescent="0.3">
      <c r="A73" s="10"/>
      <c r="B73" s="11"/>
      <c r="C73" s="263" t="s">
        <v>26</v>
      </c>
      <c r="D73" s="263"/>
      <c r="E73" s="12"/>
      <c r="F73" s="13">
        <v>1920258684</v>
      </c>
      <c r="G73" s="14"/>
      <c r="H73" s="13">
        <v>8081234680</v>
      </c>
      <c r="I73" s="14"/>
    </row>
    <row r="74" spans="1:9" ht="24" customHeight="1" x14ac:dyDescent="0.3">
      <c r="A74" s="10"/>
      <c r="B74" s="11"/>
      <c r="C74" s="275" t="s">
        <v>167</v>
      </c>
      <c r="D74" s="275"/>
      <c r="E74" s="12"/>
      <c r="F74" s="13">
        <v>0</v>
      </c>
      <c r="G74" s="14"/>
      <c r="H74" s="13">
        <v>706134725</v>
      </c>
      <c r="I74" s="14"/>
    </row>
    <row r="75" spans="1:9" ht="24" hidden="1" customHeight="1" x14ac:dyDescent="0.3">
      <c r="A75" s="10"/>
      <c r="B75" s="11"/>
      <c r="C75" s="263" t="s">
        <v>169</v>
      </c>
      <c r="D75" s="263"/>
      <c r="E75" s="12"/>
      <c r="F75" s="13">
        <v>0</v>
      </c>
      <c r="G75" s="14"/>
      <c r="H75" s="13">
        <v>0</v>
      </c>
      <c r="I75" s="14"/>
    </row>
    <row r="76" spans="1:9" ht="24" x14ac:dyDescent="0.3">
      <c r="A76" s="10"/>
      <c r="B76" s="11"/>
      <c r="C76" s="263" t="s">
        <v>63</v>
      </c>
      <c r="D76" s="263"/>
      <c r="E76" s="12"/>
      <c r="F76" s="13">
        <v>1943533927</v>
      </c>
      <c r="G76" s="14"/>
      <c r="H76" s="23">
        <v>34999720558</v>
      </c>
      <c r="I76" s="14"/>
    </row>
    <row r="77" spans="1:9" ht="24" x14ac:dyDescent="0.3">
      <c r="A77" s="6" t="s">
        <v>185</v>
      </c>
      <c r="B77" s="276" t="s">
        <v>6</v>
      </c>
      <c r="C77" s="276"/>
      <c r="D77" s="276"/>
      <c r="E77" s="7"/>
      <c r="F77" s="8"/>
      <c r="G77" s="21">
        <v>-1113736562637</v>
      </c>
      <c r="H77" s="8"/>
      <c r="I77" s="21">
        <v>-586467268145</v>
      </c>
    </row>
    <row r="78" spans="1:9" ht="24" x14ac:dyDescent="0.3">
      <c r="A78" s="6" t="s">
        <v>79</v>
      </c>
      <c r="B78" s="276" t="s">
        <v>164</v>
      </c>
      <c r="C78" s="276"/>
      <c r="D78" s="276"/>
      <c r="E78" s="7"/>
      <c r="F78" s="8"/>
      <c r="G78" s="9">
        <v>0</v>
      </c>
      <c r="H78" s="8"/>
      <c r="I78" s="9">
        <v>0</v>
      </c>
    </row>
    <row r="79" spans="1:9" ht="24" x14ac:dyDescent="0.3">
      <c r="A79" s="24" t="s">
        <v>75</v>
      </c>
      <c r="B79" s="274" t="s">
        <v>109</v>
      </c>
      <c r="C79" s="274"/>
      <c r="D79" s="274"/>
      <c r="E79" s="25"/>
      <c r="F79" s="26"/>
      <c r="G79" s="27">
        <v>-1113736562637</v>
      </c>
      <c r="H79" s="26"/>
      <c r="I79" s="27">
        <v>-586467268145</v>
      </c>
    </row>
  </sheetData>
  <mergeCells count="71">
    <mergeCell ref="C47:D47"/>
    <mergeCell ref="C48:D48"/>
    <mergeCell ref="C19:D19"/>
    <mergeCell ref="A1:I1"/>
    <mergeCell ref="A2:I2"/>
    <mergeCell ref="A3:I3"/>
    <mergeCell ref="A4:G4"/>
    <mergeCell ref="A5:D5"/>
    <mergeCell ref="B6:D6"/>
    <mergeCell ref="F6:G6"/>
    <mergeCell ref="H6:I6"/>
    <mergeCell ref="B7:D7"/>
    <mergeCell ref="C8:D8"/>
    <mergeCell ref="C12:D12"/>
    <mergeCell ref="B17:D17"/>
    <mergeCell ref="C18:D18"/>
    <mergeCell ref="C34:D34"/>
    <mergeCell ref="B23:D23"/>
    <mergeCell ref="B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6:D46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8:D58"/>
    <mergeCell ref="B49:D49"/>
    <mergeCell ref="B50:D50"/>
    <mergeCell ref="C51:D51"/>
    <mergeCell ref="C52:D52"/>
    <mergeCell ref="C53:D53"/>
    <mergeCell ref="C54:D54"/>
    <mergeCell ref="C55:D55"/>
    <mergeCell ref="C56:D56"/>
    <mergeCell ref="C57:D57"/>
    <mergeCell ref="C70:D70"/>
    <mergeCell ref="C59:D59"/>
    <mergeCell ref="C60:D60"/>
    <mergeCell ref="C61:D61"/>
    <mergeCell ref="C63:D63"/>
    <mergeCell ref="B64:D64"/>
    <mergeCell ref="C65:D65"/>
    <mergeCell ref="C66:D66"/>
    <mergeCell ref="C67:D67"/>
    <mergeCell ref="C68:D68"/>
    <mergeCell ref="C69:D69"/>
    <mergeCell ref="C62:D62"/>
    <mergeCell ref="B79:D79"/>
    <mergeCell ref="C71:D71"/>
    <mergeCell ref="C72:D72"/>
    <mergeCell ref="C73:D73"/>
    <mergeCell ref="C74:D74"/>
    <mergeCell ref="C75:D75"/>
    <mergeCell ref="C76:D76"/>
    <mergeCell ref="B77:D77"/>
    <mergeCell ref="B78:D78"/>
  </mergeCells>
  <phoneticPr fontId="34" type="noConversion"/>
  <pageMargins left="0.69999998807907104" right="0.69999998807907104" top="0.75" bottom="0.75" header="0.30000001192092896" footer="0.30000001192092896"/>
  <pageSetup paperSize="9" scale="4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F0"/>
    <pageSetUpPr fitToPage="1"/>
  </sheetPr>
  <dimension ref="A1:R36"/>
  <sheetViews>
    <sheetView view="pageBreakPreview" zoomScale="55" zoomScaleNormal="70" zoomScaleSheetLayoutView="55" workbookViewId="0">
      <selection activeCell="F12" sqref="F12"/>
    </sheetView>
  </sheetViews>
  <sheetFormatPr defaultRowHeight="16.5" x14ac:dyDescent="0.3"/>
  <cols>
    <col min="1" max="1" width="5" bestFit="1" customWidth="1"/>
    <col min="2" max="2" width="4.75" customWidth="1"/>
    <col min="3" max="3" width="35.625" customWidth="1"/>
    <col min="4" max="4" width="3.5" customWidth="1"/>
    <col min="5" max="8" width="26.375" customWidth="1"/>
  </cols>
  <sheetData>
    <row r="1" spans="1:8" ht="39" x14ac:dyDescent="0.3">
      <c r="A1" s="256" t="s">
        <v>38</v>
      </c>
      <c r="B1" s="256"/>
      <c r="C1" s="256"/>
      <c r="D1" s="256"/>
      <c r="E1" s="256"/>
      <c r="F1" s="256"/>
      <c r="G1" s="256"/>
      <c r="H1" s="256"/>
    </row>
    <row r="2" spans="1:8" ht="20.25" x14ac:dyDescent="0.3">
      <c r="A2" s="257" t="s">
        <v>247</v>
      </c>
      <c r="B2" s="257"/>
      <c r="C2" s="257"/>
      <c r="D2" s="257"/>
      <c r="E2" s="257"/>
      <c r="F2" s="257"/>
      <c r="G2" s="257"/>
      <c r="H2" s="257"/>
    </row>
    <row r="3" spans="1:8" ht="20.25" x14ac:dyDescent="0.3">
      <c r="A3" s="257" t="s">
        <v>248</v>
      </c>
      <c r="B3" s="257"/>
      <c r="C3" s="257"/>
      <c r="D3" s="257"/>
      <c r="E3" s="257"/>
      <c r="F3" s="257"/>
      <c r="G3" s="257"/>
      <c r="H3" s="257"/>
    </row>
    <row r="4" spans="1:8" x14ac:dyDescent="0.3">
      <c r="A4" s="277"/>
      <c r="B4" s="277"/>
      <c r="C4" s="277"/>
      <c r="D4" s="277"/>
      <c r="E4" s="277"/>
    </row>
    <row r="5" spans="1:8" ht="21" thickBot="1" x14ac:dyDescent="0.35">
      <c r="A5" s="278" t="s">
        <v>189</v>
      </c>
      <c r="B5" s="278"/>
      <c r="C5" s="278"/>
      <c r="D5" s="1"/>
      <c r="E5" s="3"/>
      <c r="H5" s="3" t="s">
        <v>105</v>
      </c>
    </row>
    <row r="6" spans="1:8" ht="53.25" customHeight="1" thickBot="1" x14ac:dyDescent="0.35">
      <c r="A6" s="101" t="s">
        <v>86</v>
      </c>
      <c r="B6" s="282" t="s">
        <v>125</v>
      </c>
      <c r="C6" s="282"/>
      <c r="D6" s="100"/>
      <c r="E6" s="283" t="s">
        <v>140</v>
      </c>
      <c r="F6" s="281"/>
      <c r="G6" s="280" t="s">
        <v>191</v>
      </c>
      <c r="H6" s="281"/>
    </row>
    <row r="7" spans="1:8" ht="27.95" customHeight="1" x14ac:dyDescent="0.3">
      <c r="A7" s="99" t="s">
        <v>82</v>
      </c>
      <c r="B7" s="284" t="s">
        <v>94</v>
      </c>
      <c r="C7" s="284"/>
      <c r="D7" s="98"/>
      <c r="E7" s="97"/>
      <c r="F7" s="96">
        <v>1278205913244</v>
      </c>
      <c r="G7" s="97"/>
      <c r="H7" s="96">
        <v>1191508772688</v>
      </c>
    </row>
    <row r="8" spans="1:8" ht="27.95" customHeight="1" x14ac:dyDescent="0.3">
      <c r="A8" s="10"/>
      <c r="B8" s="263" t="s">
        <v>62</v>
      </c>
      <c r="C8" s="263"/>
      <c r="D8" s="12"/>
      <c r="E8" s="94">
        <v>1121910106764</v>
      </c>
      <c r="F8" s="14"/>
      <c r="G8" s="143">
        <v>1077508630230</v>
      </c>
      <c r="H8" s="14"/>
    </row>
    <row r="9" spans="1:8" ht="27.95" customHeight="1" x14ac:dyDescent="0.3">
      <c r="A9" s="15"/>
      <c r="B9" s="263" t="s">
        <v>151</v>
      </c>
      <c r="C9" s="263"/>
      <c r="D9" s="12"/>
      <c r="E9" s="94">
        <v>156295806480</v>
      </c>
      <c r="F9" s="14"/>
      <c r="G9" s="143">
        <v>114000142458</v>
      </c>
      <c r="H9" s="14"/>
    </row>
    <row r="10" spans="1:8" ht="27.75" customHeight="1" x14ac:dyDescent="0.3">
      <c r="A10" s="6" t="s">
        <v>74</v>
      </c>
      <c r="B10" s="276" t="s">
        <v>96</v>
      </c>
      <c r="C10" s="276"/>
      <c r="D10" s="7"/>
      <c r="E10" s="95"/>
      <c r="F10" s="9">
        <v>1156648470764</v>
      </c>
      <c r="G10" s="95"/>
      <c r="H10" s="9">
        <v>1160183357630</v>
      </c>
    </row>
    <row r="11" spans="1:8" ht="27.95" customHeight="1" x14ac:dyDescent="0.3">
      <c r="A11" s="10"/>
      <c r="B11" s="275" t="s">
        <v>145</v>
      </c>
      <c r="C11" s="275"/>
      <c r="D11" s="12"/>
      <c r="E11" s="94">
        <v>154762818622</v>
      </c>
      <c r="F11" s="14"/>
      <c r="G11" s="144">
        <v>164590592600</v>
      </c>
      <c r="H11" s="14"/>
    </row>
    <row r="12" spans="1:8" ht="27.95" customHeight="1" x14ac:dyDescent="0.3">
      <c r="A12" s="10"/>
      <c r="B12" s="263" t="s">
        <v>156</v>
      </c>
      <c r="C12" s="263"/>
      <c r="D12" s="12"/>
      <c r="E12" s="94">
        <v>430849442</v>
      </c>
      <c r="F12" s="14"/>
      <c r="G12" s="144">
        <v>751873187</v>
      </c>
      <c r="H12" s="14"/>
    </row>
    <row r="13" spans="1:8" ht="27.95" customHeight="1" x14ac:dyDescent="0.3">
      <c r="A13" s="6"/>
      <c r="B13" s="263" t="s">
        <v>143</v>
      </c>
      <c r="C13" s="263"/>
      <c r="D13" s="7"/>
      <c r="E13" s="94">
        <v>185993828237</v>
      </c>
      <c r="F13" s="14"/>
      <c r="G13" s="142">
        <v>192766161648</v>
      </c>
      <c r="H13" s="154"/>
    </row>
    <row r="14" spans="1:8" ht="27.95" customHeight="1" x14ac:dyDescent="0.3">
      <c r="A14" s="6"/>
      <c r="B14" s="263" t="s">
        <v>152</v>
      </c>
      <c r="C14" s="263"/>
      <c r="D14" s="7"/>
      <c r="E14" s="94">
        <v>15916534165</v>
      </c>
      <c r="F14" s="14"/>
      <c r="G14" s="144">
        <v>15708736189</v>
      </c>
      <c r="H14" s="14"/>
    </row>
    <row r="15" spans="1:8" ht="27.95" customHeight="1" x14ac:dyDescent="0.3">
      <c r="A15" s="10"/>
      <c r="B15" s="263" t="s">
        <v>155</v>
      </c>
      <c r="C15" s="263"/>
      <c r="D15" s="12"/>
      <c r="E15" s="110">
        <v>4669912388</v>
      </c>
      <c r="F15" s="14"/>
      <c r="G15" s="145">
        <v>4427180584</v>
      </c>
      <c r="H15" s="14"/>
    </row>
    <row r="16" spans="1:8" ht="27.95" customHeight="1" x14ac:dyDescent="0.3">
      <c r="A16" s="10"/>
      <c r="B16" s="263" t="s">
        <v>146</v>
      </c>
      <c r="C16" s="263"/>
      <c r="D16" s="12"/>
      <c r="E16" s="94">
        <v>677267596</v>
      </c>
      <c r="F16" s="14"/>
      <c r="G16" s="144">
        <v>1112587543</v>
      </c>
      <c r="H16" s="14"/>
    </row>
    <row r="17" spans="1:8" ht="27.95" customHeight="1" x14ac:dyDescent="0.3">
      <c r="A17" s="10"/>
      <c r="B17" s="263" t="s">
        <v>65</v>
      </c>
      <c r="C17" s="263"/>
      <c r="D17" s="12"/>
      <c r="E17" s="94">
        <v>2389558159</v>
      </c>
      <c r="F17" s="14"/>
      <c r="G17" s="144">
        <v>1813292330</v>
      </c>
      <c r="H17" s="14"/>
    </row>
    <row r="18" spans="1:8" ht="27.95" customHeight="1" x14ac:dyDescent="0.3">
      <c r="A18" s="10"/>
      <c r="B18" s="263" t="s">
        <v>154</v>
      </c>
      <c r="C18" s="263"/>
      <c r="D18" s="12"/>
      <c r="E18" s="110">
        <v>389974176072</v>
      </c>
      <c r="F18" s="14"/>
      <c r="G18" s="145">
        <v>392433981054</v>
      </c>
      <c r="H18" s="14"/>
    </row>
    <row r="19" spans="1:8" ht="27.95" customHeight="1" x14ac:dyDescent="0.3">
      <c r="A19" s="10"/>
      <c r="B19" s="263" t="s">
        <v>147</v>
      </c>
      <c r="C19" s="263"/>
      <c r="D19" s="12"/>
      <c r="E19" s="94">
        <v>86422777</v>
      </c>
      <c r="F19" s="14"/>
      <c r="G19" s="144">
        <v>242320248</v>
      </c>
      <c r="H19" s="14"/>
    </row>
    <row r="20" spans="1:8" ht="27.95" customHeight="1" x14ac:dyDescent="0.3">
      <c r="A20" s="10"/>
      <c r="B20" s="263" t="s">
        <v>153</v>
      </c>
      <c r="C20" s="263"/>
      <c r="D20" s="12"/>
      <c r="E20" s="94">
        <v>41671145502</v>
      </c>
      <c r="F20" s="14"/>
      <c r="G20" s="144">
        <v>35892553468</v>
      </c>
      <c r="H20" s="14"/>
    </row>
    <row r="21" spans="1:8" ht="27.95" customHeight="1" x14ac:dyDescent="0.3">
      <c r="A21" s="10"/>
      <c r="B21" s="263" t="s">
        <v>172</v>
      </c>
      <c r="C21" s="263"/>
      <c r="D21" s="12"/>
      <c r="E21" s="94">
        <v>383107082</v>
      </c>
      <c r="F21" s="14"/>
      <c r="G21" s="144">
        <v>485434923</v>
      </c>
      <c r="H21" s="14"/>
    </row>
    <row r="22" spans="1:8" ht="27.95" customHeight="1" x14ac:dyDescent="0.3">
      <c r="A22" s="10"/>
      <c r="B22" s="263" t="s">
        <v>64</v>
      </c>
      <c r="C22" s="263"/>
      <c r="D22" s="12"/>
      <c r="E22" s="94">
        <v>1187393010</v>
      </c>
      <c r="F22" s="14"/>
      <c r="G22" s="144">
        <v>1155176024</v>
      </c>
      <c r="H22" s="14"/>
    </row>
    <row r="23" spans="1:8" ht="27.95" customHeight="1" x14ac:dyDescent="0.3">
      <c r="A23" s="10"/>
      <c r="B23" s="263" t="s">
        <v>157</v>
      </c>
      <c r="C23" s="263"/>
      <c r="D23" s="12"/>
      <c r="E23" s="110">
        <v>287151014193</v>
      </c>
      <c r="F23" s="14"/>
      <c r="G23" s="145">
        <v>279250437534</v>
      </c>
      <c r="H23" s="14"/>
    </row>
    <row r="24" spans="1:8" ht="27.75" customHeight="1" x14ac:dyDescent="0.3">
      <c r="A24" s="10"/>
      <c r="B24" s="263" t="s">
        <v>141</v>
      </c>
      <c r="C24" s="263"/>
      <c r="D24" s="12"/>
      <c r="E24" s="94">
        <v>4209850</v>
      </c>
      <c r="F24" s="14"/>
      <c r="G24" s="144">
        <v>5051700</v>
      </c>
      <c r="H24" s="14"/>
    </row>
    <row r="25" spans="1:8" ht="27.95" customHeight="1" x14ac:dyDescent="0.3">
      <c r="A25" s="10"/>
      <c r="B25" s="263" t="s">
        <v>160</v>
      </c>
      <c r="C25" s="263"/>
      <c r="D25" s="12"/>
      <c r="E25" s="94">
        <v>0</v>
      </c>
      <c r="F25" s="14"/>
      <c r="G25" s="144">
        <v>5613200</v>
      </c>
      <c r="H25" s="14"/>
    </row>
    <row r="26" spans="1:8" ht="27.95" customHeight="1" x14ac:dyDescent="0.3">
      <c r="A26" s="10"/>
      <c r="B26" s="263" t="s">
        <v>171</v>
      </c>
      <c r="C26" s="263"/>
      <c r="D26" s="12"/>
      <c r="E26" s="94">
        <v>5551390731</v>
      </c>
      <c r="F26" s="14"/>
      <c r="G26" s="144">
        <v>8399726445</v>
      </c>
      <c r="H26" s="14"/>
    </row>
    <row r="27" spans="1:8" ht="27.95" hidden="1" customHeight="1" x14ac:dyDescent="0.3">
      <c r="A27" s="10"/>
      <c r="B27" s="263" t="s">
        <v>60</v>
      </c>
      <c r="C27" s="263"/>
      <c r="D27" s="12"/>
      <c r="E27" s="94">
        <v>0</v>
      </c>
      <c r="F27" s="14"/>
      <c r="G27" s="144">
        <v>0</v>
      </c>
      <c r="H27" s="14"/>
    </row>
    <row r="28" spans="1:8" ht="27.95" hidden="1" customHeight="1" x14ac:dyDescent="0.3">
      <c r="A28" s="10"/>
      <c r="B28" s="263" t="s">
        <v>161</v>
      </c>
      <c r="C28" s="263"/>
      <c r="D28" s="12"/>
      <c r="E28" s="94">
        <v>0</v>
      </c>
      <c r="F28" s="14"/>
      <c r="G28" s="144">
        <v>0</v>
      </c>
      <c r="H28" s="14"/>
    </row>
    <row r="29" spans="1:8" ht="27.95" customHeight="1" x14ac:dyDescent="0.3">
      <c r="A29" s="10"/>
      <c r="B29" s="263" t="s">
        <v>158</v>
      </c>
      <c r="C29" s="263"/>
      <c r="D29" s="12"/>
      <c r="E29" s="94">
        <v>570247621</v>
      </c>
      <c r="F29" s="14"/>
      <c r="G29" s="144">
        <v>142634220</v>
      </c>
      <c r="H29" s="14"/>
    </row>
    <row r="30" spans="1:8" ht="27.95" customHeight="1" x14ac:dyDescent="0.3">
      <c r="A30" s="10"/>
      <c r="B30" s="263" t="s">
        <v>178</v>
      </c>
      <c r="C30" s="263"/>
      <c r="D30" s="12"/>
      <c r="E30" s="94">
        <v>1594509962</v>
      </c>
      <c r="F30" s="14"/>
      <c r="G30" s="144">
        <v>951965757</v>
      </c>
      <c r="H30" s="14"/>
    </row>
    <row r="31" spans="1:8" ht="27.95" customHeight="1" x14ac:dyDescent="0.3">
      <c r="A31" s="10"/>
      <c r="B31" s="263" t="s">
        <v>175</v>
      </c>
      <c r="C31" s="263"/>
      <c r="D31" s="12"/>
      <c r="E31" s="94">
        <v>47077216567</v>
      </c>
      <c r="F31" s="14"/>
      <c r="G31" s="144">
        <v>45657377865</v>
      </c>
      <c r="H31" s="14"/>
    </row>
    <row r="32" spans="1:8" ht="27.95" customHeight="1" thickBot="1" x14ac:dyDescent="0.35">
      <c r="A32" s="91"/>
      <c r="B32" s="285" t="s">
        <v>58</v>
      </c>
      <c r="C32" s="285"/>
      <c r="D32" s="90"/>
      <c r="E32" s="94">
        <v>16556868788</v>
      </c>
      <c r="F32" s="92"/>
      <c r="G32" s="94">
        <v>14390661111</v>
      </c>
      <c r="H32" s="92"/>
    </row>
    <row r="33" spans="1:8" ht="27.95" customHeight="1" thickBot="1" x14ac:dyDescent="0.35">
      <c r="A33" s="91"/>
      <c r="B33" s="270" t="s">
        <v>97</v>
      </c>
      <c r="C33" s="270"/>
      <c r="D33" s="90"/>
      <c r="E33" s="107"/>
      <c r="F33" s="89">
        <v>2434854384008</v>
      </c>
      <c r="G33" s="107"/>
      <c r="H33" s="89">
        <v>2351692130318</v>
      </c>
    </row>
    <row r="34" spans="1:8" hidden="1" x14ac:dyDescent="0.3">
      <c r="F34" t="b">
        <f>F33='[1]#2. 손익계산서'!F18</f>
        <v>0</v>
      </c>
      <c r="H34" t="b">
        <f>H33='[1]#2. 손익계산서'!H18</f>
        <v>0</v>
      </c>
    </row>
    <row r="36" spans="1:8" x14ac:dyDescent="0.3">
      <c r="F36" t="b">
        <f>F33='#2. 손익계산서'!F18</f>
        <v>1</v>
      </c>
      <c r="H36" t="b">
        <f>H33='#2. 손익계산서'!H18</f>
        <v>1</v>
      </c>
    </row>
  </sheetData>
  <mergeCells count="35">
    <mergeCell ref="B24:C24"/>
    <mergeCell ref="B19:C19"/>
    <mergeCell ref="B20:C20"/>
    <mergeCell ref="B21:C21"/>
    <mergeCell ref="B22:C22"/>
    <mergeCell ref="B23:C23"/>
    <mergeCell ref="B17:C17"/>
    <mergeCell ref="B33:C33"/>
    <mergeCell ref="B9:C9"/>
    <mergeCell ref="B31:C31"/>
    <mergeCell ref="B32:C32"/>
    <mergeCell ref="B25:C25"/>
    <mergeCell ref="B26:C26"/>
    <mergeCell ref="B27:C27"/>
    <mergeCell ref="B28:C28"/>
    <mergeCell ref="B29:C29"/>
    <mergeCell ref="B18:C18"/>
    <mergeCell ref="B13:C13"/>
    <mergeCell ref="B14:C14"/>
    <mergeCell ref="B15:C15"/>
    <mergeCell ref="B16:C16"/>
    <mergeCell ref="B30:C30"/>
    <mergeCell ref="B7:C7"/>
    <mergeCell ref="B8:C8"/>
    <mergeCell ref="B12:C12"/>
    <mergeCell ref="B10:C10"/>
    <mergeCell ref="B11:C11"/>
    <mergeCell ref="G6:H6"/>
    <mergeCell ref="A1:H1"/>
    <mergeCell ref="A3:H3"/>
    <mergeCell ref="A2:H2"/>
    <mergeCell ref="A4:E4"/>
    <mergeCell ref="A5:C5"/>
    <mergeCell ref="B6:C6"/>
    <mergeCell ref="E6:F6"/>
  </mergeCells>
  <phoneticPr fontId="34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F0"/>
    <pageSetUpPr fitToPage="1"/>
  </sheetPr>
  <dimension ref="A1:H38"/>
  <sheetViews>
    <sheetView view="pageBreakPreview" zoomScale="55" zoomScaleNormal="70" zoomScaleSheetLayoutView="55" workbookViewId="0">
      <selection activeCell="E12" sqref="E12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" customWidth="1"/>
  </cols>
  <sheetData>
    <row r="1" spans="1:8" ht="39" x14ac:dyDescent="0.3">
      <c r="A1" s="256" t="s">
        <v>37</v>
      </c>
      <c r="B1" s="256"/>
      <c r="C1" s="256"/>
      <c r="D1" s="256"/>
      <c r="E1" s="256"/>
      <c r="F1" s="256"/>
      <c r="G1" s="256"/>
      <c r="H1" s="256"/>
    </row>
    <row r="2" spans="1:8" ht="20.25" x14ac:dyDescent="0.3">
      <c r="A2" s="257" t="str">
        <f>'#3. 운영사업원가명세서'!A2:H2</f>
        <v>제 4 기  2020년 1월 1일부터 2020년 12월 31일까지</v>
      </c>
      <c r="B2" s="257"/>
      <c r="C2" s="257"/>
      <c r="D2" s="257"/>
      <c r="E2" s="257"/>
      <c r="F2" s="257"/>
      <c r="G2" s="257"/>
      <c r="H2" s="257"/>
    </row>
    <row r="3" spans="1:8" ht="20.25" x14ac:dyDescent="0.3">
      <c r="A3" s="257" t="str">
        <f>'#3. 운영사업원가명세서'!A3:H3</f>
        <v>제 3 기  2019년 1월 1일부터 2019년 12월 31일까지</v>
      </c>
      <c r="B3" s="257"/>
      <c r="C3" s="257"/>
      <c r="D3" s="257"/>
      <c r="E3" s="257"/>
      <c r="F3" s="257"/>
      <c r="G3" s="257"/>
      <c r="H3" s="257"/>
    </row>
    <row r="4" spans="1:8" x14ac:dyDescent="0.3">
      <c r="A4" s="277"/>
      <c r="B4" s="277"/>
      <c r="C4" s="277"/>
      <c r="D4" s="277"/>
      <c r="E4" s="277"/>
    </row>
    <row r="5" spans="1:8" ht="20.25" x14ac:dyDescent="0.3">
      <c r="A5" s="278" t="s">
        <v>189</v>
      </c>
      <c r="B5" s="278"/>
      <c r="C5" s="278"/>
      <c r="D5" s="1"/>
      <c r="E5" s="3"/>
      <c r="H5" s="3" t="s">
        <v>105</v>
      </c>
    </row>
    <row r="6" spans="1:8" ht="51" customHeight="1" x14ac:dyDescent="0.3">
      <c r="A6" s="101" t="s">
        <v>86</v>
      </c>
      <c r="B6" s="282" t="s">
        <v>245</v>
      </c>
      <c r="C6" s="282"/>
      <c r="D6" s="100"/>
      <c r="E6" s="283" t="s">
        <v>140</v>
      </c>
      <c r="F6" s="281"/>
      <c r="G6" s="280" t="s">
        <v>191</v>
      </c>
      <c r="H6" s="281"/>
    </row>
    <row r="7" spans="1:8" ht="27.95" customHeight="1" x14ac:dyDescent="0.3">
      <c r="A7" s="99" t="s">
        <v>82</v>
      </c>
      <c r="B7" s="284" t="s">
        <v>94</v>
      </c>
      <c r="C7" s="284"/>
      <c r="D7" s="98"/>
      <c r="E7" s="97"/>
      <c r="F7" s="96">
        <v>42870691775</v>
      </c>
      <c r="G7" s="97"/>
      <c r="H7" s="96">
        <v>33593473923</v>
      </c>
    </row>
    <row r="8" spans="1:8" ht="27.95" customHeight="1" x14ac:dyDescent="0.3">
      <c r="A8" s="10"/>
      <c r="B8" s="263" t="s">
        <v>62</v>
      </c>
      <c r="C8" s="263"/>
      <c r="D8" s="12"/>
      <c r="E8" s="94">
        <v>39800858920</v>
      </c>
      <c r="F8" s="14"/>
      <c r="G8" s="146">
        <v>30555847967</v>
      </c>
      <c r="H8" s="14"/>
    </row>
    <row r="9" spans="1:8" ht="27.75" customHeight="1" x14ac:dyDescent="0.3">
      <c r="A9" s="15"/>
      <c r="B9" s="263" t="s">
        <v>151</v>
      </c>
      <c r="C9" s="263"/>
      <c r="D9" s="12"/>
      <c r="E9" s="94">
        <v>3069832855</v>
      </c>
      <c r="F9" s="14"/>
      <c r="G9" s="146">
        <v>3037625956</v>
      </c>
      <c r="H9" s="14"/>
    </row>
    <row r="10" spans="1:8" ht="27.75" customHeight="1" x14ac:dyDescent="0.3">
      <c r="A10" s="6" t="s">
        <v>74</v>
      </c>
      <c r="B10" s="276" t="s">
        <v>96</v>
      </c>
      <c r="C10" s="276"/>
      <c r="D10" s="7"/>
      <c r="E10" s="95"/>
      <c r="F10" s="9">
        <v>47335333427</v>
      </c>
      <c r="G10" s="95"/>
      <c r="H10" s="9">
        <v>40690961485</v>
      </c>
    </row>
    <row r="11" spans="1:8" ht="27.95" customHeight="1" x14ac:dyDescent="0.3">
      <c r="A11" s="10"/>
      <c r="B11" s="263" t="s">
        <v>145</v>
      </c>
      <c r="C11" s="263"/>
      <c r="D11" s="12"/>
      <c r="E11" s="94">
        <v>6725172964</v>
      </c>
      <c r="F11" s="14"/>
      <c r="G11" s="147">
        <v>5708677430</v>
      </c>
      <c r="H11" s="14"/>
    </row>
    <row r="12" spans="1:8" ht="27.95" customHeight="1" x14ac:dyDescent="0.3">
      <c r="A12" s="10"/>
      <c r="B12" s="263" t="s">
        <v>156</v>
      </c>
      <c r="C12" s="263"/>
      <c r="D12" s="12"/>
      <c r="E12" s="94">
        <v>18913200</v>
      </c>
      <c r="F12" s="14"/>
      <c r="G12" s="147">
        <v>17782276</v>
      </c>
      <c r="H12" s="14"/>
    </row>
    <row r="13" spans="1:8" ht="27.95" customHeight="1" x14ac:dyDescent="0.3">
      <c r="A13" s="6"/>
      <c r="B13" s="263" t="s">
        <v>143</v>
      </c>
      <c r="C13" s="263"/>
      <c r="D13" s="7"/>
      <c r="E13" s="94">
        <v>10568220751</v>
      </c>
      <c r="F13" s="14"/>
      <c r="G13" s="147">
        <v>9782112089</v>
      </c>
      <c r="H13" s="14"/>
    </row>
    <row r="14" spans="1:8" ht="27.95" customHeight="1" x14ac:dyDescent="0.3">
      <c r="A14" s="6"/>
      <c r="B14" s="263" t="s">
        <v>152</v>
      </c>
      <c r="C14" s="263"/>
      <c r="D14" s="7"/>
      <c r="E14" s="94">
        <v>493860389</v>
      </c>
      <c r="F14" s="14"/>
      <c r="G14" s="147">
        <v>406428021</v>
      </c>
      <c r="H14" s="14"/>
    </row>
    <row r="15" spans="1:8" ht="27.95" customHeight="1" x14ac:dyDescent="0.3">
      <c r="A15" s="10"/>
      <c r="B15" s="263" t="s">
        <v>155</v>
      </c>
      <c r="C15" s="263"/>
      <c r="D15" s="12"/>
      <c r="E15" s="94">
        <v>1633424618</v>
      </c>
      <c r="F15" s="14"/>
      <c r="G15" s="147">
        <v>1073125983</v>
      </c>
      <c r="H15" s="14"/>
    </row>
    <row r="16" spans="1:8" ht="27.95" customHeight="1" x14ac:dyDescent="0.3">
      <c r="A16" s="10"/>
      <c r="B16" s="263" t="s">
        <v>146</v>
      </c>
      <c r="C16" s="263"/>
      <c r="D16" s="12"/>
      <c r="E16" s="94">
        <v>41015695</v>
      </c>
      <c r="F16" s="14"/>
      <c r="G16" s="147">
        <v>47596529</v>
      </c>
      <c r="H16" s="14"/>
    </row>
    <row r="17" spans="1:8" ht="27.95" customHeight="1" x14ac:dyDescent="0.3">
      <c r="A17" s="10"/>
      <c r="B17" s="263" t="s">
        <v>65</v>
      </c>
      <c r="C17" s="263"/>
      <c r="D17" s="12"/>
      <c r="E17" s="94">
        <v>746258679</v>
      </c>
      <c r="F17" s="14"/>
      <c r="G17" s="147">
        <v>771546925</v>
      </c>
      <c r="H17" s="14"/>
    </row>
    <row r="18" spans="1:8" ht="27.95" hidden="1" customHeight="1" x14ac:dyDescent="0.3">
      <c r="A18" s="10"/>
      <c r="B18" s="263" t="s">
        <v>154</v>
      </c>
      <c r="C18" s="263"/>
      <c r="D18" s="12"/>
      <c r="E18" s="94">
        <v>0</v>
      </c>
      <c r="F18" s="14"/>
      <c r="G18" s="147">
        <v>0</v>
      </c>
      <c r="H18" s="14"/>
    </row>
    <row r="19" spans="1:8" ht="27.95" hidden="1" customHeight="1" x14ac:dyDescent="0.3">
      <c r="A19" s="10"/>
      <c r="B19" s="263" t="s">
        <v>147</v>
      </c>
      <c r="C19" s="263"/>
      <c r="D19" s="12"/>
      <c r="E19" s="94">
        <v>0</v>
      </c>
      <c r="F19" s="14"/>
      <c r="G19" s="147">
        <v>0</v>
      </c>
      <c r="H19" s="14"/>
    </row>
    <row r="20" spans="1:8" ht="27.95" customHeight="1" x14ac:dyDescent="0.3">
      <c r="A20" s="10"/>
      <c r="B20" s="263" t="s">
        <v>153</v>
      </c>
      <c r="C20" s="263"/>
      <c r="D20" s="12"/>
      <c r="E20" s="94">
        <v>1399519454</v>
      </c>
      <c r="F20" s="14"/>
      <c r="G20" s="147">
        <v>705369006</v>
      </c>
      <c r="H20" s="14"/>
    </row>
    <row r="21" spans="1:8" ht="27.95" customHeight="1" x14ac:dyDescent="0.3">
      <c r="A21" s="10"/>
      <c r="B21" s="263" t="s">
        <v>172</v>
      </c>
      <c r="C21" s="263"/>
      <c r="D21" s="12"/>
      <c r="E21" s="94">
        <v>5391990</v>
      </c>
      <c r="F21" s="14"/>
      <c r="G21" s="147">
        <v>3948184</v>
      </c>
      <c r="H21" s="14"/>
    </row>
    <row r="22" spans="1:8" ht="27.95" customHeight="1" x14ac:dyDescent="0.3">
      <c r="A22" s="10"/>
      <c r="B22" s="263" t="s">
        <v>64</v>
      </c>
      <c r="C22" s="263"/>
      <c r="D22" s="12"/>
      <c r="E22" s="94">
        <v>873425964</v>
      </c>
      <c r="F22" s="14"/>
      <c r="G22" s="147">
        <v>1099849980</v>
      </c>
      <c r="H22" s="14"/>
    </row>
    <row r="23" spans="1:8" ht="27.95" customHeight="1" x14ac:dyDescent="0.3">
      <c r="A23" s="10"/>
      <c r="B23" s="263" t="s">
        <v>157</v>
      </c>
      <c r="C23" s="263"/>
      <c r="D23" s="12"/>
      <c r="E23" s="94">
        <v>23712282072</v>
      </c>
      <c r="F23" s="14"/>
      <c r="G23" s="147">
        <v>20362701224</v>
      </c>
      <c r="H23" s="14"/>
    </row>
    <row r="24" spans="1:8" ht="27.95" customHeight="1" x14ac:dyDescent="0.3">
      <c r="A24" s="10"/>
      <c r="B24" s="263" t="s">
        <v>141</v>
      </c>
      <c r="C24" s="263"/>
      <c r="D24" s="12"/>
      <c r="E24" s="94">
        <v>4238600</v>
      </c>
      <c r="F24" s="14"/>
      <c r="G24" s="147">
        <v>9595840</v>
      </c>
      <c r="H24" s="14"/>
    </row>
    <row r="25" spans="1:8" ht="27.95" customHeight="1" x14ac:dyDescent="0.3">
      <c r="A25" s="10"/>
      <c r="B25" s="263" t="s">
        <v>160</v>
      </c>
      <c r="C25" s="263"/>
      <c r="D25" s="12"/>
      <c r="E25" s="94">
        <v>0</v>
      </c>
      <c r="F25" s="14"/>
      <c r="G25" s="147">
        <v>1320335</v>
      </c>
      <c r="H25" s="14"/>
    </row>
    <row r="26" spans="1:8" ht="27.95" customHeight="1" x14ac:dyDescent="0.3">
      <c r="A26" s="10"/>
      <c r="B26" s="263" t="s">
        <v>171</v>
      </c>
      <c r="C26" s="263"/>
      <c r="D26" s="12"/>
      <c r="E26" s="94">
        <v>273439337</v>
      </c>
      <c r="F26" s="14"/>
      <c r="G26" s="147">
        <v>92200131</v>
      </c>
      <c r="H26" s="14"/>
    </row>
    <row r="27" spans="1:8" ht="27.95" customHeight="1" x14ac:dyDescent="0.3">
      <c r="A27" s="10"/>
      <c r="B27" s="263" t="s">
        <v>60</v>
      </c>
      <c r="C27" s="263"/>
      <c r="D27" s="12"/>
      <c r="E27" s="94">
        <v>31090245</v>
      </c>
      <c r="F27" s="14"/>
      <c r="G27" s="147">
        <v>29880644</v>
      </c>
      <c r="H27" s="14"/>
    </row>
    <row r="28" spans="1:8" ht="27.95" hidden="1" customHeight="1" x14ac:dyDescent="0.3">
      <c r="A28" s="10"/>
      <c r="B28" s="263" t="s">
        <v>161</v>
      </c>
      <c r="C28" s="263"/>
      <c r="D28" s="12"/>
      <c r="E28" s="94">
        <v>0</v>
      </c>
      <c r="F28" s="14"/>
      <c r="G28" s="147">
        <v>0</v>
      </c>
      <c r="H28" s="14"/>
    </row>
    <row r="29" spans="1:8" ht="27.95" customHeight="1" x14ac:dyDescent="0.3">
      <c r="A29" s="10"/>
      <c r="B29" s="263" t="s">
        <v>158</v>
      </c>
      <c r="C29" s="263"/>
      <c r="D29" s="12"/>
      <c r="E29" s="94">
        <v>1616000</v>
      </c>
      <c r="F29" s="14"/>
      <c r="G29" s="147">
        <v>776000</v>
      </c>
      <c r="H29" s="14"/>
    </row>
    <row r="30" spans="1:8" ht="27.75" customHeight="1" x14ac:dyDescent="0.3">
      <c r="A30" s="10"/>
      <c r="B30" s="263" t="s">
        <v>178</v>
      </c>
      <c r="C30" s="263"/>
      <c r="D30" s="12"/>
      <c r="E30" s="94">
        <v>0</v>
      </c>
      <c r="F30" s="14"/>
      <c r="G30" s="147">
        <v>686620</v>
      </c>
      <c r="H30" s="14"/>
    </row>
    <row r="31" spans="1:8" ht="27.75" hidden="1" customHeight="1" x14ac:dyDescent="0.3">
      <c r="A31" s="10"/>
      <c r="B31" s="263" t="s">
        <v>175</v>
      </c>
      <c r="C31" s="263"/>
      <c r="D31" s="12"/>
      <c r="E31" s="94">
        <v>0</v>
      </c>
      <c r="F31" s="14"/>
      <c r="G31" s="94">
        <v>0</v>
      </c>
      <c r="H31" s="14"/>
    </row>
    <row r="32" spans="1:8" ht="27.95" customHeight="1" thickBot="1" x14ac:dyDescent="0.35">
      <c r="A32" s="10"/>
      <c r="B32" s="263" t="s">
        <v>58</v>
      </c>
      <c r="C32" s="263"/>
      <c r="D32" s="12"/>
      <c r="E32" s="94">
        <v>807463469</v>
      </c>
      <c r="F32" s="14"/>
      <c r="G32" s="148">
        <v>577364268</v>
      </c>
      <c r="H32" s="14"/>
    </row>
    <row r="33" spans="1:8" ht="27.95" hidden="1" customHeight="1" x14ac:dyDescent="0.3">
      <c r="A33" s="10"/>
      <c r="B33" s="263" t="s">
        <v>177</v>
      </c>
      <c r="C33" s="263"/>
      <c r="D33" s="12"/>
      <c r="E33" s="94">
        <v>0</v>
      </c>
      <c r="F33" s="14"/>
      <c r="G33" s="94">
        <v>0</v>
      </c>
      <c r="H33" s="14"/>
    </row>
    <row r="34" spans="1:8" ht="27.95" hidden="1" customHeight="1" x14ac:dyDescent="0.3">
      <c r="A34" s="91"/>
      <c r="B34" s="285" t="s">
        <v>168</v>
      </c>
      <c r="C34" s="285"/>
      <c r="D34" s="90"/>
      <c r="E34" s="93">
        <v>0</v>
      </c>
      <c r="F34" s="92"/>
      <c r="G34" s="93">
        <v>0</v>
      </c>
      <c r="H34" s="92"/>
    </row>
    <row r="35" spans="1:8" ht="27.95" customHeight="1" thickBot="1" x14ac:dyDescent="0.35">
      <c r="A35" s="103"/>
      <c r="B35" s="286" t="s">
        <v>97</v>
      </c>
      <c r="C35" s="286"/>
      <c r="D35" s="104"/>
      <c r="E35" s="105"/>
      <c r="F35" s="106">
        <v>90206025202</v>
      </c>
      <c r="G35" s="105"/>
      <c r="H35" s="106">
        <v>74284435408</v>
      </c>
    </row>
    <row r="36" spans="1:8" hidden="1" x14ac:dyDescent="0.3">
      <c r="F36" t="b">
        <f>F35='[1]#2. 손익계산서'!F19</f>
        <v>0</v>
      </c>
      <c r="H36" t="b">
        <f>H35='[1]#2. 손익계산서'!H19</f>
        <v>0</v>
      </c>
    </row>
    <row r="38" spans="1:8" x14ac:dyDescent="0.3">
      <c r="F38" t="b">
        <f>F35='#2. 손익계산서'!F19</f>
        <v>1</v>
      </c>
      <c r="H38" t="b">
        <f>H35='#2. 손익계산서'!H19</f>
        <v>1</v>
      </c>
    </row>
  </sheetData>
  <mergeCells count="3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E6:F6"/>
    <mergeCell ref="G6:H6"/>
    <mergeCell ref="A1:H1"/>
    <mergeCell ref="A2:H2"/>
    <mergeCell ref="A3:H3"/>
    <mergeCell ref="A4:E4"/>
    <mergeCell ref="A5:C5"/>
  </mergeCells>
  <phoneticPr fontId="34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F0"/>
    <pageSetUpPr fitToPage="1"/>
  </sheetPr>
  <dimension ref="A1:L38"/>
  <sheetViews>
    <sheetView view="pageBreakPreview" zoomScale="55" zoomScaleNormal="70" zoomScaleSheetLayoutView="55" workbookViewId="0">
      <selection activeCell="M23" sqref="M23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.375" customWidth="1"/>
    <col min="9" max="9" width="18.125" bestFit="1" customWidth="1"/>
    <col min="10" max="10" width="14.875" customWidth="1"/>
    <col min="11" max="11" width="16.125" customWidth="1"/>
    <col min="12" max="12" width="8.625" customWidth="1"/>
  </cols>
  <sheetData>
    <row r="1" spans="1:12" ht="39" x14ac:dyDescent="0.3">
      <c r="A1" s="256" t="s">
        <v>21</v>
      </c>
      <c r="B1" s="256"/>
      <c r="C1" s="256"/>
      <c r="D1" s="256"/>
      <c r="E1" s="256"/>
      <c r="F1" s="256"/>
      <c r="G1" s="256"/>
      <c r="H1" s="256"/>
    </row>
    <row r="2" spans="1:12" ht="20.25" x14ac:dyDescent="0.3">
      <c r="A2" s="257" t="str">
        <f>'#3. 운영사업원가명세서'!A2:H2</f>
        <v>제 4 기  2020년 1월 1일부터 2020년 12월 31일까지</v>
      </c>
      <c r="B2" s="257"/>
      <c r="C2" s="257"/>
      <c r="D2" s="257"/>
      <c r="E2" s="257"/>
      <c r="F2" s="257"/>
      <c r="G2" s="257"/>
      <c r="H2" s="257"/>
      <c r="I2" s="102"/>
    </row>
    <row r="3" spans="1:12" ht="20.25" x14ac:dyDescent="0.3">
      <c r="A3" s="257" t="str">
        <f>'#3. 운영사업원가명세서'!A3:H3</f>
        <v>제 3 기  2019년 1월 1일부터 2019년 12월 31일까지</v>
      </c>
      <c r="B3" s="257"/>
      <c r="C3" s="257"/>
      <c r="D3" s="257"/>
      <c r="E3" s="257"/>
      <c r="F3" s="257"/>
      <c r="G3" s="257"/>
      <c r="H3" s="257"/>
      <c r="I3" s="102"/>
    </row>
    <row r="4" spans="1:12" x14ac:dyDescent="0.3">
      <c r="A4" s="277"/>
      <c r="B4" s="277"/>
      <c r="C4" s="277"/>
      <c r="D4" s="277"/>
      <c r="E4" s="277"/>
    </row>
    <row r="5" spans="1:12" ht="20.25" x14ac:dyDescent="0.3">
      <c r="A5" s="278" t="s">
        <v>189</v>
      </c>
      <c r="B5" s="278"/>
      <c r="C5" s="278"/>
      <c r="D5" s="1"/>
      <c r="E5" s="3"/>
      <c r="H5" s="3" t="s">
        <v>105</v>
      </c>
    </row>
    <row r="6" spans="1:12" ht="53.25" customHeight="1" x14ac:dyDescent="0.3">
      <c r="A6" s="101" t="s">
        <v>86</v>
      </c>
      <c r="B6" s="282" t="s">
        <v>125</v>
      </c>
      <c r="C6" s="282"/>
      <c r="D6" s="108"/>
      <c r="E6" s="283" t="s">
        <v>140</v>
      </c>
      <c r="F6" s="281"/>
      <c r="G6" s="280" t="s">
        <v>191</v>
      </c>
      <c r="H6" s="281"/>
    </row>
    <row r="7" spans="1:12" ht="27.95" customHeight="1" x14ac:dyDescent="0.3">
      <c r="A7" s="99" t="s">
        <v>82</v>
      </c>
      <c r="B7" s="284" t="s">
        <v>94</v>
      </c>
      <c r="C7" s="284"/>
      <c r="D7" s="98"/>
      <c r="E7" s="97"/>
      <c r="F7" s="96">
        <v>1355123022747</v>
      </c>
      <c r="G7" s="97"/>
      <c r="H7" s="96">
        <v>1260178444652</v>
      </c>
      <c r="I7" s="30"/>
      <c r="J7" s="30"/>
    </row>
    <row r="8" spans="1:12" ht="27.95" customHeight="1" x14ac:dyDescent="0.3">
      <c r="A8" s="10"/>
      <c r="B8" s="263" t="s">
        <v>62</v>
      </c>
      <c r="C8" s="263"/>
      <c r="D8" s="12"/>
      <c r="E8" s="94">
        <v>1187369665877</v>
      </c>
      <c r="F8" s="14"/>
      <c r="G8" s="149">
        <v>1139434406064</v>
      </c>
      <c r="H8" s="14"/>
      <c r="J8" s="30"/>
    </row>
    <row r="9" spans="1:12" ht="27.95" customHeight="1" x14ac:dyDescent="0.3">
      <c r="A9" s="15"/>
      <c r="B9" s="263" t="s">
        <v>151</v>
      </c>
      <c r="C9" s="263"/>
      <c r="D9" s="12"/>
      <c r="E9" s="94">
        <v>167753356870</v>
      </c>
      <c r="F9" s="14"/>
      <c r="G9" s="149">
        <v>120744038588</v>
      </c>
      <c r="H9" s="14"/>
      <c r="J9" s="30"/>
      <c r="K9" s="30"/>
    </row>
    <row r="10" spans="1:12" ht="27.95" customHeight="1" x14ac:dyDescent="0.3">
      <c r="A10" s="6" t="s">
        <v>74</v>
      </c>
      <c r="B10" s="276" t="s">
        <v>96</v>
      </c>
      <c r="C10" s="276"/>
      <c r="D10" s="7"/>
      <c r="E10" s="95"/>
      <c r="F10" s="9">
        <v>1294562493522</v>
      </c>
      <c r="G10" s="95"/>
      <c r="H10" s="9">
        <v>1276868697145</v>
      </c>
    </row>
    <row r="11" spans="1:12" ht="27.95" customHeight="1" x14ac:dyDescent="0.3">
      <c r="A11" s="10"/>
      <c r="B11" s="263" t="s">
        <v>145</v>
      </c>
      <c r="C11" s="263"/>
      <c r="D11" s="12"/>
      <c r="E11" s="94">
        <v>164205614765</v>
      </c>
      <c r="F11" s="14"/>
      <c r="G11" s="150">
        <v>174556899166</v>
      </c>
      <c r="H11" s="14"/>
      <c r="I11" s="156"/>
      <c r="J11" s="182"/>
      <c r="K11" s="263"/>
      <c r="L11" s="263"/>
    </row>
    <row r="12" spans="1:12" ht="27.95" customHeight="1" x14ac:dyDescent="0.3">
      <c r="A12" s="10"/>
      <c r="B12" s="263" t="s">
        <v>156</v>
      </c>
      <c r="C12" s="263"/>
      <c r="D12" s="12"/>
      <c r="E12" s="94">
        <v>466616673</v>
      </c>
      <c r="F12" s="14"/>
      <c r="G12" s="150">
        <v>1001840358</v>
      </c>
      <c r="H12" s="14"/>
      <c r="I12" s="263"/>
      <c r="J12" s="263"/>
      <c r="K12" s="263"/>
      <c r="L12" s="263"/>
    </row>
    <row r="13" spans="1:12" ht="27.95" customHeight="1" x14ac:dyDescent="0.3">
      <c r="A13" s="6"/>
      <c r="B13" s="263" t="s">
        <v>143</v>
      </c>
      <c r="C13" s="263"/>
      <c r="D13" s="7"/>
      <c r="E13" s="94">
        <v>186196749453</v>
      </c>
      <c r="F13" s="14"/>
      <c r="G13" s="150">
        <v>192971706250</v>
      </c>
      <c r="H13" s="14"/>
      <c r="I13" s="288"/>
      <c r="J13" s="288"/>
      <c r="K13" s="288"/>
      <c r="L13" s="288"/>
    </row>
    <row r="14" spans="1:12" ht="27.95" customHeight="1" x14ac:dyDescent="0.3">
      <c r="A14" s="6"/>
      <c r="B14" s="263" t="s">
        <v>152</v>
      </c>
      <c r="C14" s="263"/>
      <c r="D14" s="7"/>
      <c r="E14" s="94">
        <v>16949584587</v>
      </c>
      <c r="F14" s="14"/>
      <c r="G14" s="150">
        <v>16791255646</v>
      </c>
      <c r="H14" s="14"/>
      <c r="I14" s="288"/>
      <c r="J14" s="288"/>
      <c r="K14" s="288"/>
      <c r="L14" s="288"/>
    </row>
    <row r="15" spans="1:12" ht="27.95" customHeight="1" x14ac:dyDescent="0.3">
      <c r="A15" s="10"/>
      <c r="B15" s="263" t="s">
        <v>155</v>
      </c>
      <c r="C15" s="263"/>
      <c r="D15" s="12"/>
      <c r="E15" s="94">
        <v>4935976115</v>
      </c>
      <c r="F15" s="14"/>
      <c r="G15" s="150">
        <v>4843330031</v>
      </c>
      <c r="H15" s="14"/>
      <c r="I15" s="263"/>
      <c r="J15" s="263"/>
      <c r="K15" s="263"/>
      <c r="L15" s="263"/>
    </row>
    <row r="16" spans="1:12" ht="27.95" customHeight="1" x14ac:dyDescent="0.3">
      <c r="A16" s="10"/>
      <c r="B16" s="263" t="s">
        <v>146</v>
      </c>
      <c r="C16" s="263"/>
      <c r="D16" s="12"/>
      <c r="E16" s="94">
        <v>954675702</v>
      </c>
      <c r="F16" s="14"/>
      <c r="G16" s="150">
        <v>1364530173</v>
      </c>
      <c r="H16" s="14"/>
      <c r="I16" s="263"/>
      <c r="J16" s="263"/>
      <c r="K16" s="263"/>
      <c r="L16" s="263"/>
    </row>
    <row r="17" spans="1:12" ht="27.95" customHeight="1" x14ac:dyDescent="0.3">
      <c r="A17" s="10"/>
      <c r="B17" s="263" t="s">
        <v>65</v>
      </c>
      <c r="C17" s="263"/>
      <c r="D17" s="12"/>
      <c r="E17" s="94">
        <v>2513295717</v>
      </c>
      <c r="F17" s="14"/>
      <c r="G17" s="150">
        <v>1969375909</v>
      </c>
      <c r="H17" s="14"/>
      <c r="I17" s="263"/>
      <c r="J17" s="263"/>
      <c r="K17" s="263"/>
      <c r="L17" s="263"/>
    </row>
    <row r="18" spans="1:12" ht="27.95" customHeight="1" x14ac:dyDescent="0.3">
      <c r="A18" s="10"/>
      <c r="B18" s="263" t="s">
        <v>154</v>
      </c>
      <c r="C18" s="263"/>
      <c r="D18" s="12"/>
      <c r="E18" s="94">
        <v>394756286540</v>
      </c>
      <c r="F18" s="14"/>
      <c r="G18" s="150">
        <v>395924128790</v>
      </c>
      <c r="H18" s="14"/>
      <c r="I18" s="263"/>
      <c r="J18" s="263"/>
      <c r="K18" s="263"/>
      <c r="L18" s="263"/>
    </row>
    <row r="19" spans="1:12" ht="27.95" customHeight="1" x14ac:dyDescent="0.3">
      <c r="A19" s="10"/>
      <c r="B19" s="263" t="s">
        <v>147</v>
      </c>
      <c r="C19" s="263"/>
      <c r="D19" s="12"/>
      <c r="E19" s="94">
        <v>3233786884</v>
      </c>
      <c r="F19" s="14"/>
      <c r="G19" s="150">
        <v>3051556626</v>
      </c>
      <c r="H19" s="14"/>
      <c r="I19" s="263"/>
      <c r="J19" s="263"/>
      <c r="K19" s="263"/>
      <c r="L19" s="263"/>
    </row>
    <row r="20" spans="1:12" ht="27.95" customHeight="1" x14ac:dyDescent="0.3">
      <c r="A20" s="10"/>
      <c r="B20" s="263" t="s">
        <v>153</v>
      </c>
      <c r="C20" s="263"/>
      <c r="D20" s="12"/>
      <c r="E20" s="94">
        <v>41874243740</v>
      </c>
      <c r="F20" s="14"/>
      <c r="G20" s="150">
        <v>36070402500</v>
      </c>
      <c r="H20" s="14"/>
      <c r="I20" s="263"/>
      <c r="J20" s="263"/>
      <c r="K20" s="263"/>
      <c r="L20" s="263"/>
    </row>
    <row r="21" spans="1:12" ht="27.95" customHeight="1" x14ac:dyDescent="0.3">
      <c r="A21" s="10"/>
      <c r="B21" s="263" t="s">
        <v>172</v>
      </c>
      <c r="C21" s="263"/>
      <c r="D21" s="12"/>
      <c r="E21" s="94">
        <v>394902659</v>
      </c>
      <c r="F21" s="14"/>
      <c r="G21" s="150">
        <v>509442999</v>
      </c>
      <c r="H21" s="14"/>
      <c r="I21" s="263"/>
      <c r="J21" s="263"/>
      <c r="K21" s="263"/>
      <c r="L21" s="263"/>
    </row>
    <row r="22" spans="1:12" ht="27.95" customHeight="1" x14ac:dyDescent="0.3">
      <c r="A22" s="10"/>
      <c r="B22" s="263" t="s">
        <v>64</v>
      </c>
      <c r="C22" s="263"/>
      <c r="D22" s="12"/>
      <c r="E22" s="94">
        <v>1199238639</v>
      </c>
      <c r="F22" s="14"/>
      <c r="G22" s="150">
        <v>1167774019</v>
      </c>
      <c r="H22" s="14"/>
      <c r="I22" s="263"/>
      <c r="J22" s="263"/>
      <c r="K22" s="263"/>
      <c r="L22" s="263"/>
    </row>
    <row r="23" spans="1:12" ht="27.95" customHeight="1" x14ac:dyDescent="0.3">
      <c r="A23" s="10"/>
      <c r="B23" s="263" t="s">
        <v>157</v>
      </c>
      <c r="C23" s="263"/>
      <c r="D23" s="12"/>
      <c r="E23" s="94">
        <v>299794218169</v>
      </c>
      <c r="F23" s="14"/>
      <c r="G23" s="150">
        <v>291004027186</v>
      </c>
      <c r="H23" s="14"/>
      <c r="I23" s="263"/>
      <c r="J23" s="263"/>
      <c r="K23" s="263"/>
      <c r="L23" s="263"/>
    </row>
    <row r="24" spans="1:12" ht="27.75" customHeight="1" x14ac:dyDescent="0.3">
      <c r="A24" s="10"/>
      <c r="B24" s="263" t="s">
        <v>141</v>
      </c>
      <c r="C24" s="263"/>
      <c r="D24" s="12"/>
      <c r="E24" s="94">
        <v>138291878</v>
      </c>
      <c r="F24" s="14"/>
      <c r="G24" s="150">
        <v>182122684</v>
      </c>
      <c r="H24" s="14"/>
      <c r="I24" s="263"/>
      <c r="J24" s="263"/>
      <c r="K24" s="263"/>
      <c r="L24" s="263"/>
    </row>
    <row r="25" spans="1:12" ht="27.95" customHeight="1" x14ac:dyDescent="0.3">
      <c r="A25" s="10"/>
      <c r="B25" s="263" t="s">
        <v>160</v>
      </c>
      <c r="C25" s="263"/>
      <c r="D25" s="12"/>
      <c r="E25" s="94">
        <v>264767643</v>
      </c>
      <c r="F25" s="14"/>
      <c r="G25" s="150">
        <v>388115210</v>
      </c>
      <c r="H25" s="14"/>
      <c r="I25" s="263"/>
      <c r="J25" s="263"/>
      <c r="K25" s="263"/>
      <c r="L25" s="263"/>
    </row>
    <row r="26" spans="1:12" ht="27.95" customHeight="1" x14ac:dyDescent="0.3">
      <c r="A26" s="10"/>
      <c r="B26" s="263" t="s">
        <v>171</v>
      </c>
      <c r="C26" s="263"/>
      <c r="D26" s="12"/>
      <c r="E26" s="94">
        <v>6004758765</v>
      </c>
      <c r="F26" s="14"/>
      <c r="G26" s="150">
        <v>9921699540</v>
      </c>
      <c r="H26" s="14"/>
      <c r="I26" s="263"/>
      <c r="J26" s="263"/>
      <c r="K26" s="263"/>
      <c r="L26" s="263"/>
    </row>
    <row r="27" spans="1:12" ht="27.95" customHeight="1" x14ac:dyDescent="0.3">
      <c r="A27" s="10"/>
      <c r="B27" s="263" t="s">
        <v>60</v>
      </c>
      <c r="C27" s="263"/>
      <c r="D27" s="12"/>
      <c r="E27" s="94">
        <v>1841640021</v>
      </c>
      <c r="F27" s="14"/>
      <c r="G27" s="150">
        <v>1754139137</v>
      </c>
      <c r="H27" s="14"/>
      <c r="I27" s="263"/>
      <c r="J27" s="263"/>
      <c r="K27" s="263"/>
      <c r="L27" s="263"/>
    </row>
    <row r="28" spans="1:12" ht="27.95" customHeight="1" x14ac:dyDescent="0.3">
      <c r="A28" s="10"/>
      <c r="B28" s="263" t="s">
        <v>161</v>
      </c>
      <c r="C28" s="263"/>
      <c r="D28" s="12"/>
      <c r="E28" s="94">
        <v>851473432</v>
      </c>
      <c r="F28" s="14"/>
      <c r="G28" s="150">
        <v>843114581</v>
      </c>
      <c r="H28" s="14"/>
      <c r="I28" s="263"/>
      <c r="J28" s="263"/>
      <c r="K28" s="263"/>
      <c r="L28" s="263"/>
    </row>
    <row r="29" spans="1:12" ht="27.95" customHeight="1" x14ac:dyDescent="0.3">
      <c r="A29" s="10"/>
      <c r="B29" s="263" t="s">
        <v>158</v>
      </c>
      <c r="C29" s="263"/>
      <c r="D29" s="12"/>
      <c r="E29" s="94">
        <v>2244270577</v>
      </c>
      <c r="F29" s="14"/>
      <c r="G29" s="150">
        <v>518847753</v>
      </c>
      <c r="H29" s="14"/>
      <c r="I29" s="263"/>
      <c r="J29" s="263"/>
      <c r="K29" s="263"/>
      <c r="L29" s="263"/>
    </row>
    <row r="30" spans="1:12" ht="27.95" customHeight="1" x14ac:dyDescent="0.3">
      <c r="A30" s="10"/>
      <c r="B30" s="263" t="s">
        <v>178</v>
      </c>
      <c r="C30" s="263"/>
      <c r="D30" s="12"/>
      <c r="E30" s="94">
        <v>2139887296</v>
      </c>
      <c r="F30" s="14"/>
      <c r="G30" s="150">
        <v>1287694576</v>
      </c>
      <c r="H30" s="14"/>
      <c r="I30" s="263"/>
      <c r="J30" s="263"/>
      <c r="K30" s="263"/>
      <c r="L30" s="263"/>
    </row>
    <row r="31" spans="1:12" ht="27.95" customHeight="1" x14ac:dyDescent="0.3">
      <c r="A31" s="10"/>
      <c r="B31" s="263" t="s">
        <v>175</v>
      </c>
      <c r="C31" s="263"/>
      <c r="D31" s="12"/>
      <c r="E31" s="94">
        <v>47077216567</v>
      </c>
      <c r="F31" s="14"/>
      <c r="G31" s="150">
        <v>45657377865</v>
      </c>
      <c r="H31" s="14"/>
      <c r="I31" s="263"/>
      <c r="J31" s="263"/>
      <c r="K31" s="263"/>
      <c r="L31" s="263"/>
    </row>
    <row r="32" spans="1:12" ht="27.95" customHeight="1" x14ac:dyDescent="0.3">
      <c r="A32" s="10"/>
      <c r="B32" s="263" t="s">
        <v>110</v>
      </c>
      <c r="C32" s="263"/>
      <c r="D32" s="12"/>
      <c r="E32" s="111">
        <v>7263897707</v>
      </c>
      <c r="F32" s="14"/>
      <c r="G32" s="151">
        <v>5200984575</v>
      </c>
      <c r="H32" s="14"/>
      <c r="I32" s="152"/>
      <c r="J32" s="152"/>
      <c r="K32" s="109"/>
      <c r="L32" s="109"/>
    </row>
    <row r="33" spans="1:12" ht="27.95" customHeight="1" x14ac:dyDescent="0.3">
      <c r="A33" s="10"/>
      <c r="B33" s="263" t="s">
        <v>58</v>
      </c>
      <c r="C33" s="263"/>
      <c r="D33" s="12"/>
      <c r="E33" s="94">
        <v>19055074791</v>
      </c>
      <c r="F33" s="14"/>
      <c r="G33" s="150">
        <v>15603896163</v>
      </c>
      <c r="H33" s="14"/>
      <c r="I33" s="287"/>
      <c r="J33" s="263"/>
      <c r="K33" s="263"/>
      <c r="L33" s="263"/>
    </row>
    <row r="34" spans="1:12" ht="27.95" customHeight="1" thickBot="1" x14ac:dyDescent="0.35">
      <c r="A34" s="91"/>
      <c r="B34" s="285" t="s">
        <v>183</v>
      </c>
      <c r="C34" s="285"/>
      <c r="D34" s="90"/>
      <c r="E34" s="94">
        <v>90206025202</v>
      </c>
      <c r="F34" s="92"/>
      <c r="G34" s="150">
        <v>74284435408</v>
      </c>
      <c r="H34" s="92"/>
      <c r="I34" s="123"/>
      <c r="J34" s="123"/>
    </row>
    <row r="35" spans="1:12" ht="27.95" customHeight="1" thickBot="1" x14ac:dyDescent="0.35">
      <c r="A35" s="91"/>
      <c r="B35" s="270" t="s">
        <v>97</v>
      </c>
      <c r="C35" s="270"/>
      <c r="D35" s="90"/>
      <c r="E35" s="107"/>
      <c r="F35" s="89">
        <v>2649685516269</v>
      </c>
      <c r="G35" s="107"/>
      <c r="H35" s="89">
        <v>2537047141797</v>
      </c>
      <c r="I35" s="123"/>
      <c r="J35" s="123"/>
    </row>
    <row r="36" spans="1:12" ht="16.5" hidden="1" customHeight="1" x14ac:dyDescent="0.3">
      <c r="F36" t="b">
        <f>F35='[1]#2. 손익계산서'!F18</f>
        <v>0</v>
      </c>
      <c r="H36" t="b">
        <f>H35='[1]#2. 손익계산서'!H18</f>
        <v>0</v>
      </c>
      <c r="I36" s="123"/>
      <c r="J36" s="123"/>
    </row>
    <row r="38" spans="1:12" x14ac:dyDescent="0.3">
      <c r="F38" t="b">
        <f>F35='#2. 손익계산서'!G17+'#2. 손익계산서'!G24</f>
        <v>1</v>
      </c>
      <c r="H38" t="b">
        <f>H35='#2. 손익계산서'!I17+'#2. 손익계산서'!I24</f>
        <v>1</v>
      </c>
    </row>
  </sheetData>
  <mergeCells count="80">
    <mergeCell ref="B34:C34"/>
    <mergeCell ref="B35:C35"/>
    <mergeCell ref="B33:C33"/>
    <mergeCell ref="B25:C25"/>
    <mergeCell ref="B26:C26"/>
    <mergeCell ref="B27:C27"/>
    <mergeCell ref="B28:C28"/>
    <mergeCell ref="B29:C29"/>
    <mergeCell ref="B30:C30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A1:H1"/>
    <mergeCell ref="A2:H2"/>
    <mergeCell ref="A3:H3"/>
    <mergeCell ref="A4:E4"/>
    <mergeCell ref="A5:C5"/>
    <mergeCell ref="B6:C6"/>
    <mergeCell ref="E6:F6"/>
    <mergeCell ref="G6:H6"/>
    <mergeCell ref="B7:C7"/>
    <mergeCell ref="B8:C8"/>
    <mergeCell ref="B9:C9"/>
    <mergeCell ref="B10:C10"/>
    <mergeCell ref="B11:C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K21:L21"/>
    <mergeCell ref="K22:L22"/>
    <mergeCell ref="K23:L23"/>
    <mergeCell ref="K24:L24"/>
    <mergeCell ref="I26:J26"/>
    <mergeCell ref="I21:J21"/>
    <mergeCell ref="I22:J22"/>
    <mergeCell ref="I23:J23"/>
    <mergeCell ref="I24:J24"/>
    <mergeCell ref="I25:J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30:L30"/>
    <mergeCell ref="K31:L31"/>
    <mergeCell ref="K33:L33"/>
    <mergeCell ref="B32:C32"/>
    <mergeCell ref="K25:L25"/>
    <mergeCell ref="K26:L26"/>
    <mergeCell ref="K27:L27"/>
    <mergeCell ref="K28:L28"/>
    <mergeCell ref="K29:L29"/>
    <mergeCell ref="I31:J31"/>
    <mergeCell ref="I33:J33"/>
    <mergeCell ref="I27:J27"/>
    <mergeCell ref="I28:J28"/>
    <mergeCell ref="I29:J29"/>
    <mergeCell ref="I30:J30"/>
    <mergeCell ref="B31:C31"/>
  </mergeCells>
  <phoneticPr fontId="34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3"/>
  <sheetViews>
    <sheetView view="pageBreakPreview" zoomScale="70" zoomScaleNormal="55" zoomScaleSheetLayoutView="70" workbookViewId="0">
      <selection activeCell="C24" sqref="C24"/>
    </sheetView>
  </sheetViews>
  <sheetFormatPr defaultRowHeight="16.5" x14ac:dyDescent="0.3"/>
  <cols>
    <col min="1" max="1" width="35.875" style="157" customWidth="1"/>
    <col min="2" max="2" width="27.875" style="157" bestFit="1" customWidth="1"/>
    <col min="3" max="3" width="26.25" style="157" bestFit="1" customWidth="1"/>
    <col min="4" max="4" width="28.875" style="157" bestFit="1" customWidth="1"/>
    <col min="5" max="5" width="26.25" style="157" bestFit="1" customWidth="1"/>
    <col min="6" max="16384" width="9" style="157"/>
  </cols>
  <sheetData>
    <row r="1" spans="1:5" ht="39" x14ac:dyDescent="0.3">
      <c r="A1" s="289" t="s">
        <v>249</v>
      </c>
      <c r="B1" s="289"/>
      <c r="C1" s="289"/>
      <c r="D1" s="289"/>
      <c r="E1" s="289"/>
    </row>
    <row r="2" spans="1:5" ht="20.25" x14ac:dyDescent="0.3">
      <c r="A2" s="290" t="s">
        <v>256</v>
      </c>
      <c r="B2" s="290"/>
      <c r="C2" s="290"/>
      <c r="D2" s="290"/>
      <c r="E2" s="290"/>
    </row>
    <row r="3" spans="1:5" ht="20.25" customHeight="1" x14ac:dyDescent="0.3">
      <c r="A3" s="290" t="s">
        <v>257</v>
      </c>
      <c r="B3" s="290"/>
      <c r="C3" s="290"/>
      <c r="D3" s="290"/>
      <c r="E3" s="290"/>
    </row>
    <row r="4" spans="1:5" ht="21" thickBot="1" x14ac:dyDescent="0.4">
      <c r="A4" s="158" t="s">
        <v>189</v>
      </c>
      <c r="B4" s="159"/>
      <c r="C4" s="159"/>
      <c r="D4" s="159"/>
      <c r="E4" s="160" t="s">
        <v>105</v>
      </c>
    </row>
    <row r="5" spans="1:5" ht="24" x14ac:dyDescent="0.3">
      <c r="A5" s="161" t="s">
        <v>250</v>
      </c>
      <c r="B5" s="162" t="s">
        <v>251</v>
      </c>
      <c r="C5" s="162" t="s">
        <v>111</v>
      </c>
      <c r="D5" s="162" t="s">
        <v>252</v>
      </c>
      <c r="E5" s="163" t="s">
        <v>253</v>
      </c>
    </row>
    <row r="6" spans="1:5" ht="24" x14ac:dyDescent="0.3">
      <c r="A6" s="164" t="s">
        <v>481</v>
      </c>
      <c r="B6" s="165">
        <v>19659235225013</v>
      </c>
      <c r="C6" s="165">
        <v>2831323854838</v>
      </c>
      <c r="D6" s="165">
        <v>-14368237531598</v>
      </c>
      <c r="E6" s="166">
        <v>8122321548253</v>
      </c>
    </row>
    <row r="7" spans="1:5" s="244" customFormat="1" ht="24" x14ac:dyDescent="0.3">
      <c r="A7" s="241" t="s">
        <v>372</v>
      </c>
      <c r="B7" s="242">
        <v>0</v>
      </c>
      <c r="C7" s="242">
        <v>-685180372871</v>
      </c>
      <c r="D7" s="242">
        <v>0</v>
      </c>
      <c r="E7" s="243">
        <v>-685180372871</v>
      </c>
    </row>
    <row r="8" spans="1:5" s="244" customFormat="1" ht="24" x14ac:dyDescent="0.3">
      <c r="A8" s="164" t="s">
        <v>482</v>
      </c>
      <c r="B8" s="242">
        <v>19659235225013</v>
      </c>
      <c r="C8" s="242">
        <v>2146143481967</v>
      </c>
      <c r="D8" s="242">
        <v>-14368237531598</v>
      </c>
      <c r="E8" s="243">
        <v>7437141175382</v>
      </c>
    </row>
    <row r="9" spans="1:5" ht="24" x14ac:dyDescent="0.3">
      <c r="A9" s="164" t="s">
        <v>373</v>
      </c>
      <c r="B9" s="165">
        <v>182834500000</v>
      </c>
      <c r="C9" s="165" t="s">
        <v>100</v>
      </c>
      <c r="D9" s="165" t="s">
        <v>100</v>
      </c>
      <c r="E9" s="166">
        <v>182834500000</v>
      </c>
    </row>
    <row r="10" spans="1:5" ht="24" x14ac:dyDescent="0.3">
      <c r="A10" s="164" t="s">
        <v>374</v>
      </c>
      <c r="B10" s="165">
        <v>834865664434</v>
      </c>
      <c r="C10" s="165" t="s">
        <v>100</v>
      </c>
      <c r="D10" s="165" t="s">
        <v>100</v>
      </c>
      <c r="E10" s="166">
        <v>834865664434</v>
      </c>
    </row>
    <row r="11" spans="1:5" ht="24" x14ac:dyDescent="0.3">
      <c r="A11" s="164" t="s">
        <v>258</v>
      </c>
      <c r="B11" s="165" t="s">
        <v>100</v>
      </c>
      <c r="C11" s="165">
        <v>20194020</v>
      </c>
      <c r="D11" s="165" t="s">
        <v>100</v>
      </c>
      <c r="E11" s="166">
        <v>20194020</v>
      </c>
    </row>
    <row r="12" spans="1:5" ht="24" x14ac:dyDescent="0.3">
      <c r="A12" s="164" t="s">
        <v>259</v>
      </c>
      <c r="B12" s="165" t="s">
        <v>100</v>
      </c>
      <c r="C12" s="165" t="s">
        <v>100</v>
      </c>
      <c r="D12" s="165">
        <v>-586467268145</v>
      </c>
      <c r="E12" s="166">
        <v>-586467268145</v>
      </c>
    </row>
    <row r="13" spans="1:5" ht="24" x14ac:dyDescent="0.3">
      <c r="A13" s="164" t="s">
        <v>483</v>
      </c>
      <c r="B13" s="165">
        <v>20676935389447</v>
      </c>
      <c r="C13" s="165">
        <v>2146163675987</v>
      </c>
      <c r="D13" s="165">
        <v>-14954704799743</v>
      </c>
      <c r="E13" s="165">
        <v>7868394265691</v>
      </c>
    </row>
    <row r="14" spans="1:5" ht="24" x14ac:dyDescent="0.3">
      <c r="A14" s="164" t="s">
        <v>484</v>
      </c>
      <c r="B14" s="165">
        <v>20676935389447</v>
      </c>
      <c r="C14" s="165">
        <v>2146163675987</v>
      </c>
      <c r="D14" s="165">
        <v>-14954704799743</v>
      </c>
      <c r="E14" s="166">
        <v>7868394265691</v>
      </c>
    </row>
    <row r="15" spans="1:5" ht="24" x14ac:dyDescent="0.3">
      <c r="A15" s="164" t="s">
        <v>375</v>
      </c>
      <c r="B15" s="165">
        <v>323912762000</v>
      </c>
      <c r="C15" s="165" t="s">
        <v>100</v>
      </c>
      <c r="D15" s="165" t="s">
        <v>254</v>
      </c>
      <c r="E15" s="166">
        <v>323912762000</v>
      </c>
    </row>
    <row r="16" spans="1:5" ht="24" x14ac:dyDescent="0.3">
      <c r="A16" s="164" t="s">
        <v>376</v>
      </c>
      <c r="B16" s="165"/>
      <c r="C16" s="165">
        <v>8199004618</v>
      </c>
      <c r="D16" s="165" t="s">
        <v>100</v>
      </c>
      <c r="E16" s="166">
        <v>8199004618</v>
      </c>
    </row>
    <row r="17" spans="1:5" ht="24" x14ac:dyDescent="0.3">
      <c r="A17" s="164" t="s">
        <v>255</v>
      </c>
      <c r="B17" s="165" t="s">
        <v>100</v>
      </c>
      <c r="C17" s="165">
        <v>24061580</v>
      </c>
      <c r="D17" s="165" t="s">
        <v>100</v>
      </c>
      <c r="E17" s="166">
        <v>24061580</v>
      </c>
    </row>
    <row r="18" spans="1:5" ht="24" x14ac:dyDescent="0.3">
      <c r="A18" s="164" t="s">
        <v>369</v>
      </c>
      <c r="B18" s="165"/>
      <c r="C18" s="165">
        <v>337110</v>
      </c>
      <c r="D18" s="165"/>
      <c r="E18" s="166">
        <v>337110</v>
      </c>
    </row>
    <row r="19" spans="1:5" ht="24" x14ac:dyDescent="0.3">
      <c r="A19" s="164" t="s">
        <v>370</v>
      </c>
      <c r="B19" s="165" t="s">
        <v>100</v>
      </c>
      <c r="C19" s="165" t="s">
        <v>254</v>
      </c>
      <c r="D19" s="165">
        <v>-1113736562637</v>
      </c>
      <c r="E19" s="166">
        <v>-1113736562637</v>
      </c>
    </row>
    <row r="20" spans="1:5" ht="24.75" thickBot="1" x14ac:dyDescent="0.35">
      <c r="A20" s="167" t="s">
        <v>485</v>
      </c>
      <c r="B20" s="168">
        <v>21000848151447</v>
      </c>
      <c r="C20" s="168">
        <v>2154387079295</v>
      </c>
      <c r="D20" s="168">
        <v>-16068441362380</v>
      </c>
      <c r="E20" s="168">
        <v>7086793868362</v>
      </c>
    </row>
    <row r="23" spans="1:5" x14ac:dyDescent="0.3">
      <c r="E23" s="157" t="b">
        <f>E20='#1. 재무상태표'!G117</f>
        <v>1</v>
      </c>
    </row>
  </sheetData>
  <mergeCells count="3">
    <mergeCell ref="A1:E1"/>
    <mergeCell ref="A2:E2"/>
    <mergeCell ref="A3:E3"/>
  </mergeCells>
  <phoneticPr fontId="34" type="noConversion"/>
  <pageMargins left="0.7" right="0.7" top="0.75" bottom="0.75" header="0.3" footer="0.3"/>
  <pageSetup paperSize="9" scale="5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03"/>
  <sheetViews>
    <sheetView view="pageBreakPreview" zoomScale="55" zoomScaleNormal="55" zoomScaleSheetLayoutView="55" workbookViewId="0">
      <selection activeCell="B17" sqref="B17"/>
    </sheetView>
  </sheetViews>
  <sheetFormatPr defaultRowHeight="16.5" x14ac:dyDescent="0.3"/>
  <cols>
    <col min="1" max="1" width="66.125" style="217" customWidth="1"/>
    <col min="2" max="4" width="27" style="217" bestFit="1" customWidth="1"/>
    <col min="5" max="5" width="25.75" style="217" bestFit="1" customWidth="1"/>
    <col min="6" max="10" width="9" style="217"/>
    <col min="11" max="11" width="49.875" style="217" bestFit="1" customWidth="1"/>
    <col min="12" max="13" width="25.375" style="218" bestFit="1" customWidth="1"/>
    <col min="14" max="14" width="27.625" style="218" bestFit="1" customWidth="1"/>
    <col min="15" max="15" width="25.375" style="218" bestFit="1" customWidth="1"/>
    <col min="16" max="16384" width="9" style="217"/>
  </cols>
  <sheetData>
    <row r="1" spans="1:15" ht="39" x14ac:dyDescent="0.3">
      <c r="A1" s="291" t="s">
        <v>377</v>
      </c>
      <c r="B1" s="291"/>
      <c r="C1" s="291"/>
      <c r="D1" s="291"/>
      <c r="E1" s="291"/>
    </row>
    <row r="2" spans="1:15" ht="27.95" customHeight="1" x14ac:dyDescent="0.3">
      <c r="A2" s="292" t="s">
        <v>471</v>
      </c>
      <c r="B2" s="292"/>
      <c r="C2" s="292"/>
      <c r="D2" s="292"/>
      <c r="E2" s="292"/>
    </row>
    <row r="3" spans="1:15" ht="27.95" customHeight="1" x14ac:dyDescent="0.3">
      <c r="A3" s="292" t="s">
        <v>378</v>
      </c>
      <c r="B3" s="292"/>
      <c r="C3" s="292"/>
      <c r="D3" s="292"/>
      <c r="E3" s="292"/>
    </row>
    <row r="4" spans="1:15" ht="27.95" customHeight="1" x14ac:dyDescent="0.35">
      <c r="A4" s="219" t="s">
        <v>189</v>
      </c>
      <c r="B4" s="220"/>
      <c r="C4" s="220"/>
      <c r="D4" s="220"/>
      <c r="E4" s="221" t="s">
        <v>105</v>
      </c>
    </row>
    <row r="5" spans="1:15" s="223" customFormat="1" ht="27.95" customHeight="1" x14ac:dyDescent="0.3">
      <c r="A5" s="222" t="s">
        <v>379</v>
      </c>
      <c r="B5" s="293" t="s">
        <v>472</v>
      </c>
      <c r="C5" s="294"/>
      <c r="D5" s="293" t="s">
        <v>473</v>
      </c>
      <c r="E5" s="294"/>
      <c r="L5" s="224"/>
      <c r="M5" s="224"/>
      <c r="N5" s="224"/>
      <c r="O5" s="224"/>
    </row>
    <row r="6" spans="1:15" s="227" customFormat="1" ht="27.95" customHeight="1" x14ac:dyDescent="0.3">
      <c r="A6" s="225" t="s">
        <v>380</v>
      </c>
      <c r="B6" s="226"/>
      <c r="C6" s="226">
        <v>-596182154607</v>
      </c>
      <c r="D6" s="226"/>
      <c r="E6" s="226">
        <v>-101311481782</v>
      </c>
      <c r="L6" s="228"/>
      <c r="M6" s="228"/>
      <c r="N6" s="228"/>
      <c r="O6" s="228"/>
    </row>
    <row r="7" spans="1:15" s="223" customFormat="1" ht="27.95" customHeight="1" x14ac:dyDescent="0.3">
      <c r="A7" s="235" t="s">
        <v>381</v>
      </c>
      <c r="B7" s="226">
        <v>-1113736562637</v>
      </c>
      <c r="C7" s="226"/>
      <c r="D7" s="226">
        <v>-586467268145</v>
      </c>
      <c r="E7" s="226"/>
      <c r="L7" s="224"/>
      <c r="M7" s="224"/>
      <c r="N7" s="224"/>
      <c r="O7" s="224"/>
    </row>
    <row r="8" spans="1:15" s="223" customFormat="1" ht="27.95" customHeight="1" x14ac:dyDescent="0.3">
      <c r="A8" s="235" t="s">
        <v>382</v>
      </c>
      <c r="B8" s="226">
        <v>615758162195</v>
      </c>
      <c r="C8" s="226"/>
      <c r="D8" s="226">
        <v>539767159185</v>
      </c>
      <c r="E8" s="226"/>
      <c r="L8" s="224"/>
      <c r="M8" s="224"/>
      <c r="N8" s="224"/>
      <c r="O8" s="224"/>
    </row>
    <row r="9" spans="1:15" s="223" customFormat="1" ht="27.95" customHeight="1" x14ac:dyDescent="0.3">
      <c r="A9" s="231" t="s">
        <v>383</v>
      </c>
      <c r="B9" s="230">
        <v>170823189725</v>
      </c>
      <c r="C9" s="230"/>
      <c r="D9" s="230">
        <v>123781664544</v>
      </c>
      <c r="E9" s="230"/>
      <c r="L9" s="224"/>
      <c r="M9" s="224"/>
      <c r="N9" s="224"/>
      <c r="O9" s="224"/>
    </row>
    <row r="10" spans="1:15" s="223" customFormat="1" ht="27.95" customHeight="1" x14ac:dyDescent="0.3">
      <c r="A10" s="231" t="s">
        <v>384</v>
      </c>
      <c r="B10" s="230">
        <v>394756286540</v>
      </c>
      <c r="C10" s="230"/>
      <c r="D10" s="230">
        <v>395924128790</v>
      </c>
      <c r="E10" s="230"/>
      <c r="L10" s="224"/>
      <c r="M10" s="224"/>
      <c r="N10" s="224"/>
      <c r="O10" s="224"/>
    </row>
    <row r="11" spans="1:15" s="223" customFormat="1" ht="27.95" customHeight="1" x14ac:dyDescent="0.3">
      <c r="A11" s="231" t="s">
        <v>385</v>
      </c>
      <c r="B11" s="230">
        <v>1383601340</v>
      </c>
      <c r="C11" s="230"/>
      <c r="D11" s="230">
        <v>0</v>
      </c>
      <c r="E11" s="230"/>
      <c r="L11" s="224"/>
      <c r="M11" s="224"/>
      <c r="N11" s="224"/>
      <c r="O11" s="224"/>
    </row>
    <row r="12" spans="1:15" s="223" customFormat="1" ht="27.95" customHeight="1" x14ac:dyDescent="0.3">
      <c r="A12" s="231" t="s">
        <v>386</v>
      </c>
      <c r="B12" s="230">
        <v>3233786884</v>
      </c>
      <c r="C12" s="230"/>
      <c r="D12" s="230">
        <v>3051556626</v>
      </c>
      <c r="E12" s="230"/>
      <c r="L12" s="224"/>
      <c r="M12" s="224"/>
      <c r="N12" s="224"/>
      <c r="O12" s="224"/>
    </row>
    <row r="13" spans="1:15" s="223" customFormat="1" ht="27.95" customHeight="1" x14ac:dyDescent="0.3">
      <c r="A13" s="231" t="s">
        <v>387</v>
      </c>
      <c r="B13" s="230">
        <v>7263897707</v>
      </c>
      <c r="C13" s="230"/>
      <c r="D13" s="230">
        <v>5200984575</v>
      </c>
      <c r="E13" s="230"/>
      <c r="L13" s="224"/>
      <c r="M13" s="224"/>
      <c r="N13" s="224"/>
      <c r="O13" s="224"/>
    </row>
    <row r="14" spans="1:15" s="223" customFormat="1" ht="27.95" customHeight="1" x14ac:dyDescent="0.3">
      <c r="A14" s="231" t="s">
        <v>388</v>
      </c>
      <c r="B14" s="230">
        <v>25689817357</v>
      </c>
      <c r="C14" s="230"/>
      <c r="D14" s="230">
        <v>245762394</v>
      </c>
      <c r="E14" s="230"/>
      <c r="L14" s="224"/>
      <c r="M14" s="224"/>
      <c r="N14" s="224"/>
      <c r="O14" s="224"/>
    </row>
    <row r="15" spans="1:15" s="223" customFormat="1" ht="27.95" customHeight="1" x14ac:dyDescent="0.3">
      <c r="A15" s="231" t="s">
        <v>389</v>
      </c>
      <c r="B15" s="230">
        <v>81822507</v>
      </c>
      <c r="C15" s="230"/>
      <c r="D15" s="230">
        <v>0</v>
      </c>
      <c r="E15" s="230"/>
      <c r="L15" s="224"/>
      <c r="M15" s="224"/>
      <c r="N15" s="224"/>
      <c r="O15" s="224"/>
    </row>
    <row r="16" spans="1:15" s="223" customFormat="1" ht="27.95" customHeight="1" x14ac:dyDescent="0.3">
      <c r="A16" s="231" t="s">
        <v>390</v>
      </c>
      <c r="B16" s="230">
        <v>0</v>
      </c>
      <c r="C16" s="230"/>
      <c r="D16" s="230">
        <v>40484242</v>
      </c>
      <c r="E16" s="230"/>
      <c r="L16" s="224"/>
      <c r="M16" s="224"/>
      <c r="N16" s="224"/>
      <c r="O16" s="224"/>
    </row>
    <row r="17" spans="1:15" s="223" customFormat="1" ht="27.95" customHeight="1" x14ac:dyDescent="0.3">
      <c r="A17" s="231" t="s">
        <v>391</v>
      </c>
      <c r="B17" s="230">
        <v>2800705151</v>
      </c>
      <c r="C17" s="230"/>
      <c r="D17" s="230">
        <v>166510105</v>
      </c>
      <c r="E17" s="230"/>
      <c r="L17" s="224"/>
      <c r="M17" s="224"/>
      <c r="N17" s="224"/>
      <c r="O17" s="224"/>
    </row>
    <row r="18" spans="1:15" s="223" customFormat="1" ht="27.95" customHeight="1" x14ac:dyDescent="0.3">
      <c r="A18" s="231" t="s">
        <v>392</v>
      </c>
      <c r="B18" s="230">
        <v>7797858300</v>
      </c>
      <c r="C18" s="230"/>
      <c r="D18" s="230">
        <v>2186805495</v>
      </c>
      <c r="E18" s="230"/>
      <c r="L18" s="224"/>
      <c r="M18" s="224"/>
      <c r="N18" s="224"/>
      <c r="O18" s="224"/>
    </row>
    <row r="19" spans="1:15" s="223" customFormat="1" ht="27.95" customHeight="1" x14ac:dyDescent="0.3">
      <c r="A19" s="231" t="s">
        <v>393</v>
      </c>
      <c r="B19" s="230">
        <v>6938000</v>
      </c>
      <c r="C19" s="230"/>
      <c r="D19" s="230">
        <v>83549254</v>
      </c>
      <c r="E19" s="230"/>
      <c r="L19" s="224"/>
      <c r="M19" s="224"/>
      <c r="N19" s="224"/>
      <c r="O19" s="224"/>
    </row>
    <row r="20" spans="1:15" s="223" customFormat="1" ht="27.95" customHeight="1" x14ac:dyDescent="0.3">
      <c r="A20" s="231" t="s">
        <v>394</v>
      </c>
      <c r="B20" s="230">
        <v>0</v>
      </c>
      <c r="C20" s="230"/>
      <c r="D20" s="230">
        <v>298343755</v>
      </c>
      <c r="E20" s="230"/>
      <c r="L20" s="224"/>
      <c r="M20" s="224"/>
      <c r="N20" s="224"/>
      <c r="O20" s="224"/>
    </row>
    <row r="21" spans="1:15" s="223" customFormat="1" ht="27.95" customHeight="1" x14ac:dyDescent="0.3">
      <c r="A21" s="231" t="s">
        <v>395</v>
      </c>
      <c r="B21" s="230">
        <v>1920258684</v>
      </c>
      <c r="C21" s="230"/>
      <c r="D21" s="230">
        <v>8081234680</v>
      </c>
      <c r="E21" s="230"/>
      <c r="L21" s="224"/>
      <c r="M21" s="224"/>
      <c r="N21" s="224"/>
      <c r="O21" s="224"/>
    </row>
    <row r="22" spans="1:15" s="223" customFormat="1" ht="27.95" customHeight="1" x14ac:dyDescent="0.3">
      <c r="A22" s="231" t="s">
        <v>396</v>
      </c>
      <c r="B22" s="230">
        <v>0</v>
      </c>
      <c r="C22" s="230"/>
      <c r="D22" s="230">
        <v>706134725</v>
      </c>
      <c r="E22" s="230"/>
      <c r="L22" s="224"/>
      <c r="M22" s="224"/>
      <c r="N22" s="224"/>
      <c r="O22" s="224"/>
    </row>
    <row r="23" spans="1:15" s="223" customFormat="1" ht="27.95" customHeight="1" x14ac:dyDescent="0.3">
      <c r="A23" s="232" t="s">
        <v>397</v>
      </c>
      <c r="B23" s="226">
        <v>-26008218275</v>
      </c>
      <c r="C23" s="226"/>
      <c r="D23" s="226">
        <v>-23882208124</v>
      </c>
      <c r="E23" s="226"/>
      <c r="L23" s="224"/>
      <c r="M23" s="224"/>
      <c r="N23" s="224"/>
      <c r="O23" s="224"/>
    </row>
    <row r="24" spans="1:15" s="223" customFormat="1" ht="27.95" customHeight="1" x14ac:dyDescent="0.3">
      <c r="A24" s="231" t="s">
        <v>398</v>
      </c>
      <c r="B24" s="230">
        <v>1440154181</v>
      </c>
      <c r="C24" s="230"/>
      <c r="D24" s="230">
        <v>1828803148</v>
      </c>
      <c r="E24" s="230"/>
      <c r="L24" s="224"/>
      <c r="M24" s="224"/>
      <c r="N24" s="224"/>
      <c r="O24" s="224"/>
    </row>
    <row r="25" spans="1:15" s="223" customFormat="1" ht="27.95" customHeight="1" x14ac:dyDescent="0.3">
      <c r="A25" s="231" t="s">
        <v>399</v>
      </c>
      <c r="B25" s="230">
        <v>4560767437</v>
      </c>
      <c r="C25" s="230"/>
      <c r="D25" s="230">
        <v>644493450</v>
      </c>
      <c r="E25" s="230"/>
      <c r="L25" s="224"/>
      <c r="M25" s="224"/>
      <c r="N25" s="224"/>
      <c r="O25" s="224"/>
    </row>
    <row r="26" spans="1:15" s="223" customFormat="1" ht="27.95" customHeight="1" x14ac:dyDescent="0.3">
      <c r="A26" s="231" t="s">
        <v>400</v>
      </c>
      <c r="B26" s="230">
        <v>11683040326</v>
      </c>
      <c r="C26" s="230"/>
      <c r="D26" s="230">
        <v>13567301683</v>
      </c>
      <c r="E26" s="230"/>
      <c r="L26" s="224"/>
      <c r="M26" s="224"/>
      <c r="N26" s="224"/>
      <c r="O26" s="224"/>
    </row>
    <row r="27" spans="1:15" s="223" customFormat="1" ht="27.95" customHeight="1" x14ac:dyDescent="0.3">
      <c r="A27" s="231" t="s">
        <v>401</v>
      </c>
      <c r="B27" s="230">
        <v>8268756883</v>
      </c>
      <c r="C27" s="230"/>
      <c r="D27" s="230">
        <v>7841607843</v>
      </c>
      <c r="E27" s="230"/>
      <c r="L27" s="224"/>
      <c r="M27" s="224"/>
      <c r="N27" s="224"/>
      <c r="O27" s="224"/>
    </row>
    <row r="28" spans="1:15" s="223" customFormat="1" ht="27.95" customHeight="1" x14ac:dyDescent="0.3">
      <c r="A28" s="231" t="s">
        <v>402</v>
      </c>
      <c r="B28" s="230">
        <v>55499448</v>
      </c>
      <c r="C28" s="230"/>
      <c r="D28" s="230">
        <v>2000</v>
      </c>
      <c r="E28" s="230"/>
      <c r="L28" s="224"/>
      <c r="M28" s="224"/>
      <c r="N28" s="224"/>
      <c r="O28" s="224"/>
    </row>
    <row r="29" spans="1:15" s="227" customFormat="1" ht="27.95" customHeight="1" x14ac:dyDescent="0.3">
      <c r="A29" s="232" t="s">
        <v>403</v>
      </c>
      <c r="B29" s="226">
        <v>-72195535890</v>
      </c>
      <c r="C29" s="226"/>
      <c r="D29" s="226">
        <v>-30729164698</v>
      </c>
      <c r="E29" s="226"/>
      <c r="L29" s="228"/>
      <c r="M29" s="228"/>
      <c r="N29" s="228"/>
      <c r="O29" s="228"/>
    </row>
    <row r="30" spans="1:15" s="223" customFormat="1" ht="27.95" customHeight="1" x14ac:dyDescent="0.3">
      <c r="A30" s="231" t="s">
        <v>417</v>
      </c>
      <c r="B30" s="230">
        <v>-673168826</v>
      </c>
      <c r="C30" s="230"/>
      <c r="D30" s="230">
        <v>5223232023</v>
      </c>
      <c r="E30" s="230"/>
      <c r="L30" s="224"/>
      <c r="M30" s="224"/>
      <c r="N30" s="224"/>
      <c r="O30" s="224"/>
    </row>
    <row r="31" spans="1:15" s="223" customFormat="1" ht="27.95" customHeight="1" x14ac:dyDescent="0.3">
      <c r="A31" s="231" t="s">
        <v>418</v>
      </c>
      <c r="B31" s="230">
        <v>-16352721213</v>
      </c>
      <c r="C31" s="230"/>
      <c r="D31" s="230">
        <v>-12120224172</v>
      </c>
      <c r="E31" s="230"/>
      <c r="L31" s="224"/>
      <c r="M31" s="224"/>
      <c r="N31" s="224"/>
      <c r="O31" s="224"/>
    </row>
    <row r="32" spans="1:15" s="223" customFormat="1" ht="27.95" customHeight="1" x14ac:dyDescent="0.3">
      <c r="A32" s="231" t="s">
        <v>419</v>
      </c>
      <c r="B32" s="230">
        <v>-31872134</v>
      </c>
      <c r="C32" s="230"/>
      <c r="D32" s="230">
        <v>-445733</v>
      </c>
      <c r="E32" s="230"/>
      <c r="L32" s="224"/>
      <c r="M32" s="224"/>
      <c r="N32" s="224"/>
      <c r="O32" s="224"/>
    </row>
    <row r="33" spans="1:15" s="223" customFormat="1" ht="27.95" customHeight="1" x14ac:dyDescent="0.3">
      <c r="A33" s="231" t="s">
        <v>420</v>
      </c>
      <c r="B33" s="230">
        <v>11858181388</v>
      </c>
      <c r="C33" s="230"/>
      <c r="D33" s="230">
        <v>-4987389253</v>
      </c>
      <c r="E33" s="230"/>
      <c r="L33" s="224"/>
      <c r="M33" s="224"/>
      <c r="N33" s="224"/>
      <c r="O33" s="224"/>
    </row>
    <row r="34" spans="1:15" s="223" customFormat="1" ht="27.95" customHeight="1" x14ac:dyDescent="0.3">
      <c r="A34" s="231" t="s">
        <v>421</v>
      </c>
      <c r="B34" s="230">
        <v>44743800</v>
      </c>
      <c r="C34" s="230"/>
      <c r="D34" s="230">
        <v>50806449</v>
      </c>
      <c r="E34" s="230"/>
      <c r="L34" s="224"/>
      <c r="M34" s="224"/>
      <c r="N34" s="224"/>
      <c r="O34" s="224"/>
    </row>
    <row r="35" spans="1:15" s="223" customFormat="1" ht="27.95" customHeight="1" x14ac:dyDescent="0.3">
      <c r="A35" s="231" t="s">
        <v>422</v>
      </c>
      <c r="B35" s="230">
        <v>251412350</v>
      </c>
      <c r="C35" s="230"/>
      <c r="D35" s="230">
        <v>495200356</v>
      </c>
      <c r="E35" s="230"/>
      <c r="L35" s="224"/>
      <c r="M35" s="224"/>
      <c r="N35" s="224"/>
      <c r="O35" s="224"/>
    </row>
    <row r="36" spans="1:15" s="223" customFormat="1" ht="27.95" customHeight="1" x14ac:dyDescent="0.3">
      <c r="A36" s="231" t="s">
        <v>423</v>
      </c>
      <c r="B36" s="230">
        <v>192306792</v>
      </c>
      <c r="C36" s="230"/>
      <c r="D36" s="230">
        <v>815723014</v>
      </c>
      <c r="E36" s="230"/>
      <c r="L36" s="224"/>
      <c r="M36" s="224"/>
      <c r="N36" s="224"/>
      <c r="O36" s="224"/>
    </row>
    <row r="37" spans="1:15" s="223" customFormat="1" ht="27.95" customHeight="1" x14ac:dyDescent="0.3">
      <c r="A37" s="231" t="s">
        <v>424</v>
      </c>
      <c r="B37" s="230">
        <v>3729879323</v>
      </c>
      <c r="C37" s="230"/>
      <c r="D37" s="230">
        <v>1539087153</v>
      </c>
      <c r="E37" s="230"/>
      <c r="L37" s="224"/>
      <c r="M37" s="224"/>
      <c r="N37" s="224"/>
      <c r="O37" s="224"/>
    </row>
    <row r="38" spans="1:15" s="223" customFormat="1" ht="27.95" customHeight="1" x14ac:dyDescent="0.3">
      <c r="A38" s="231" t="s">
        <v>425</v>
      </c>
      <c r="B38" s="230">
        <v>-17300000</v>
      </c>
      <c r="C38" s="230"/>
      <c r="D38" s="230">
        <v>0</v>
      </c>
      <c r="E38" s="230"/>
      <c r="L38" s="224"/>
      <c r="M38" s="224"/>
      <c r="N38" s="224"/>
      <c r="O38" s="224"/>
    </row>
    <row r="39" spans="1:15" s="223" customFormat="1" ht="27.95" customHeight="1" x14ac:dyDescent="0.3">
      <c r="A39" s="231" t="s">
        <v>426</v>
      </c>
      <c r="B39" s="230">
        <v>-52727323213</v>
      </c>
      <c r="C39" s="230"/>
      <c r="D39" s="230">
        <v>-7999546963</v>
      </c>
      <c r="E39" s="230"/>
      <c r="L39" s="224"/>
      <c r="M39" s="224"/>
      <c r="N39" s="224"/>
      <c r="O39" s="224"/>
    </row>
    <row r="40" spans="1:15" s="223" customFormat="1" ht="27.95" customHeight="1" x14ac:dyDescent="0.3">
      <c r="A40" s="231" t="s">
        <v>427</v>
      </c>
      <c r="B40" s="230">
        <v>-4736220741</v>
      </c>
      <c r="C40" s="230"/>
      <c r="D40" s="230">
        <v>-15466492912</v>
      </c>
      <c r="E40" s="230"/>
      <c r="L40" s="224"/>
      <c r="M40" s="224"/>
      <c r="N40" s="224"/>
      <c r="O40" s="224"/>
    </row>
    <row r="41" spans="1:15" s="223" customFormat="1" ht="27.95" customHeight="1" x14ac:dyDescent="0.3">
      <c r="A41" s="231" t="s">
        <v>428</v>
      </c>
      <c r="B41" s="230">
        <v>12444577393</v>
      </c>
      <c r="C41" s="230"/>
      <c r="D41" s="230">
        <v>11263881926</v>
      </c>
      <c r="E41" s="230"/>
      <c r="L41" s="224"/>
      <c r="M41" s="224"/>
      <c r="N41" s="224"/>
      <c r="O41" s="224"/>
    </row>
    <row r="42" spans="1:15" s="223" customFormat="1" ht="27.95" customHeight="1" x14ac:dyDescent="0.3">
      <c r="A42" s="231" t="s">
        <v>429</v>
      </c>
      <c r="B42" s="230">
        <v>58836206300</v>
      </c>
      <c r="C42" s="230"/>
      <c r="D42" s="230">
        <v>81190630744</v>
      </c>
      <c r="E42" s="230"/>
      <c r="L42" s="224"/>
      <c r="M42" s="224"/>
      <c r="N42" s="224"/>
      <c r="O42" s="224"/>
    </row>
    <row r="43" spans="1:15" s="223" customFormat="1" ht="27.95" customHeight="1" x14ac:dyDescent="0.3">
      <c r="A43" s="231" t="s">
        <v>430</v>
      </c>
      <c r="B43" s="230">
        <v>-1222919945</v>
      </c>
      <c r="C43" s="230"/>
      <c r="D43" s="230">
        <v>160835569</v>
      </c>
      <c r="E43" s="230"/>
      <c r="L43" s="224"/>
      <c r="M43" s="224"/>
      <c r="N43" s="224"/>
      <c r="O43" s="224"/>
    </row>
    <row r="44" spans="1:15" s="223" customFormat="1" ht="27.95" customHeight="1" x14ac:dyDescent="0.3">
      <c r="A44" s="231" t="s">
        <v>431</v>
      </c>
      <c r="B44" s="230">
        <v>-7007142439</v>
      </c>
      <c r="C44" s="230"/>
      <c r="D44" s="230">
        <v>-7947830827</v>
      </c>
      <c r="E44" s="230"/>
      <c r="L44" s="224"/>
      <c r="M44" s="224"/>
      <c r="N44" s="224"/>
      <c r="O44" s="224"/>
    </row>
    <row r="45" spans="1:15" s="223" customFormat="1" ht="27.95" customHeight="1" x14ac:dyDescent="0.3">
      <c r="A45" s="231" t="s">
        <v>432</v>
      </c>
      <c r="B45" s="230">
        <v>716433930</v>
      </c>
      <c r="C45" s="230"/>
      <c r="D45" s="230">
        <v>28782024376</v>
      </c>
      <c r="E45" s="230"/>
      <c r="L45" s="224"/>
      <c r="M45" s="224"/>
      <c r="N45" s="224"/>
      <c r="O45" s="224"/>
    </row>
    <row r="46" spans="1:15" s="223" customFormat="1" ht="27.95" customHeight="1" x14ac:dyDescent="0.3">
      <c r="A46" s="231" t="s">
        <v>433</v>
      </c>
      <c r="B46" s="230">
        <v>88820733</v>
      </c>
      <c r="C46" s="230"/>
      <c r="D46" s="230">
        <v>-9917386375</v>
      </c>
      <c r="E46" s="230"/>
      <c r="L46" s="224"/>
      <c r="M46" s="224"/>
      <c r="N46" s="224"/>
      <c r="O46" s="224"/>
    </row>
    <row r="47" spans="1:15" s="223" customFormat="1" ht="27.95" customHeight="1" x14ac:dyDescent="0.3">
      <c r="A47" s="231" t="s">
        <v>434</v>
      </c>
      <c r="B47" s="230">
        <v>-65020570</v>
      </c>
      <c r="C47" s="230"/>
      <c r="D47" s="230">
        <v>-71301701</v>
      </c>
      <c r="E47" s="230"/>
      <c r="L47" s="224"/>
      <c r="M47" s="224"/>
      <c r="N47" s="224"/>
      <c r="O47" s="224"/>
    </row>
    <row r="48" spans="1:15" s="223" customFormat="1" ht="27.95" customHeight="1" x14ac:dyDescent="0.3">
      <c r="A48" s="231" t="s">
        <v>435</v>
      </c>
      <c r="B48" s="230">
        <v>1944152743</v>
      </c>
      <c r="C48" s="230"/>
      <c r="D48" s="230">
        <v>-3075632620</v>
      </c>
      <c r="E48" s="230"/>
      <c r="L48" s="224"/>
      <c r="M48" s="224"/>
      <c r="N48" s="224"/>
      <c r="O48" s="224"/>
    </row>
    <row r="49" spans="1:15" s="223" customFormat="1" ht="27.95" customHeight="1" x14ac:dyDescent="0.3">
      <c r="A49" s="231" t="s">
        <v>436</v>
      </c>
      <c r="B49" s="230">
        <v>0</v>
      </c>
      <c r="C49" s="230"/>
      <c r="D49" s="230">
        <v>31788414257</v>
      </c>
      <c r="E49" s="230"/>
      <c r="L49" s="224"/>
      <c r="M49" s="224"/>
      <c r="N49" s="224"/>
      <c r="O49" s="224"/>
    </row>
    <row r="50" spans="1:15" s="223" customFormat="1" ht="27.95" customHeight="1" x14ac:dyDescent="0.3">
      <c r="A50" s="229" t="s">
        <v>437</v>
      </c>
      <c r="B50" s="230">
        <v>-76848074629</v>
      </c>
      <c r="C50" s="230"/>
      <c r="D50" s="230">
        <v>-130477920609</v>
      </c>
      <c r="E50" s="230"/>
      <c r="L50" s="224"/>
      <c r="M50" s="224"/>
      <c r="N50" s="224"/>
      <c r="O50" s="224"/>
    </row>
    <row r="51" spans="1:15" s="223" customFormat="1" ht="27.95" customHeight="1" x14ac:dyDescent="0.3">
      <c r="A51" s="231" t="s">
        <v>438</v>
      </c>
      <c r="B51" s="230">
        <v>3585800</v>
      </c>
      <c r="C51" s="230"/>
      <c r="D51" s="230">
        <v>25170600</v>
      </c>
      <c r="E51" s="230"/>
      <c r="L51" s="224"/>
      <c r="M51" s="224"/>
      <c r="N51" s="224"/>
      <c r="O51" s="224"/>
    </row>
    <row r="52" spans="1:15" s="223" customFormat="1" ht="27.95" customHeight="1" x14ac:dyDescent="0.3">
      <c r="A52" s="231" t="s">
        <v>439</v>
      </c>
      <c r="B52" s="230">
        <v>-4112072732</v>
      </c>
      <c r="C52" s="230"/>
      <c r="D52" s="230">
        <v>0</v>
      </c>
      <c r="E52" s="230"/>
      <c r="L52" s="224"/>
      <c r="M52" s="224"/>
      <c r="N52" s="224"/>
      <c r="O52" s="224"/>
    </row>
    <row r="53" spans="1:15" s="223" customFormat="1" ht="27.95" customHeight="1" x14ac:dyDescent="0.3">
      <c r="A53" s="231" t="s">
        <v>486</v>
      </c>
      <c r="B53" s="230">
        <v>1488000000</v>
      </c>
      <c r="C53" s="230"/>
      <c r="D53" s="230">
        <v>0</v>
      </c>
      <c r="E53" s="230"/>
      <c r="L53" s="224"/>
      <c r="M53" s="224"/>
      <c r="N53" s="224"/>
      <c r="O53" s="224"/>
    </row>
    <row r="54" spans="1:15" s="227" customFormat="1" ht="27.95" customHeight="1" x14ac:dyDescent="0.3">
      <c r="A54" s="232" t="s">
        <v>404</v>
      </c>
      <c r="B54" s="226"/>
      <c r="C54" s="226">
        <v>-492884836015</v>
      </c>
      <c r="D54" s="226"/>
      <c r="E54" s="226">
        <v>-435164227211</v>
      </c>
      <c r="L54" s="228"/>
      <c r="M54" s="228"/>
      <c r="N54" s="228"/>
      <c r="O54" s="228"/>
    </row>
    <row r="55" spans="1:15" s="223" customFormat="1" ht="27.95" customHeight="1" x14ac:dyDescent="0.3">
      <c r="A55" s="232" t="s">
        <v>405</v>
      </c>
      <c r="B55" s="226">
        <v>141563554105</v>
      </c>
      <c r="C55" s="226"/>
      <c r="D55" s="226">
        <v>29144330134</v>
      </c>
      <c r="E55" s="226"/>
      <c r="L55" s="224"/>
      <c r="M55" s="224"/>
      <c r="N55" s="224"/>
      <c r="O55" s="224"/>
    </row>
    <row r="56" spans="1:15" s="223" customFormat="1" ht="27.95" customHeight="1" x14ac:dyDescent="0.3">
      <c r="A56" s="231" t="s">
        <v>440</v>
      </c>
      <c r="B56" s="230">
        <v>1915569210</v>
      </c>
      <c r="C56" s="230"/>
      <c r="D56" s="230">
        <v>2570654530</v>
      </c>
      <c r="E56" s="230"/>
      <c r="L56" s="224"/>
      <c r="M56" s="224"/>
      <c r="N56" s="224"/>
      <c r="O56" s="224"/>
    </row>
    <row r="57" spans="1:15" s="223" customFormat="1" ht="27.95" customHeight="1" x14ac:dyDescent="0.3">
      <c r="A57" s="231" t="s">
        <v>441</v>
      </c>
      <c r="B57" s="230">
        <v>9442020317</v>
      </c>
      <c r="C57" s="230"/>
      <c r="D57" s="230">
        <v>16075734597</v>
      </c>
      <c r="E57" s="230"/>
      <c r="L57" s="224"/>
      <c r="M57" s="224"/>
      <c r="N57" s="224"/>
      <c r="O57" s="224"/>
    </row>
    <row r="58" spans="1:15" s="223" customFormat="1" ht="27.95" customHeight="1" x14ac:dyDescent="0.3">
      <c r="A58" s="231" t="s">
        <v>442</v>
      </c>
      <c r="B58" s="230">
        <v>0</v>
      </c>
      <c r="C58" s="230"/>
      <c r="D58" s="230">
        <v>7146909915</v>
      </c>
      <c r="E58" s="230"/>
      <c r="L58" s="224"/>
      <c r="M58" s="224"/>
      <c r="N58" s="224"/>
      <c r="O58" s="224"/>
    </row>
    <row r="59" spans="1:15" s="223" customFormat="1" ht="27.95" customHeight="1" x14ac:dyDescent="0.3">
      <c r="A59" s="231" t="s">
        <v>443</v>
      </c>
      <c r="B59" s="230">
        <v>1803913560</v>
      </c>
      <c r="C59" s="230"/>
      <c r="D59" s="230">
        <v>0</v>
      </c>
      <c r="E59" s="230"/>
      <c r="L59" s="224"/>
      <c r="M59" s="224"/>
      <c r="N59" s="224"/>
      <c r="O59" s="224"/>
    </row>
    <row r="60" spans="1:15" s="223" customFormat="1" ht="27.95" customHeight="1" x14ac:dyDescent="0.3">
      <c r="A60" s="231" t="s">
        <v>444</v>
      </c>
      <c r="B60" s="230">
        <v>0</v>
      </c>
      <c r="C60" s="230"/>
      <c r="D60" s="230">
        <v>85000000</v>
      </c>
      <c r="E60" s="230"/>
      <c r="L60" s="224"/>
      <c r="M60" s="224"/>
      <c r="N60" s="224"/>
      <c r="O60" s="224"/>
    </row>
    <row r="61" spans="1:15" s="223" customFormat="1" ht="27.95" customHeight="1" x14ac:dyDescent="0.3">
      <c r="A61" s="229" t="s">
        <v>445</v>
      </c>
      <c r="B61" s="230">
        <v>3185042352</v>
      </c>
      <c r="C61" s="230"/>
      <c r="D61" s="230">
        <v>3266031092</v>
      </c>
      <c r="E61" s="230"/>
      <c r="L61" s="224"/>
      <c r="M61" s="224"/>
      <c r="N61" s="224"/>
      <c r="O61" s="224"/>
    </row>
    <row r="62" spans="1:15" s="223" customFormat="1" ht="27.95" customHeight="1" x14ac:dyDescent="0.3">
      <c r="A62" s="229" t="s">
        <v>487</v>
      </c>
      <c r="B62" s="230">
        <v>105491778699</v>
      </c>
      <c r="C62" s="230"/>
      <c r="D62" s="230">
        <v>0</v>
      </c>
      <c r="E62" s="230"/>
      <c r="L62" s="224"/>
      <c r="M62" s="224"/>
      <c r="N62" s="224"/>
      <c r="O62" s="224"/>
    </row>
    <row r="63" spans="1:15" s="223" customFormat="1" ht="27.95" customHeight="1" x14ac:dyDescent="0.3">
      <c r="A63" s="229" t="s">
        <v>488</v>
      </c>
      <c r="B63" s="230">
        <v>1532740000</v>
      </c>
      <c r="C63" s="230"/>
      <c r="D63" s="230">
        <v>0</v>
      </c>
      <c r="E63" s="230"/>
      <c r="L63" s="224"/>
      <c r="M63" s="224"/>
      <c r="N63" s="224"/>
      <c r="O63" s="224"/>
    </row>
    <row r="64" spans="1:15" s="223" customFormat="1" ht="27.95" customHeight="1" x14ac:dyDescent="0.3">
      <c r="A64" s="229" t="s">
        <v>489</v>
      </c>
      <c r="B64" s="230">
        <v>18192489967</v>
      </c>
      <c r="C64" s="230"/>
      <c r="D64" s="230">
        <v>0</v>
      </c>
      <c r="E64" s="230"/>
      <c r="L64" s="224"/>
      <c r="M64" s="224"/>
      <c r="N64" s="224"/>
      <c r="O64" s="224"/>
    </row>
    <row r="65" spans="1:15" s="223" customFormat="1" ht="27.95" customHeight="1" x14ac:dyDescent="0.3">
      <c r="A65" s="232" t="s">
        <v>406</v>
      </c>
      <c r="B65" s="226">
        <v>-634448390120</v>
      </c>
      <c r="C65" s="226"/>
      <c r="D65" s="226">
        <v>-464308557345</v>
      </c>
      <c r="E65" s="226"/>
      <c r="L65" s="224"/>
      <c r="M65" s="224"/>
      <c r="N65" s="224"/>
      <c r="O65" s="224"/>
    </row>
    <row r="66" spans="1:15" s="223" customFormat="1" ht="27.95" customHeight="1" x14ac:dyDescent="0.3">
      <c r="A66" s="231" t="s">
        <v>407</v>
      </c>
      <c r="B66" s="230">
        <v>8198291792</v>
      </c>
      <c r="C66" s="230"/>
      <c r="D66" s="230">
        <v>13291816795</v>
      </c>
      <c r="E66" s="230"/>
      <c r="L66" s="224"/>
      <c r="M66" s="224"/>
      <c r="N66" s="224"/>
      <c r="O66" s="224"/>
    </row>
    <row r="67" spans="1:15" s="223" customFormat="1" ht="27.95" customHeight="1" x14ac:dyDescent="0.3">
      <c r="A67" s="231" t="s">
        <v>446</v>
      </c>
      <c r="B67" s="230">
        <v>0</v>
      </c>
      <c r="C67" s="230"/>
      <c r="D67" s="230">
        <v>373060600</v>
      </c>
      <c r="E67" s="230"/>
      <c r="L67" s="224"/>
      <c r="M67" s="224"/>
      <c r="N67" s="224"/>
      <c r="O67" s="224"/>
    </row>
    <row r="68" spans="1:15" s="223" customFormat="1" ht="27.95" customHeight="1" x14ac:dyDescent="0.3">
      <c r="A68" s="231" t="s">
        <v>447</v>
      </c>
      <c r="B68" s="230">
        <v>0</v>
      </c>
      <c r="C68" s="230"/>
      <c r="D68" s="230">
        <v>5023614289</v>
      </c>
      <c r="E68" s="230"/>
      <c r="L68" s="224"/>
      <c r="M68" s="224"/>
      <c r="N68" s="224"/>
      <c r="O68" s="224"/>
    </row>
    <row r="69" spans="1:15" s="223" customFormat="1" ht="27.95" customHeight="1" x14ac:dyDescent="0.3">
      <c r="A69" s="231" t="s">
        <v>448</v>
      </c>
      <c r="B69" s="230">
        <v>0</v>
      </c>
      <c r="C69" s="230"/>
      <c r="D69" s="230">
        <v>95264658906</v>
      </c>
      <c r="E69" s="230"/>
      <c r="L69" s="224"/>
      <c r="M69" s="224"/>
      <c r="N69" s="224"/>
      <c r="O69" s="224"/>
    </row>
    <row r="70" spans="1:15" s="223" customFormat="1" ht="27.95" customHeight="1" x14ac:dyDescent="0.3">
      <c r="A70" s="231" t="s">
        <v>449</v>
      </c>
      <c r="B70" s="230">
        <v>188783361</v>
      </c>
      <c r="C70" s="230"/>
      <c r="D70" s="230">
        <v>72550732525</v>
      </c>
      <c r="E70" s="230"/>
      <c r="L70" s="224"/>
      <c r="M70" s="224"/>
      <c r="N70" s="224"/>
      <c r="O70" s="224"/>
    </row>
    <row r="71" spans="1:15" s="223" customFormat="1" ht="27.95" customHeight="1" x14ac:dyDescent="0.3">
      <c r="A71" s="231" t="s">
        <v>450</v>
      </c>
      <c r="B71" s="230">
        <v>0</v>
      </c>
      <c r="C71" s="230"/>
      <c r="D71" s="230">
        <v>2794256899</v>
      </c>
      <c r="E71" s="230"/>
      <c r="L71" s="224"/>
      <c r="M71" s="224"/>
      <c r="N71" s="224"/>
      <c r="O71" s="224"/>
    </row>
    <row r="72" spans="1:15" s="223" customFormat="1" ht="27.95" customHeight="1" x14ac:dyDescent="0.3">
      <c r="A72" s="231" t="s">
        <v>451</v>
      </c>
      <c r="B72" s="230">
        <v>0</v>
      </c>
      <c r="C72" s="230"/>
      <c r="D72" s="230">
        <v>63686566834</v>
      </c>
      <c r="E72" s="230"/>
      <c r="L72" s="224"/>
      <c r="M72" s="224"/>
      <c r="N72" s="224"/>
      <c r="O72" s="224"/>
    </row>
    <row r="73" spans="1:15" s="223" customFormat="1" ht="27.95" customHeight="1" x14ac:dyDescent="0.3">
      <c r="A73" s="231" t="s">
        <v>452</v>
      </c>
      <c r="B73" s="230">
        <v>0</v>
      </c>
      <c r="C73" s="230"/>
      <c r="D73" s="230">
        <v>312670540</v>
      </c>
      <c r="E73" s="230"/>
      <c r="L73" s="224"/>
      <c r="M73" s="224"/>
      <c r="N73" s="224"/>
      <c r="O73" s="224"/>
    </row>
    <row r="74" spans="1:15" s="223" customFormat="1" ht="27.95" customHeight="1" x14ac:dyDescent="0.3">
      <c r="A74" s="231" t="s">
        <v>453</v>
      </c>
      <c r="B74" s="230">
        <v>27833470</v>
      </c>
      <c r="C74" s="230"/>
      <c r="D74" s="230">
        <v>14292647935</v>
      </c>
      <c r="E74" s="230"/>
      <c r="L74" s="224"/>
      <c r="M74" s="224"/>
      <c r="N74" s="224"/>
      <c r="O74" s="224"/>
    </row>
    <row r="75" spans="1:15" s="223" customFormat="1" ht="27.95" customHeight="1" x14ac:dyDescent="0.3">
      <c r="A75" s="231" t="s">
        <v>454</v>
      </c>
      <c r="B75" s="230">
        <v>0</v>
      </c>
      <c r="C75" s="230"/>
      <c r="D75" s="230">
        <v>104109000</v>
      </c>
      <c r="E75" s="230"/>
      <c r="L75" s="224"/>
      <c r="M75" s="224"/>
      <c r="N75" s="224"/>
      <c r="O75" s="224"/>
    </row>
    <row r="76" spans="1:15" s="223" customFormat="1" ht="27.95" customHeight="1" x14ac:dyDescent="0.3">
      <c r="A76" s="231" t="s">
        <v>455</v>
      </c>
      <c r="B76" s="230">
        <v>620293818336</v>
      </c>
      <c r="C76" s="230"/>
      <c r="D76" s="230">
        <v>194918002818</v>
      </c>
      <c r="E76" s="230"/>
      <c r="L76" s="224"/>
      <c r="M76" s="224"/>
      <c r="N76" s="224"/>
      <c r="O76" s="224"/>
    </row>
    <row r="77" spans="1:15" s="223" customFormat="1" ht="27.95" customHeight="1" x14ac:dyDescent="0.3">
      <c r="A77" s="231" t="s">
        <v>456</v>
      </c>
      <c r="B77" s="230">
        <v>5336620386</v>
      </c>
      <c r="C77" s="230"/>
      <c r="D77" s="230">
        <v>1619795619</v>
      </c>
      <c r="E77" s="230"/>
      <c r="L77" s="224"/>
      <c r="M77" s="224"/>
      <c r="N77" s="224"/>
      <c r="O77" s="224"/>
    </row>
    <row r="78" spans="1:15" s="223" customFormat="1" ht="27.75" customHeight="1" x14ac:dyDescent="0.3">
      <c r="A78" s="231" t="s">
        <v>457</v>
      </c>
      <c r="B78" s="230">
        <v>267755000</v>
      </c>
      <c r="C78" s="230"/>
      <c r="D78" s="230">
        <v>61624585</v>
      </c>
      <c r="E78" s="230"/>
      <c r="L78" s="224"/>
      <c r="M78" s="224"/>
      <c r="N78" s="224"/>
      <c r="O78" s="224"/>
    </row>
    <row r="79" spans="1:15" s="223" customFormat="1" ht="27.75" customHeight="1" x14ac:dyDescent="0.3">
      <c r="A79" s="231" t="s">
        <v>458</v>
      </c>
      <c r="B79" s="230">
        <v>0</v>
      </c>
      <c r="C79" s="230"/>
      <c r="D79" s="230">
        <v>15000000</v>
      </c>
      <c r="E79" s="230"/>
      <c r="L79" s="224"/>
      <c r="M79" s="224"/>
      <c r="N79" s="224"/>
      <c r="O79" s="224"/>
    </row>
    <row r="80" spans="1:15" s="223" customFormat="1" ht="27.75" customHeight="1" x14ac:dyDescent="0.3">
      <c r="A80" s="231" t="s">
        <v>490</v>
      </c>
      <c r="B80" s="230">
        <v>135287775</v>
      </c>
      <c r="C80" s="230"/>
      <c r="D80" s="230">
        <v>0</v>
      </c>
      <c r="E80" s="230"/>
      <c r="L80" s="224"/>
      <c r="M80" s="224"/>
      <c r="N80" s="224"/>
      <c r="O80" s="224"/>
    </row>
    <row r="81" spans="1:15" s="227" customFormat="1" ht="27.75" customHeight="1" x14ac:dyDescent="0.3">
      <c r="A81" s="232" t="s">
        <v>408</v>
      </c>
      <c r="B81" s="226"/>
      <c r="C81" s="226">
        <v>1139348850400</v>
      </c>
      <c r="D81" s="226"/>
      <c r="E81" s="226">
        <v>455972296151</v>
      </c>
      <c r="L81" s="228"/>
      <c r="M81" s="228"/>
      <c r="N81" s="228"/>
      <c r="O81" s="228"/>
    </row>
    <row r="82" spans="1:15" s="227" customFormat="1" ht="27.95" customHeight="1" x14ac:dyDescent="0.3">
      <c r="A82" s="232" t="s">
        <v>409</v>
      </c>
      <c r="B82" s="226">
        <v>2291748850400</v>
      </c>
      <c r="C82" s="226"/>
      <c r="D82" s="226">
        <v>717520890792</v>
      </c>
      <c r="E82" s="226"/>
      <c r="L82" s="228"/>
      <c r="M82" s="228"/>
      <c r="N82" s="228"/>
      <c r="O82" s="228"/>
    </row>
    <row r="83" spans="1:15" s="223" customFormat="1" ht="27.95" customHeight="1" x14ac:dyDescent="0.3">
      <c r="A83" s="231" t="s">
        <v>459</v>
      </c>
      <c r="B83" s="230">
        <v>1260000000000</v>
      </c>
      <c r="C83" s="230"/>
      <c r="D83" s="230">
        <v>0</v>
      </c>
      <c r="E83" s="230"/>
      <c r="L83" s="224"/>
      <c r="M83" s="224"/>
      <c r="N83" s="224"/>
      <c r="O83" s="224"/>
    </row>
    <row r="84" spans="1:15" s="223" customFormat="1" ht="27.95" customHeight="1" x14ac:dyDescent="0.3">
      <c r="A84" s="231" t="s">
        <v>460</v>
      </c>
      <c r="B84" s="230">
        <v>0</v>
      </c>
      <c r="C84" s="230"/>
      <c r="D84" s="230">
        <v>123375730000</v>
      </c>
      <c r="E84" s="230"/>
      <c r="L84" s="224"/>
      <c r="M84" s="224"/>
      <c r="N84" s="224"/>
      <c r="O84" s="224"/>
    </row>
    <row r="85" spans="1:15" s="223" customFormat="1" ht="27.95" customHeight="1" x14ac:dyDescent="0.3">
      <c r="A85" s="231" t="s">
        <v>461</v>
      </c>
      <c r="B85" s="230">
        <v>707836088400</v>
      </c>
      <c r="C85" s="230"/>
      <c r="D85" s="230">
        <v>179959688400</v>
      </c>
      <c r="E85" s="230"/>
      <c r="L85" s="224"/>
      <c r="M85" s="224"/>
      <c r="N85" s="224"/>
      <c r="O85" s="224"/>
    </row>
    <row r="86" spans="1:15" s="223" customFormat="1" ht="27.95" customHeight="1" x14ac:dyDescent="0.3">
      <c r="A86" s="231" t="s">
        <v>462</v>
      </c>
      <c r="B86" s="230">
        <v>0</v>
      </c>
      <c r="C86" s="230"/>
      <c r="D86" s="230">
        <v>175000000000</v>
      </c>
      <c r="E86" s="230"/>
      <c r="L86" s="224"/>
      <c r="M86" s="224"/>
      <c r="N86" s="224"/>
      <c r="O86" s="224"/>
    </row>
    <row r="87" spans="1:15" s="223" customFormat="1" ht="27.95" customHeight="1" x14ac:dyDescent="0.3">
      <c r="A87" s="231" t="s">
        <v>463</v>
      </c>
      <c r="B87" s="230">
        <v>0</v>
      </c>
      <c r="C87" s="230"/>
      <c r="D87" s="230">
        <v>0</v>
      </c>
      <c r="E87" s="230"/>
      <c r="L87" s="224"/>
      <c r="M87" s="224"/>
      <c r="N87" s="224"/>
      <c r="O87" s="224"/>
    </row>
    <row r="88" spans="1:15" s="223" customFormat="1" ht="27.75" customHeight="1" x14ac:dyDescent="0.3">
      <c r="A88" s="231" t="s">
        <v>464</v>
      </c>
      <c r="B88" s="230">
        <v>0</v>
      </c>
      <c r="C88" s="230"/>
      <c r="D88" s="230">
        <v>15042996667</v>
      </c>
      <c r="E88" s="230"/>
      <c r="L88" s="224"/>
      <c r="M88" s="224"/>
      <c r="N88" s="224"/>
      <c r="O88" s="224"/>
    </row>
    <row r="89" spans="1:15" s="223" customFormat="1" ht="27.75" customHeight="1" x14ac:dyDescent="0.3">
      <c r="A89" s="231" t="s">
        <v>465</v>
      </c>
      <c r="B89" s="230">
        <v>323912762000</v>
      </c>
      <c r="C89" s="230"/>
      <c r="D89" s="230">
        <v>182834500000</v>
      </c>
      <c r="E89" s="230"/>
      <c r="L89" s="224"/>
      <c r="M89" s="224"/>
      <c r="N89" s="224"/>
      <c r="O89" s="224"/>
    </row>
    <row r="90" spans="1:15" s="223" customFormat="1" ht="27.75" customHeight="1" x14ac:dyDescent="0.3">
      <c r="A90" s="231" t="s">
        <v>466</v>
      </c>
      <c r="B90" s="230">
        <v>0</v>
      </c>
      <c r="C90" s="230"/>
      <c r="D90" s="230">
        <v>38614917032</v>
      </c>
      <c r="E90" s="230"/>
      <c r="L90" s="224"/>
      <c r="M90" s="224"/>
      <c r="N90" s="224"/>
      <c r="O90" s="224"/>
    </row>
    <row r="91" spans="1:15" s="223" customFormat="1" ht="27.75" customHeight="1" x14ac:dyDescent="0.3">
      <c r="A91" s="231" t="s">
        <v>467</v>
      </c>
      <c r="B91" s="230">
        <v>0</v>
      </c>
      <c r="C91" s="230"/>
      <c r="D91" s="230">
        <v>0</v>
      </c>
      <c r="E91" s="230"/>
      <c r="L91" s="224"/>
      <c r="M91" s="224"/>
      <c r="N91" s="224"/>
      <c r="O91" s="224"/>
    </row>
    <row r="92" spans="1:15" s="223" customFormat="1" ht="27.95" customHeight="1" x14ac:dyDescent="0.3">
      <c r="A92" s="231" t="s">
        <v>468</v>
      </c>
      <c r="B92" s="230">
        <v>0</v>
      </c>
      <c r="C92" s="230"/>
      <c r="D92" s="230">
        <v>2693058693</v>
      </c>
      <c r="E92" s="230"/>
      <c r="L92" s="224"/>
      <c r="M92" s="224"/>
      <c r="N92" s="224"/>
      <c r="O92" s="224"/>
    </row>
    <row r="93" spans="1:15" s="223" customFormat="1" ht="27.95" customHeight="1" x14ac:dyDescent="0.3">
      <c r="A93" s="231" t="s">
        <v>410</v>
      </c>
      <c r="B93" s="230">
        <v>-1152400000000</v>
      </c>
      <c r="C93" s="230"/>
      <c r="D93" s="230">
        <v>-261548594641</v>
      </c>
      <c r="E93" s="230"/>
      <c r="L93" s="224"/>
      <c r="M93" s="224"/>
      <c r="N93" s="224"/>
      <c r="O93" s="224"/>
    </row>
    <row r="94" spans="1:15" s="223" customFormat="1" ht="27.95" customHeight="1" x14ac:dyDescent="0.3">
      <c r="A94" s="231" t="s">
        <v>469</v>
      </c>
      <c r="B94" s="230">
        <v>960000000000</v>
      </c>
      <c r="C94" s="230"/>
      <c r="D94" s="230">
        <v>0</v>
      </c>
      <c r="E94" s="230"/>
      <c r="L94" s="224"/>
      <c r="M94" s="224"/>
      <c r="N94" s="224"/>
      <c r="O94" s="224"/>
    </row>
    <row r="95" spans="1:15" s="223" customFormat="1" ht="27.95" customHeight="1" x14ac:dyDescent="0.3">
      <c r="A95" s="231" t="s">
        <v>411</v>
      </c>
      <c r="B95" s="230">
        <v>192400000000</v>
      </c>
      <c r="C95" s="230"/>
      <c r="D95" s="230">
        <v>209772194036</v>
      </c>
      <c r="E95" s="230"/>
      <c r="L95" s="224"/>
      <c r="M95" s="224"/>
      <c r="N95" s="224"/>
      <c r="O95" s="224"/>
    </row>
    <row r="96" spans="1:15" s="223" customFormat="1" ht="27.95" customHeight="1" x14ac:dyDescent="0.3">
      <c r="A96" s="231" t="s">
        <v>412</v>
      </c>
      <c r="B96" s="230">
        <v>0</v>
      </c>
      <c r="C96" s="230"/>
      <c r="D96" s="230">
        <v>25987293358</v>
      </c>
      <c r="E96" s="230"/>
      <c r="L96" s="224"/>
      <c r="M96" s="224"/>
      <c r="N96" s="224"/>
      <c r="O96" s="224"/>
    </row>
    <row r="97" spans="1:15" s="223" customFormat="1" ht="27.95" customHeight="1" x14ac:dyDescent="0.3">
      <c r="A97" s="231" t="s">
        <v>413</v>
      </c>
      <c r="B97" s="230">
        <v>0</v>
      </c>
      <c r="C97" s="230"/>
      <c r="D97" s="230">
        <v>25789107247</v>
      </c>
      <c r="E97" s="230"/>
      <c r="L97" s="224"/>
      <c r="M97" s="224"/>
      <c r="N97" s="224"/>
      <c r="O97" s="224"/>
    </row>
    <row r="98" spans="1:15" s="223" customFormat="1" ht="27.95" customHeight="1" x14ac:dyDescent="0.3">
      <c r="A98" s="231" t="s">
        <v>470</v>
      </c>
      <c r="B98" s="230">
        <v>0</v>
      </c>
      <c r="C98" s="230"/>
      <c r="D98" s="230">
        <v>0</v>
      </c>
      <c r="E98" s="230"/>
      <c r="L98" s="224"/>
      <c r="M98" s="224"/>
      <c r="N98" s="224"/>
      <c r="O98" s="224"/>
    </row>
    <row r="99" spans="1:15" s="223" customFormat="1" ht="27.95" customHeight="1" x14ac:dyDescent="0.3">
      <c r="A99" s="225" t="s">
        <v>414</v>
      </c>
      <c r="B99" s="226"/>
      <c r="C99" s="226">
        <v>50281859778</v>
      </c>
      <c r="D99" s="226"/>
      <c r="E99" s="226">
        <v>-80503412842</v>
      </c>
      <c r="L99" s="224"/>
      <c r="M99" s="224"/>
      <c r="N99" s="224"/>
      <c r="O99" s="224"/>
    </row>
    <row r="100" spans="1:15" s="223" customFormat="1" ht="27.95" customHeight="1" x14ac:dyDescent="0.3">
      <c r="A100" s="225" t="s">
        <v>415</v>
      </c>
      <c r="B100" s="226"/>
      <c r="C100" s="226">
        <v>192557051013</v>
      </c>
      <c r="D100" s="226"/>
      <c r="E100" s="226">
        <v>273060463855</v>
      </c>
      <c r="L100" s="224"/>
      <c r="M100" s="224"/>
      <c r="N100" s="224"/>
      <c r="O100" s="224"/>
    </row>
    <row r="101" spans="1:15" s="223" customFormat="1" ht="27.95" customHeight="1" x14ac:dyDescent="0.3">
      <c r="A101" s="233" t="s">
        <v>416</v>
      </c>
      <c r="B101" s="234"/>
      <c r="C101" s="234">
        <v>242838910791</v>
      </c>
      <c r="D101" s="234"/>
      <c r="E101" s="234">
        <v>192557051013</v>
      </c>
      <c r="L101" s="224"/>
      <c r="M101" s="224"/>
      <c r="N101" s="224"/>
      <c r="O101" s="224"/>
    </row>
    <row r="102" spans="1:15" x14ac:dyDescent="0.3">
      <c r="C102" s="217" t="b">
        <f>C100='#1. 재무상태표'!H10</f>
        <v>1</v>
      </c>
    </row>
    <row r="103" spans="1:15" x14ac:dyDescent="0.3">
      <c r="C103" s="217" t="b">
        <f>C101='#1. 재무상태표'!F10</f>
        <v>1</v>
      </c>
    </row>
  </sheetData>
  <mergeCells count="5">
    <mergeCell ref="A1:E1"/>
    <mergeCell ref="A2:E2"/>
    <mergeCell ref="A3:E3"/>
    <mergeCell ref="B5:C5"/>
    <mergeCell ref="D5:E5"/>
  </mergeCells>
  <phoneticPr fontId="34" type="noConversion"/>
  <pageMargins left="0.7" right="0.7" top="0.75" bottom="0.75" header="0.3" footer="0.3"/>
  <pageSetup paperSize="9" scale="4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226"/>
  <sheetViews>
    <sheetView view="pageBreakPreview" zoomScale="55" zoomScaleNormal="100" zoomScaleSheetLayoutView="55" workbookViewId="0">
      <selection activeCell="B20" sqref="B20"/>
    </sheetView>
  </sheetViews>
  <sheetFormatPr defaultRowHeight="16.5" x14ac:dyDescent="0.3"/>
  <cols>
    <col min="1" max="2" width="22.125" bestFit="1" customWidth="1"/>
    <col min="3" max="3" width="44.5" bestFit="1" customWidth="1"/>
    <col min="4" max="5" width="22.125" bestFit="1" customWidth="1"/>
    <col min="6" max="6" width="9" customWidth="1"/>
    <col min="7" max="7" width="19.375" customWidth="1"/>
    <col min="9" max="9" width="19.375" bestFit="1" customWidth="1"/>
    <col min="10" max="10" width="16.625" bestFit="1" customWidth="1"/>
  </cols>
  <sheetData>
    <row r="1" spans="1:5" s="123" customFormat="1" ht="33.75" x14ac:dyDescent="0.3">
      <c r="A1" s="295" t="s">
        <v>474</v>
      </c>
      <c r="B1" s="295"/>
      <c r="C1" s="295"/>
      <c r="D1" s="295"/>
      <c r="E1" s="295"/>
    </row>
    <row r="2" spans="1:5" s="123" customFormat="1" x14ac:dyDescent="0.3"/>
    <row r="3" spans="1:5" s="236" customFormat="1" ht="13.5" x14ac:dyDescent="0.3">
      <c r="A3" s="236" t="s">
        <v>475</v>
      </c>
      <c r="E3" s="237" t="s">
        <v>476</v>
      </c>
    </row>
    <row r="4" spans="1:5" x14ac:dyDescent="0.3">
      <c r="A4" s="172" t="s">
        <v>260</v>
      </c>
      <c r="B4" s="172" t="s">
        <v>261</v>
      </c>
      <c r="C4" s="172" t="s">
        <v>262</v>
      </c>
      <c r="D4" s="172" t="s">
        <v>263</v>
      </c>
      <c r="E4" s="172" t="s">
        <v>260</v>
      </c>
    </row>
    <row r="5" spans="1:5" x14ac:dyDescent="0.3">
      <c r="A5" s="173">
        <v>2807377200</v>
      </c>
      <c r="B5" s="173">
        <v>250045462050</v>
      </c>
      <c r="C5" s="174" t="s">
        <v>264</v>
      </c>
      <c r="D5" s="173">
        <v>247238084850</v>
      </c>
      <c r="E5" s="173">
        <v>0</v>
      </c>
    </row>
    <row r="6" spans="1:5" x14ac:dyDescent="0.3">
      <c r="A6" s="173">
        <v>0</v>
      </c>
      <c r="B6" s="173">
        <v>960439139708</v>
      </c>
      <c r="C6" s="174" t="s">
        <v>265</v>
      </c>
      <c r="D6" s="173">
        <v>960439139708</v>
      </c>
      <c r="E6" s="173">
        <v>0</v>
      </c>
    </row>
    <row r="7" spans="1:5" x14ac:dyDescent="0.3">
      <c r="A7" s="173">
        <v>284021716</v>
      </c>
      <c r="B7" s="173">
        <v>491861962038</v>
      </c>
      <c r="C7" s="174" t="s">
        <v>266</v>
      </c>
      <c r="D7" s="173">
        <v>491577940322</v>
      </c>
      <c r="E7" s="173">
        <v>0</v>
      </c>
    </row>
    <row r="8" spans="1:5" x14ac:dyDescent="0.3">
      <c r="A8" s="173">
        <v>45281265197</v>
      </c>
      <c r="B8" s="173">
        <v>24625116539327</v>
      </c>
      <c r="C8" s="174" t="s">
        <v>267</v>
      </c>
      <c r="D8" s="173">
        <v>24579835274130</v>
      </c>
      <c r="E8" s="173">
        <v>0</v>
      </c>
    </row>
    <row r="9" spans="1:5" x14ac:dyDescent="0.3">
      <c r="A9" s="173">
        <v>194466246678</v>
      </c>
      <c r="B9" s="173">
        <v>12560057733493</v>
      </c>
      <c r="C9" s="174" t="s">
        <v>268</v>
      </c>
      <c r="D9" s="173">
        <v>12365591486815</v>
      </c>
      <c r="E9" s="173">
        <v>0</v>
      </c>
    </row>
    <row r="10" spans="1:5" x14ac:dyDescent="0.3">
      <c r="A10" s="173">
        <v>0</v>
      </c>
      <c r="B10" s="173">
        <v>127378069027</v>
      </c>
      <c r="C10" s="174" t="s">
        <v>42</v>
      </c>
      <c r="D10" s="173">
        <v>253633344329</v>
      </c>
      <c r="E10" s="173">
        <v>126255275302</v>
      </c>
    </row>
    <row r="11" spans="1:5" x14ac:dyDescent="0.3">
      <c r="A11" s="173">
        <v>0</v>
      </c>
      <c r="B11" s="173">
        <v>7748432180</v>
      </c>
      <c r="C11" s="174" t="s">
        <v>269</v>
      </c>
      <c r="D11" s="173">
        <v>23705139599</v>
      </c>
      <c r="E11" s="173">
        <v>15956707419</v>
      </c>
    </row>
    <row r="12" spans="1:5" x14ac:dyDescent="0.3">
      <c r="A12" s="173">
        <v>0</v>
      </c>
      <c r="B12" s="173">
        <v>30000000000</v>
      </c>
      <c r="C12" s="174" t="s">
        <v>270</v>
      </c>
      <c r="D12" s="173">
        <v>30000000000</v>
      </c>
      <c r="E12" s="173">
        <v>0</v>
      </c>
    </row>
    <row r="13" spans="1:5" x14ac:dyDescent="0.3">
      <c r="A13" s="173">
        <v>69274257480</v>
      </c>
      <c r="B13" s="173">
        <v>1687075728106</v>
      </c>
      <c r="C13" s="174" t="s">
        <v>271</v>
      </c>
      <c r="D13" s="173">
        <v>1617801470626</v>
      </c>
      <c r="E13" s="173">
        <v>0</v>
      </c>
    </row>
    <row r="14" spans="1:5" x14ac:dyDescent="0.3">
      <c r="A14" s="173">
        <v>0</v>
      </c>
      <c r="B14" s="173">
        <v>825804762</v>
      </c>
      <c r="C14" s="174" t="s">
        <v>272</v>
      </c>
      <c r="D14" s="173">
        <v>19274261952</v>
      </c>
      <c r="E14" s="173">
        <v>18448457190</v>
      </c>
    </row>
    <row r="15" spans="1:5" x14ac:dyDescent="0.3">
      <c r="A15" s="173">
        <v>2681336330</v>
      </c>
      <c r="B15" s="173">
        <v>4596905540</v>
      </c>
      <c r="C15" s="174" t="s">
        <v>273</v>
      </c>
      <c r="D15" s="173">
        <v>1915569210</v>
      </c>
      <c r="E15" s="173">
        <v>0</v>
      </c>
    </row>
    <row r="16" spans="1:5" x14ac:dyDescent="0.3">
      <c r="A16" s="173">
        <v>52426949376</v>
      </c>
      <c r="B16" s="173">
        <v>105416498489</v>
      </c>
      <c r="C16" s="174" t="s">
        <v>274</v>
      </c>
      <c r="D16" s="173">
        <v>52989549113</v>
      </c>
      <c r="E16" s="173">
        <v>0</v>
      </c>
    </row>
    <row r="17" spans="1:5" x14ac:dyDescent="0.3">
      <c r="A17" s="173">
        <v>0</v>
      </c>
      <c r="B17" s="173">
        <v>381521106</v>
      </c>
      <c r="C17" s="174" t="s">
        <v>272</v>
      </c>
      <c r="D17" s="173">
        <v>25093150013</v>
      </c>
      <c r="E17" s="173">
        <v>24711628907</v>
      </c>
    </row>
    <row r="18" spans="1:5" x14ac:dyDescent="0.3">
      <c r="A18" s="173">
        <v>32317867</v>
      </c>
      <c r="B18" s="173">
        <v>1356670038</v>
      </c>
      <c r="C18" s="174" t="s">
        <v>275</v>
      </c>
      <c r="D18" s="173">
        <v>1324352171</v>
      </c>
      <c r="E18" s="173">
        <v>0</v>
      </c>
    </row>
    <row r="19" spans="1:5" x14ac:dyDescent="0.3">
      <c r="A19" s="173">
        <v>669081173</v>
      </c>
      <c r="B19" s="173">
        <v>669081173</v>
      </c>
      <c r="C19" s="174" t="s">
        <v>8</v>
      </c>
      <c r="D19" s="173">
        <v>0</v>
      </c>
      <c r="E19" s="173">
        <v>0</v>
      </c>
    </row>
    <row r="20" spans="1:5" x14ac:dyDescent="0.3">
      <c r="A20" s="173">
        <v>268556387</v>
      </c>
      <c r="B20" s="173">
        <v>6932961566</v>
      </c>
      <c r="C20" s="174" t="s">
        <v>276</v>
      </c>
      <c r="D20" s="173">
        <v>6664405179</v>
      </c>
      <c r="E20" s="173">
        <v>0</v>
      </c>
    </row>
    <row r="21" spans="1:5" x14ac:dyDescent="0.3">
      <c r="A21" s="173">
        <v>0</v>
      </c>
      <c r="B21" s="173">
        <v>1411100000</v>
      </c>
      <c r="C21" s="174" t="s">
        <v>277</v>
      </c>
      <c r="D21" s="173">
        <v>1411100000</v>
      </c>
      <c r="E21" s="173">
        <v>0</v>
      </c>
    </row>
    <row r="22" spans="1:5" x14ac:dyDescent="0.3">
      <c r="A22" s="173">
        <v>216961804</v>
      </c>
      <c r="B22" s="173">
        <v>755576184</v>
      </c>
      <c r="C22" s="174" t="s">
        <v>40</v>
      </c>
      <c r="D22" s="173">
        <v>538614380</v>
      </c>
      <c r="E22" s="173">
        <v>0</v>
      </c>
    </row>
    <row r="23" spans="1:5" x14ac:dyDescent="0.3">
      <c r="A23" s="173">
        <v>19500461</v>
      </c>
      <c r="B23" s="173">
        <v>19500461</v>
      </c>
      <c r="C23" s="174" t="s">
        <v>278</v>
      </c>
      <c r="D23" s="173">
        <v>0</v>
      </c>
      <c r="E23" s="173">
        <v>0</v>
      </c>
    </row>
    <row r="24" spans="1:5" x14ac:dyDescent="0.3">
      <c r="A24" s="173">
        <v>1276310332</v>
      </c>
      <c r="B24" s="173">
        <v>1468617124</v>
      </c>
      <c r="C24" s="174" t="s">
        <v>279</v>
      </c>
      <c r="D24" s="173">
        <v>192306792</v>
      </c>
      <c r="E24" s="173">
        <v>0</v>
      </c>
    </row>
    <row r="25" spans="1:5" x14ac:dyDescent="0.3">
      <c r="A25" s="173">
        <v>54065613925</v>
      </c>
      <c r="B25" s="173">
        <v>110808759836</v>
      </c>
      <c r="C25" s="174" t="s">
        <v>280</v>
      </c>
      <c r="D25" s="173">
        <v>56743145911</v>
      </c>
      <c r="E25" s="173">
        <v>0</v>
      </c>
    </row>
    <row r="26" spans="1:5" x14ac:dyDescent="0.3">
      <c r="A26" s="173">
        <v>354310127</v>
      </c>
      <c r="B26" s="173">
        <v>10268732630</v>
      </c>
      <c r="C26" s="174" t="s">
        <v>281</v>
      </c>
      <c r="D26" s="173">
        <v>9914422503</v>
      </c>
      <c r="E26" s="173">
        <v>0</v>
      </c>
    </row>
    <row r="27" spans="1:5" x14ac:dyDescent="0.3">
      <c r="A27" s="173">
        <v>424799200</v>
      </c>
      <c r="B27" s="173">
        <v>424799200</v>
      </c>
      <c r="C27" s="174" t="s">
        <v>282</v>
      </c>
      <c r="D27" s="173">
        <v>0</v>
      </c>
      <c r="E27" s="173">
        <v>0</v>
      </c>
    </row>
    <row r="28" spans="1:5" x14ac:dyDescent="0.3">
      <c r="A28" s="173">
        <v>52036045685</v>
      </c>
      <c r="B28" s="173">
        <v>66399740865</v>
      </c>
      <c r="C28" s="174" t="s">
        <v>283</v>
      </c>
      <c r="D28" s="173">
        <v>16719224326</v>
      </c>
      <c r="E28" s="173">
        <v>2355529146</v>
      </c>
    </row>
    <row r="29" spans="1:5" x14ac:dyDescent="0.3">
      <c r="A29" s="173">
        <v>26108700141</v>
      </c>
      <c r="B29" s="173">
        <v>27627120365</v>
      </c>
      <c r="C29" s="174" t="s">
        <v>284</v>
      </c>
      <c r="D29" s="173">
        <v>1518420224</v>
      </c>
      <c r="E29" s="173">
        <v>0</v>
      </c>
    </row>
    <row r="30" spans="1:5" x14ac:dyDescent="0.3">
      <c r="A30" s="173">
        <v>3517271652300</v>
      </c>
      <c r="B30" s="173">
        <v>3887129527548</v>
      </c>
      <c r="C30" s="174" t="s">
        <v>9</v>
      </c>
      <c r="D30" s="173">
        <v>369857875248</v>
      </c>
      <c r="E30" s="173">
        <v>0</v>
      </c>
    </row>
    <row r="31" spans="1:5" x14ac:dyDescent="0.3">
      <c r="A31" s="173">
        <v>460705168176</v>
      </c>
      <c r="B31" s="173">
        <v>461432670643</v>
      </c>
      <c r="C31" s="174" t="s">
        <v>13</v>
      </c>
      <c r="D31" s="173">
        <v>727502467</v>
      </c>
      <c r="E31" s="173">
        <v>0</v>
      </c>
    </row>
    <row r="32" spans="1:5" x14ac:dyDescent="0.3">
      <c r="A32" s="173">
        <v>0</v>
      </c>
      <c r="B32" s="173">
        <v>549893090</v>
      </c>
      <c r="C32" s="174" t="s">
        <v>39</v>
      </c>
      <c r="D32" s="173">
        <v>309352017832</v>
      </c>
      <c r="E32" s="173">
        <v>308802124742</v>
      </c>
    </row>
    <row r="33" spans="1:5" x14ac:dyDescent="0.3">
      <c r="A33" s="173">
        <v>0</v>
      </c>
      <c r="B33" s="173">
        <v>12298</v>
      </c>
      <c r="C33" s="174" t="s">
        <v>42</v>
      </c>
      <c r="D33" s="173">
        <v>719732630</v>
      </c>
      <c r="E33" s="173">
        <v>719720332</v>
      </c>
    </row>
    <row r="34" spans="1:5" x14ac:dyDescent="0.3">
      <c r="A34" s="173">
        <v>177416990</v>
      </c>
      <c r="B34" s="173">
        <v>177420990</v>
      </c>
      <c r="C34" s="174" t="s">
        <v>0</v>
      </c>
      <c r="D34" s="173">
        <v>4000</v>
      </c>
      <c r="E34" s="173">
        <v>0</v>
      </c>
    </row>
    <row r="35" spans="1:5" x14ac:dyDescent="0.3">
      <c r="A35" s="173">
        <v>94972626027</v>
      </c>
      <c r="B35" s="173">
        <v>98126967246</v>
      </c>
      <c r="C35" s="174" t="s">
        <v>11</v>
      </c>
      <c r="D35" s="173">
        <v>3154341219</v>
      </c>
      <c r="E35" s="173">
        <v>0</v>
      </c>
    </row>
    <row r="36" spans="1:5" x14ac:dyDescent="0.3">
      <c r="A36" s="173">
        <v>0</v>
      </c>
      <c r="B36" s="173">
        <v>1934331912</v>
      </c>
      <c r="C36" s="174" t="s">
        <v>39</v>
      </c>
      <c r="D36" s="173">
        <v>60640458324</v>
      </c>
      <c r="E36" s="173">
        <v>58706126412</v>
      </c>
    </row>
    <row r="37" spans="1:5" x14ac:dyDescent="0.3">
      <c r="A37" s="173">
        <v>11824344951297</v>
      </c>
      <c r="B37" s="173">
        <v>11833555578019</v>
      </c>
      <c r="C37" s="174" t="s">
        <v>12</v>
      </c>
      <c r="D37" s="173">
        <v>9210626722</v>
      </c>
      <c r="E37" s="173">
        <v>0</v>
      </c>
    </row>
    <row r="38" spans="1:5" x14ac:dyDescent="0.3">
      <c r="A38" s="173">
        <v>0</v>
      </c>
      <c r="B38" s="173">
        <v>7355969701</v>
      </c>
      <c r="C38" s="174" t="s">
        <v>39</v>
      </c>
      <c r="D38" s="173">
        <v>4732155603707</v>
      </c>
      <c r="E38" s="173">
        <v>4724799634006</v>
      </c>
    </row>
    <row r="39" spans="1:5" x14ac:dyDescent="0.3">
      <c r="A39" s="173">
        <v>0</v>
      </c>
      <c r="B39" s="173">
        <v>585000</v>
      </c>
      <c r="C39" s="174" t="s">
        <v>42</v>
      </c>
      <c r="D39" s="173">
        <v>97615492377</v>
      </c>
      <c r="E39" s="173">
        <v>97614907377</v>
      </c>
    </row>
    <row r="40" spans="1:5" x14ac:dyDescent="0.3">
      <c r="A40" s="173">
        <v>4910697139</v>
      </c>
      <c r="B40" s="173">
        <v>4910697139</v>
      </c>
      <c r="C40" s="174" t="s">
        <v>0</v>
      </c>
      <c r="D40" s="173">
        <v>0</v>
      </c>
      <c r="E40" s="173">
        <v>0</v>
      </c>
    </row>
    <row r="41" spans="1:5" x14ac:dyDescent="0.3">
      <c r="A41" s="173">
        <v>0</v>
      </c>
      <c r="B41" s="173">
        <v>0</v>
      </c>
      <c r="C41" s="174" t="s">
        <v>285</v>
      </c>
      <c r="D41" s="173">
        <v>365966200</v>
      </c>
      <c r="E41" s="173">
        <v>365966200</v>
      </c>
    </row>
    <row r="42" spans="1:5" x14ac:dyDescent="0.3">
      <c r="A42" s="173">
        <v>10673948</v>
      </c>
      <c r="B42" s="173">
        <v>10673948</v>
      </c>
      <c r="C42" s="174" t="s">
        <v>286</v>
      </c>
      <c r="D42" s="173">
        <v>0</v>
      </c>
      <c r="E42" s="173">
        <v>0</v>
      </c>
    </row>
    <row r="43" spans="1:5" x14ac:dyDescent="0.3">
      <c r="A43" s="173">
        <v>2153365622280</v>
      </c>
      <c r="B43" s="173">
        <v>2207979761034</v>
      </c>
      <c r="C43" s="174" t="s">
        <v>10</v>
      </c>
      <c r="D43" s="173">
        <v>54614138754</v>
      </c>
      <c r="E43" s="173">
        <v>0</v>
      </c>
    </row>
    <row r="44" spans="1:5" x14ac:dyDescent="0.3">
      <c r="A44" s="173">
        <v>0</v>
      </c>
      <c r="B44" s="173">
        <v>38156128032</v>
      </c>
      <c r="C44" s="174" t="s">
        <v>39</v>
      </c>
      <c r="D44" s="173">
        <v>1394928714794</v>
      </c>
      <c r="E44" s="173">
        <v>1356772586762</v>
      </c>
    </row>
    <row r="45" spans="1:5" x14ac:dyDescent="0.3">
      <c r="A45" s="173">
        <v>0</v>
      </c>
      <c r="B45" s="173">
        <v>854550233</v>
      </c>
      <c r="C45" s="174" t="s">
        <v>42</v>
      </c>
      <c r="D45" s="173">
        <v>54419008981</v>
      </c>
      <c r="E45" s="173">
        <v>53564458748</v>
      </c>
    </row>
    <row r="46" spans="1:5" x14ac:dyDescent="0.3">
      <c r="A46" s="173">
        <v>3993826088</v>
      </c>
      <c r="B46" s="173">
        <v>4008526394</v>
      </c>
      <c r="C46" s="174" t="s">
        <v>0</v>
      </c>
      <c r="D46" s="173">
        <v>14700306</v>
      </c>
      <c r="E46" s="173">
        <v>0</v>
      </c>
    </row>
    <row r="47" spans="1:5" x14ac:dyDescent="0.3">
      <c r="A47" s="173">
        <v>2585069593026</v>
      </c>
      <c r="B47" s="173">
        <v>2679112337256</v>
      </c>
      <c r="C47" s="174" t="s">
        <v>287</v>
      </c>
      <c r="D47" s="173">
        <v>94042744230</v>
      </c>
      <c r="E47" s="173">
        <v>0</v>
      </c>
    </row>
    <row r="48" spans="1:5" x14ac:dyDescent="0.3">
      <c r="A48" s="173">
        <v>0</v>
      </c>
      <c r="B48" s="173">
        <v>91889612283</v>
      </c>
      <c r="C48" s="174" t="s">
        <v>39</v>
      </c>
      <c r="D48" s="173">
        <v>1901640425907</v>
      </c>
      <c r="E48" s="173">
        <v>1809750813624</v>
      </c>
    </row>
    <row r="49" spans="1:5" x14ac:dyDescent="0.3">
      <c r="A49" s="173">
        <v>0</v>
      </c>
      <c r="B49" s="173">
        <v>0</v>
      </c>
      <c r="C49" s="174" t="s">
        <v>42</v>
      </c>
      <c r="D49" s="173">
        <v>628539228</v>
      </c>
      <c r="E49" s="173">
        <v>628539228</v>
      </c>
    </row>
    <row r="50" spans="1:5" x14ac:dyDescent="0.3">
      <c r="A50" s="175">
        <v>14665979</v>
      </c>
      <c r="B50" s="175">
        <v>14665979</v>
      </c>
      <c r="C50" s="174" t="s">
        <v>0</v>
      </c>
      <c r="D50" s="173">
        <v>0</v>
      </c>
      <c r="E50" s="173">
        <v>0</v>
      </c>
    </row>
    <row r="51" spans="1:5" x14ac:dyDescent="0.3">
      <c r="A51" s="175">
        <v>5691751929</v>
      </c>
      <c r="B51" s="175">
        <v>6351489319</v>
      </c>
      <c r="C51" s="176" t="s">
        <v>288</v>
      </c>
      <c r="D51" s="175">
        <v>659737390</v>
      </c>
      <c r="E51" s="175">
        <v>0</v>
      </c>
    </row>
    <row r="52" spans="1:5" x14ac:dyDescent="0.3">
      <c r="A52" s="175">
        <v>0</v>
      </c>
      <c r="B52" s="175">
        <v>0</v>
      </c>
      <c r="C52" s="176" t="s">
        <v>39</v>
      </c>
      <c r="D52" s="175">
        <v>4377536606</v>
      </c>
      <c r="E52" s="175">
        <v>4377536606</v>
      </c>
    </row>
    <row r="53" spans="1:5" x14ac:dyDescent="0.3">
      <c r="A53" s="175">
        <v>0</v>
      </c>
      <c r="B53" s="175">
        <v>0</v>
      </c>
      <c r="C53" s="174" t="s">
        <v>285</v>
      </c>
      <c r="D53" s="175">
        <v>552850000</v>
      </c>
      <c r="E53" s="175">
        <v>552850000</v>
      </c>
    </row>
    <row r="54" spans="1:5" x14ac:dyDescent="0.3">
      <c r="A54" s="175">
        <v>78890169</v>
      </c>
      <c r="B54" s="175">
        <v>78890169</v>
      </c>
      <c r="C54" s="174" t="s">
        <v>286</v>
      </c>
      <c r="D54" s="175">
        <v>0</v>
      </c>
      <c r="E54" s="175">
        <v>0</v>
      </c>
    </row>
    <row r="55" spans="1:5" x14ac:dyDescent="0.3">
      <c r="A55" s="175">
        <v>0</v>
      </c>
      <c r="B55" s="175">
        <v>0</v>
      </c>
      <c r="C55" s="176" t="s">
        <v>42</v>
      </c>
      <c r="D55" s="175">
        <v>175140000</v>
      </c>
      <c r="E55" s="175">
        <v>175140000</v>
      </c>
    </row>
    <row r="56" spans="1:5" x14ac:dyDescent="0.3">
      <c r="A56" s="175">
        <v>19913001</v>
      </c>
      <c r="B56" s="175">
        <v>19913001</v>
      </c>
      <c r="C56" s="176" t="s">
        <v>0</v>
      </c>
      <c r="D56" s="175">
        <v>0</v>
      </c>
      <c r="E56" s="175">
        <v>0</v>
      </c>
    </row>
    <row r="57" spans="1:5" x14ac:dyDescent="0.3">
      <c r="A57" s="173">
        <v>126764853641</v>
      </c>
      <c r="B57" s="173">
        <v>143425289389</v>
      </c>
      <c r="C57" s="174" t="s">
        <v>41</v>
      </c>
      <c r="D57" s="173">
        <v>16660435748</v>
      </c>
      <c r="E57" s="173">
        <v>0</v>
      </c>
    </row>
    <row r="58" spans="1:5" x14ac:dyDescent="0.3">
      <c r="A58" s="173">
        <v>0</v>
      </c>
      <c r="B58" s="173">
        <v>9235632453</v>
      </c>
      <c r="C58" s="174" t="s">
        <v>39</v>
      </c>
      <c r="D58" s="173">
        <v>109183696368</v>
      </c>
      <c r="E58" s="173">
        <v>99948063915</v>
      </c>
    </row>
    <row r="59" spans="1:5" x14ac:dyDescent="0.3">
      <c r="A59" s="173">
        <v>0</v>
      </c>
      <c r="B59" s="173">
        <v>47930508</v>
      </c>
      <c r="C59" s="174" t="s">
        <v>42</v>
      </c>
      <c r="D59" s="173">
        <v>236265616</v>
      </c>
      <c r="E59" s="173">
        <v>188335108</v>
      </c>
    </row>
    <row r="60" spans="1:5" x14ac:dyDescent="0.3">
      <c r="A60" s="173">
        <v>128206468</v>
      </c>
      <c r="B60" s="173">
        <v>129792731</v>
      </c>
      <c r="C60" s="174" t="s">
        <v>0</v>
      </c>
      <c r="D60" s="173">
        <v>1586263</v>
      </c>
      <c r="E60" s="173">
        <v>0</v>
      </c>
    </row>
    <row r="61" spans="1:5" x14ac:dyDescent="0.3">
      <c r="A61" s="173">
        <v>0</v>
      </c>
      <c r="B61" s="173">
        <v>0</v>
      </c>
      <c r="C61" s="174" t="s">
        <v>285</v>
      </c>
      <c r="D61" s="173">
        <v>413543300</v>
      </c>
      <c r="E61" s="173">
        <v>413543300</v>
      </c>
    </row>
    <row r="62" spans="1:5" x14ac:dyDescent="0.3">
      <c r="A62" s="173">
        <v>50277460</v>
      </c>
      <c r="B62" s="173">
        <v>50277460</v>
      </c>
      <c r="C62" s="174" t="s">
        <v>286</v>
      </c>
      <c r="D62" s="173">
        <v>0</v>
      </c>
      <c r="E62" s="173">
        <v>0</v>
      </c>
    </row>
    <row r="63" spans="1:5" x14ac:dyDescent="0.3">
      <c r="A63" s="173">
        <v>706118195239</v>
      </c>
      <c r="B63" s="173">
        <v>1754371402636</v>
      </c>
      <c r="C63" s="174" t="s">
        <v>47</v>
      </c>
      <c r="D63" s="173">
        <v>1048253207397</v>
      </c>
      <c r="E63" s="173">
        <v>0</v>
      </c>
    </row>
    <row r="64" spans="1:5" x14ac:dyDescent="0.3">
      <c r="A64" s="173">
        <v>0</v>
      </c>
      <c r="B64" s="173">
        <v>49462545789</v>
      </c>
      <c r="C64" s="174" t="s">
        <v>42</v>
      </c>
      <c r="D64" s="173">
        <v>120179548602</v>
      </c>
      <c r="E64" s="173">
        <v>70717002813</v>
      </c>
    </row>
    <row r="65" spans="1:5" x14ac:dyDescent="0.3">
      <c r="A65" s="173">
        <v>0</v>
      </c>
      <c r="B65" s="173">
        <v>95080000</v>
      </c>
      <c r="C65" s="174" t="s">
        <v>5</v>
      </c>
      <c r="D65" s="173">
        <v>95080000</v>
      </c>
      <c r="E65" s="173">
        <v>0</v>
      </c>
    </row>
    <row r="66" spans="1:5" x14ac:dyDescent="0.3">
      <c r="A66" s="173">
        <v>8662851127</v>
      </c>
      <c r="B66" s="173">
        <v>10119697340</v>
      </c>
      <c r="C66" s="174" t="s">
        <v>43</v>
      </c>
      <c r="D66" s="173">
        <v>1456846213</v>
      </c>
      <c r="E66" s="173">
        <v>0</v>
      </c>
    </row>
    <row r="67" spans="1:5" x14ac:dyDescent="0.3">
      <c r="A67" s="173">
        <v>0</v>
      </c>
      <c r="B67" s="173">
        <v>734087659</v>
      </c>
      <c r="C67" s="174" t="s">
        <v>39</v>
      </c>
      <c r="D67" s="173">
        <v>7082615055</v>
      </c>
      <c r="E67" s="173">
        <v>6348527396</v>
      </c>
    </row>
    <row r="68" spans="1:5" x14ac:dyDescent="0.3">
      <c r="A68" s="173">
        <v>90433608</v>
      </c>
      <c r="B68" s="173">
        <v>90433608</v>
      </c>
      <c r="C68" s="174" t="s">
        <v>48</v>
      </c>
      <c r="D68" s="173">
        <v>0</v>
      </c>
      <c r="E68" s="173">
        <v>0</v>
      </c>
    </row>
    <row r="69" spans="1:5" x14ac:dyDescent="0.3">
      <c r="A69" s="173">
        <v>0</v>
      </c>
      <c r="B69" s="173">
        <v>4521754</v>
      </c>
      <c r="C69" s="174" t="s">
        <v>129</v>
      </c>
      <c r="D69" s="173">
        <v>74344739</v>
      </c>
      <c r="E69" s="173">
        <v>69822985</v>
      </c>
    </row>
    <row r="70" spans="1:5" x14ac:dyDescent="0.3">
      <c r="A70" s="173">
        <v>0</v>
      </c>
      <c r="B70" s="173">
        <v>0</v>
      </c>
      <c r="C70" s="174" t="s">
        <v>126</v>
      </c>
      <c r="D70" s="173">
        <v>20610623</v>
      </c>
      <c r="E70" s="173">
        <v>20610623</v>
      </c>
    </row>
    <row r="71" spans="1:5" x14ac:dyDescent="0.3">
      <c r="A71" s="173">
        <v>3615118464</v>
      </c>
      <c r="B71" s="173">
        <v>4553085639</v>
      </c>
      <c r="C71" s="174" t="s">
        <v>45</v>
      </c>
      <c r="D71" s="173">
        <v>937967175</v>
      </c>
      <c r="E71" s="173">
        <v>0</v>
      </c>
    </row>
    <row r="72" spans="1:5" x14ac:dyDescent="0.3">
      <c r="A72" s="173">
        <v>0</v>
      </c>
      <c r="B72" s="173">
        <v>1063331784</v>
      </c>
      <c r="C72" s="174" t="s">
        <v>134</v>
      </c>
      <c r="D72" s="173">
        <v>4328384401</v>
      </c>
      <c r="E72" s="173">
        <v>3265052617</v>
      </c>
    </row>
    <row r="73" spans="1:5" x14ac:dyDescent="0.3">
      <c r="A73" s="173">
        <v>0</v>
      </c>
      <c r="B73" s="173">
        <v>15632619</v>
      </c>
      <c r="C73" s="174" t="s">
        <v>131</v>
      </c>
      <c r="D73" s="173">
        <v>365698466</v>
      </c>
      <c r="E73" s="173">
        <v>350065847</v>
      </c>
    </row>
    <row r="74" spans="1:5" x14ac:dyDescent="0.3">
      <c r="A74" s="173">
        <v>9388679657</v>
      </c>
      <c r="B74" s="173">
        <v>9388679657</v>
      </c>
      <c r="C74" s="174" t="s">
        <v>52</v>
      </c>
      <c r="D74" s="173">
        <v>0</v>
      </c>
      <c r="E74" s="173">
        <v>0</v>
      </c>
    </row>
    <row r="75" spans="1:5" x14ac:dyDescent="0.3">
      <c r="A75" s="173">
        <v>0</v>
      </c>
      <c r="B75" s="173">
        <v>417228912</v>
      </c>
      <c r="C75" s="174" t="s">
        <v>135</v>
      </c>
      <c r="D75" s="173">
        <v>6243670622</v>
      </c>
      <c r="E75" s="173">
        <v>5826441710</v>
      </c>
    </row>
    <row r="76" spans="1:5" x14ac:dyDescent="0.3">
      <c r="A76" s="173">
        <v>0</v>
      </c>
      <c r="B76" s="173">
        <v>0</v>
      </c>
      <c r="C76" s="174" t="s">
        <v>128</v>
      </c>
      <c r="D76" s="173">
        <v>3562237947</v>
      </c>
      <c r="E76" s="173">
        <v>3562237947</v>
      </c>
    </row>
    <row r="77" spans="1:5" x14ac:dyDescent="0.3">
      <c r="A77" s="173">
        <v>57992098499</v>
      </c>
      <c r="B77" s="173">
        <v>57992098499</v>
      </c>
      <c r="C77" s="174" t="s">
        <v>55</v>
      </c>
      <c r="D77" s="173">
        <v>0</v>
      </c>
      <c r="E77" s="173">
        <v>0</v>
      </c>
    </row>
    <row r="78" spans="1:5" x14ac:dyDescent="0.3">
      <c r="A78" s="173">
        <v>0</v>
      </c>
      <c r="B78" s="173">
        <v>1732349222</v>
      </c>
      <c r="C78" s="174" t="s">
        <v>132</v>
      </c>
      <c r="D78" s="173">
        <v>46061935661</v>
      </c>
      <c r="E78" s="173">
        <v>44329586439</v>
      </c>
    </row>
    <row r="79" spans="1:5" x14ac:dyDescent="0.3">
      <c r="A79" s="173">
        <v>0</v>
      </c>
      <c r="B79" s="173">
        <v>0</v>
      </c>
      <c r="C79" s="174" t="s">
        <v>127</v>
      </c>
      <c r="D79" s="173">
        <v>13662512060</v>
      </c>
      <c r="E79" s="173">
        <v>13662512060</v>
      </c>
    </row>
    <row r="80" spans="1:5" x14ac:dyDescent="0.3">
      <c r="A80" s="173">
        <v>35290883</v>
      </c>
      <c r="B80" s="173">
        <v>35290883</v>
      </c>
      <c r="C80" s="174" t="s">
        <v>2</v>
      </c>
      <c r="D80" s="173">
        <v>0</v>
      </c>
      <c r="E80" s="173">
        <v>0</v>
      </c>
    </row>
    <row r="81" spans="1:5" x14ac:dyDescent="0.3">
      <c r="A81" s="173">
        <v>0</v>
      </c>
      <c r="B81" s="173">
        <v>3276152</v>
      </c>
      <c r="C81" s="174" t="s">
        <v>133</v>
      </c>
      <c r="D81" s="173">
        <v>19657913</v>
      </c>
      <c r="E81" s="173">
        <v>16381761</v>
      </c>
    </row>
    <row r="82" spans="1:5" x14ac:dyDescent="0.3">
      <c r="A82" s="173">
        <v>0</v>
      </c>
      <c r="B82" s="173">
        <v>0</v>
      </c>
      <c r="C82" s="174" t="s">
        <v>130</v>
      </c>
      <c r="D82" s="173">
        <v>18909122</v>
      </c>
      <c r="E82" s="173">
        <v>18909122</v>
      </c>
    </row>
    <row r="83" spans="1:5" x14ac:dyDescent="0.3">
      <c r="A83" s="173">
        <v>5483768216</v>
      </c>
      <c r="B83" s="173">
        <v>5485602133</v>
      </c>
      <c r="C83" s="174" t="s">
        <v>1</v>
      </c>
      <c r="D83" s="173">
        <v>1833917</v>
      </c>
      <c r="E83" s="173">
        <v>0</v>
      </c>
    </row>
    <row r="84" spans="1:5" x14ac:dyDescent="0.3">
      <c r="A84" s="173">
        <v>0</v>
      </c>
      <c r="B84" s="173">
        <v>0</v>
      </c>
      <c r="C84" s="174" t="s">
        <v>136</v>
      </c>
      <c r="D84" s="173">
        <v>3046586791</v>
      </c>
      <c r="E84" s="173">
        <v>3046586791</v>
      </c>
    </row>
    <row r="85" spans="1:5" x14ac:dyDescent="0.3">
      <c r="A85" s="173">
        <v>0</v>
      </c>
      <c r="B85" s="173">
        <v>228482</v>
      </c>
      <c r="C85" s="174" t="s">
        <v>137</v>
      </c>
      <c r="D85" s="173">
        <v>2437409907</v>
      </c>
      <c r="E85" s="173">
        <v>2437181425</v>
      </c>
    </row>
    <row r="86" spans="1:5" x14ac:dyDescent="0.3">
      <c r="A86" s="173">
        <v>480735841</v>
      </c>
      <c r="B86" s="173">
        <v>5650338228</v>
      </c>
      <c r="C86" s="174" t="s">
        <v>36</v>
      </c>
      <c r="D86" s="173">
        <v>5169602387</v>
      </c>
      <c r="E86" s="173">
        <v>0</v>
      </c>
    </row>
    <row r="87" spans="1:5" x14ac:dyDescent="0.3">
      <c r="A87" s="173">
        <v>0</v>
      </c>
      <c r="B87" s="173">
        <v>3787463431</v>
      </c>
      <c r="C87" s="174" t="s">
        <v>4</v>
      </c>
      <c r="D87" s="173">
        <v>4268199272</v>
      </c>
      <c r="E87" s="173">
        <v>480735841</v>
      </c>
    </row>
    <row r="88" spans="1:5" x14ac:dyDescent="0.3">
      <c r="A88" s="173">
        <v>119378273</v>
      </c>
      <c r="B88" s="173">
        <v>146704032</v>
      </c>
      <c r="C88" s="174" t="s">
        <v>15</v>
      </c>
      <c r="D88" s="173">
        <v>27325759</v>
      </c>
      <c r="E88" s="173">
        <v>0</v>
      </c>
    </row>
    <row r="89" spans="1:5" x14ac:dyDescent="0.3">
      <c r="A89" s="173">
        <v>1454627</v>
      </c>
      <c r="B89" s="173">
        <v>3047577</v>
      </c>
      <c r="C89" s="174" t="s">
        <v>53</v>
      </c>
      <c r="D89" s="173">
        <v>1592950</v>
      </c>
      <c r="E89" s="173">
        <v>0</v>
      </c>
    </row>
    <row r="90" spans="1:5" x14ac:dyDescent="0.3">
      <c r="A90" s="173">
        <v>293353</v>
      </c>
      <c r="B90" s="173">
        <v>755753</v>
      </c>
      <c r="C90" s="174" t="s">
        <v>19</v>
      </c>
      <c r="D90" s="173">
        <v>462400</v>
      </c>
      <c r="E90" s="173">
        <v>0</v>
      </c>
    </row>
    <row r="91" spans="1:5" x14ac:dyDescent="0.3">
      <c r="A91" s="173">
        <v>27447873</v>
      </c>
      <c r="B91" s="173">
        <v>34977864</v>
      </c>
      <c r="C91" s="174" t="s">
        <v>16</v>
      </c>
      <c r="D91" s="173">
        <v>7529991</v>
      </c>
      <c r="E91" s="173">
        <v>0</v>
      </c>
    </row>
    <row r="92" spans="1:5" x14ac:dyDescent="0.3">
      <c r="A92" s="173">
        <v>99598023461</v>
      </c>
      <c r="B92" s="173">
        <v>99826164981</v>
      </c>
      <c r="C92" s="174" t="s">
        <v>289</v>
      </c>
      <c r="D92" s="173">
        <v>228141520</v>
      </c>
      <c r="E92" s="173">
        <v>0</v>
      </c>
    </row>
    <row r="93" spans="1:5" x14ac:dyDescent="0.3">
      <c r="A93" s="173">
        <v>9587171903</v>
      </c>
      <c r="B93" s="173">
        <v>13022182982</v>
      </c>
      <c r="C93" s="174" t="s">
        <v>290</v>
      </c>
      <c r="D93" s="173">
        <v>3435011079</v>
      </c>
      <c r="E93" s="173">
        <v>0</v>
      </c>
    </row>
    <row r="94" spans="1:5" x14ac:dyDescent="0.3">
      <c r="A94" s="173">
        <v>1330743711</v>
      </c>
      <c r="B94" s="173">
        <v>1598498711</v>
      </c>
      <c r="C94" s="174" t="s">
        <v>3</v>
      </c>
      <c r="D94" s="173">
        <v>267755000</v>
      </c>
      <c r="E94" s="173">
        <v>0</v>
      </c>
    </row>
    <row r="95" spans="1:5" x14ac:dyDescent="0.3">
      <c r="A95" s="173">
        <v>0</v>
      </c>
      <c r="B95" s="173">
        <v>306855418</v>
      </c>
      <c r="C95" s="174" t="s">
        <v>138</v>
      </c>
      <c r="D95" s="173">
        <v>899900228</v>
      </c>
      <c r="E95" s="173">
        <v>593044810</v>
      </c>
    </row>
    <row r="96" spans="1:5" x14ac:dyDescent="0.3">
      <c r="A96" s="173">
        <v>0</v>
      </c>
      <c r="B96" s="173">
        <v>8925167</v>
      </c>
      <c r="C96" s="174" t="s">
        <v>139</v>
      </c>
      <c r="D96" s="173">
        <v>746624068</v>
      </c>
      <c r="E96" s="173">
        <v>737698901</v>
      </c>
    </row>
    <row r="97" spans="1:5" x14ac:dyDescent="0.3">
      <c r="A97" s="173">
        <v>1241309884</v>
      </c>
      <c r="B97" s="173">
        <v>1241309884</v>
      </c>
      <c r="C97" s="174" t="s">
        <v>291</v>
      </c>
      <c r="D97" s="173">
        <v>0</v>
      </c>
      <c r="E97" s="173">
        <v>0</v>
      </c>
    </row>
    <row r="98" spans="1:5" x14ac:dyDescent="0.3">
      <c r="A98" s="173">
        <v>0</v>
      </c>
      <c r="B98" s="173">
        <v>0</v>
      </c>
      <c r="C98" s="174" t="s">
        <v>292</v>
      </c>
      <c r="D98" s="173">
        <v>1179746238</v>
      </c>
      <c r="E98" s="173">
        <v>1179746238</v>
      </c>
    </row>
    <row r="99" spans="1:5" x14ac:dyDescent="0.3">
      <c r="A99" s="173">
        <v>2293965500</v>
      </c>
      <c r="B99" s="173">
        <v>2396665500</v>
      </c>
      <c r="C99" s="174" t="s">
        <v>293</v>
      </c>
      <c r="D99" s="173">
        <v>102700000</v>
      </c>
      <c r="E99" s="173">
        <v>0</v>
      </c>
    </row>
    <row r="100" spans="1:5" x14ac:dyDescent="0.3">
      <c r="A100" s="173">
        <v>15702732340</v>
      </c>
      <c r="B100" s="173">
        <v>16441580308</v>
      </c>
      <c r="C100" s="174" t="s">
        <v>294</v>
      </c>
      <c r="D100" s="173">
        <v>738847968</v>
      </c>
      <c r="E100" s="173">
        <v>0</v>
      </c>
    </row>
    <row r="101" spans="1:5" x14ac:dyDescent="0.3">
      <c r="A101" s="173">
        <v>0</v>
      </c>
      <c r="B101" s="173">
        <v>1130000000000</v>
      </c>
      <c r="C101" s="174" t="s">
        <v>295</v>
      </c>
      <c r="D101" s="173">
        <v>1430000000000</v>
      </c>
      <c r="E101" s="173">
        <v>300000000000</v>
      </c>
    </row>
    <row r="102" spans="1:5" x14ac:dyDescent="0.3">
      <c r="A102" s="173">
        <v>0</v>
      </c>
      <c r="B102" s="173">
        <v>35905528726</v>
      </c>
      <c r="C102" s="174" t="s">
        <v>296</v>
      </c>
      <c r="D102" s="173">
        <v>35905528726</v>
      </c>
      <c r="E102" s="173">
        <v>0</v>
      </c>
    </row>
    <row r="103" spans="1:5" x14ac:dyDescent="0.3">
      <c r="A103" s="173">
        <v>0</v>
      </c>
      <c r="B103" s="173">
        <v>2434488070610</v>
      </c>
      <c r="C103" s="174" t="s">
        <v>297</v>
      </c>
      <c r="D103" s="173">
        <v>2760833153511</v>
      </c>
      <c r="E103" s="173">
        <v>326345082901</v>
      </c>
    </row>
    <row r="104" spans="1:5" x14ac:dyDescent="0.3">
      <c r="A104" s="173">
        <v>0</v>
      </c>
      <c r="B104" s="173">
        <v>2365656983991</v>
      </c>
      <c r="C104" s="174" t="s">
        <v>17</v>
      </c>
      <c r="D104" s="173">
        <v>2368042672905</v>
      </c>
      <c r="E104" s="173">
        <v>2385688914</v>
      </c>
    </row>
    <row r="105" spans="1:5" x14ac:dyDescent="0.3">
      <c r="A105" s="173">
        <v>0</v>
      </c>
      <c r="B105" s="173">
        <v>437118621286</v>
      </c>
      <c r="C105" s="174" t="s">
        <v>18</v>
      </c>
      <c r="D105" s="173">
        <v>513323015129</v>
      </c>
      <c r="E105" s="173">
        <v>76204393843</v>
      </c>
    </row>
    <row r="106" spans="1:5" x14ac:dyDescent="0.3">
      <c r="A106" s="173">
        <v>0</v>
      </c>
      <c r="B106" s="173">
        <v>1100552106159</v>
      </c>
      <c r="C106" s="174" t="s">
        <v>298</v>
      </c>
      <c r="D106" s="173">
        <v>1349635497566</v>
      </c>
      <c r="E106" s="173">
        <v>249083391407</v>
      </c>
    </row>
    <row r="107" spans="1:5" x14ac:dyDescent="0.3">
      <c r="A107" s="173">
        <v>0</v>
      </c>
      <c r="B107" s="173">
        <v>34475327764</v>
      </c>
      <c r="C107" s="174" t="s">
        <v>54</v>
      </c>
      <c r="D107" s="173">
        <v>39276488311</v>
      </c>
      <c r="E107" s="173">
        <v>4801160547</v>
      </c>
    </row>
    <row r="108" spans="1:5" x14ac:dyDescent="0.3">
      <c r="A108" s="173">
        <v>0</v>
      </c>
      <c r="B108" s="173">
        <v>495375000000</v>
      </c>
      <c r="C108" s="174" t="s">
        <v>299</v>
      </c>
      <c r="D108" s="173">
        <v>823275000000</v>
      </c>
      <c r="E108" s="173">
        <v>327900000000</v>
      </c>
    </row>
    <row r="109" spans="1:5" x14ac:dyDescent="0.3">
      <c r="A109" s="173">
        <v>0</v>
      </c>
      <c r="B109" s="173">
        <v>66188475764</v>
      </c>
      <c r="C109" s="174" t="s">
        <v>20</v>
      </c>
      <c r="D109" s="173">
        <v>74676263491</v>
      </c>
      <c r="E109" s="173">
        <v>8487787727</v>
      </c>
    </row>
    <row r="110" spans="1:5" x14ac:dyDescent="0.3">
      <c r="A110" s="173">
        <v>0</v>
      </c>
      <c r="B110" s="173">
        <v>2215467927</v>
      </c>
      <c r="C110" s="174" t="s">
        <v>50</v>
      </c>
      <c r="D110" s="173">
        <v>5162216562</v>
      </c>
      <c r="E110" s="173">
        <v>2946748635</v>
      </c>
    </row>
    <row r="111" spans="1:5" x14ac:dyDescent="0.3">
      <c r="A111" s="173">
        <v>0</v>
      </c>
      <c r="B111" s="173">
        <v>245037871341</v>
      </c>
      <c r="C111" s="238" t="s">
        <v>477</v>
      </c>
      <c r="D111" s="173">
        <v>343470794392</v>
      </c>
      <c r="E111" s="173">
        <v>98432923051</v>
      </c>
    </row>
    <row r="112" spans="1:5" s="123" customFormat="1" x14ac:dyDescent="0.3">
      <c r="A112" s="173">
        <v>0</v>
      </c>
      <c r="B112" s="173">
        <v>0</v>
      </c>
      <c r="C112" s="238" t="s">
        <v>478</v>
      </c>
      <c r="D112" s="173">
        <v>11728399207</v>
      </c>
      <c r="E112" s="173">
        <v>11728399207</v>
      </c>
    </row>
    <row r="113" spans="1:10" x14ac:dyDescent="0.3">
      <c r="A113" s="173">
        <v>0</v>
      </c>
      <c r="B113" s="173">
        <v>540000000000</v>
      </c>
      <c r="C113" s="174" t="s">
        <v>14</v>
      </c>
      <c r="D113" s="173">
        <v>1978000000000</v>
      </c>
      <c r="E113" s="173">
        <v>1438000000000</v>
      </c>
      <c r="G113" s="30">
        <f>SUM(E113:E124)-A114-A118-A121</f>
        <v>4845154595212</v>
      </c>
    </row>
    <row r="114" spans="1:10" x14ac:dyDescent="0.3">
      <c r="A114" s="173">
        <v>253082766</v>
      </c>
      <c r="B114" s="173">
        <v>295806271</v>
      </c>
      <c r="C114" s="174" t="s">
        <v>51</v>
      </c>
      <c r="D114" s="173">
        <v>42723505</v>
      </c>
      <c r="E114" s="173">
        <v>0</v>
      </c>
    </row>
    <row r="115" spans="1:10" x14ac:dyDescent="0.3">
      <c r="A115" s="173">
        <v>0</v>
      </c>
      <c r="B115" s="173">
        <v>310500000000</v>
      </c>
      <c r="C115" s="174" t="s">
        <v>300</v>
      </c>
      <c r="D115" s="173">
        <v>1732809320000</v>
      </c>
      <c r="E115" s="173">
        <v>1422309320000</v>
      </c>
    </row>
    <row r="116" spans="1:10" x14ac:dyDescent="0.3">
      <c r="A116" s="173">
        <v>0</v>
      </c>
      <c r="B116" s="173">
        <v>317400000000</v>
      </c>
      <c r="C116" s="174" t="s">
        <v>301</v>
      </c>
      <c r="D116" s="173">
        <v>317400000000</v>
      </c>
      <c r="E116" s="173">
        <v>0</v>
      </c>
    </row>
    <row r="117" spans="1:10" x14ac:dyDescent="0.3">
      <c r="A117" s="173">
        <v>0</v>
      </c>
      <c r="B117" s="173">
        <v>2941483947</v>
      </c>
      <c r="C117" s="174" t="s">
        <v>302</v>
      </c>
      <c r="D117" s="173">
        <v>4315757720</v>
      </c>
      <c r="E117" s="173">
        <v>1374273773</v>
      </c>
    </row>
    <row r="118" spans="1:10" x14ac:dyDescent="0.3">
      <c r="A118" s="173">
        <v>30593181</v>
      </c>
      <c r="B118" s="173">
        <v>155947751</v>
      </c>
      <c r="C118" s="174" t="s">
        <v>303</v>
      </c>
      <c r="D118" s="173">
        <v>125354570</v>
      </c>
      <c r="E118" s="173">
        <v>0</v>
      </c>
    </row>
    <row r="119" spans="1:10" x14ac:dyDescent="0.3">
      <c r="A119" s="173">
        <v>0</v>
      </c>
      <c r="B119" s="173">
        <v>41812723277</v>
      </c>
      <c r="C119" s="174" t="s">
        <v>44</v>
      </c>
      <c r="D119" s="173">
        <v>107092036543</v>
      </c>
      <c r="E119" s="173">
        <v>65279313266</v>
      </c>
    </row>
    <row r="120" spans="1:10" x14ac:dyDescent="0.3">
      <c r="A120" s="173">
        <v>0</v>
      </c>
      <c r="B120" s="173">
        <v>93523114265</v>
      </c>
      <c r="C120" s="174" t="s">
        <v>304</v>
      </c>
      <c r="D120" s="173">
        <v>1240321513098</v>
      </c>
      <c r="E120" s="173">
        <v>1146798398833</v>
      </c>
    </row>
    <row r="121" spans="1:10" x14ac:dyDescent="0.3">
      <c r="A121" s="173">
        <v>290831970</v>
      </c>
      <c r="B121" s="173">
        <v>294417770</v>
      </c>
      <c r="C121" s="174" t="s">
        <v>49</v>
      </c>
      <c r="D121" s="173">
        <v>3585800</v>
      </c>
      <c r="E121" s="173">
        <v>0</v>
      </c>
    </row>
    <row r="122" spans="1:10" x14ac:dyDescent="0.3">
      <c r="A122" s="173">
        <v>0</v>
      </c>
      <c r="B122" s="173">
        <v>7725908783</v>
      </c>
      <c r="C122" s="174" t="s">
        <v>46</v>
      </c>
      <c r="D122" s="173">
        <v>38316170146</v>
      </c>
      <c r="E122" s="173">
        <v>30590261363</v>
      </c>
    </row>
    <row r="123" spans="1:10" x14ac:dyDescent="0.3">
      <c r="A123" s="173">
        <v>0</v>
      </c>
      <c r="B123" s="173">
        <v>49800364549</v>
      </c>
      <c r="C123" s="174" t="s">
        <v>305</v>
      </c>
      <c r="D123" s="173">
        <v>116573874046</v>
      </c>
      <c r="E123" s="173">
        <v>66773509497</v>
      </c>
    </row>
    <row r="124" spans="1:10" s="123" customFormat="1" x14ac:dyDescent="0.3">
      <c r="A124" s="173"/>
      <c r="B124" s="173">
        <v>0</v>
      </c>
      <c r="C124" s="238" t="s">
        <v>479</v>
      </c>
      <c r="D124" s="173">
        <v>674604026397</v>
      </c>
      <c r="E124" s="173">
        <v>674604026397</v>
      </c>
      <c r="I124" s="30"/>
    </row>
    <row r="125" spans="1:10" x14ac:dyDescent="0.3">
      <c r="A125" s="173">
        <v>0</v>
      </c>
      <c r="B125" s="173">
        <v>400000000</v>
      </c>
      <c r="C125" s="174" t="s">
        <v>306</v>
      </c>
      <c r="D125" s="173">
        <v>20999441485107</v>
      </c>
      <c r="E125" s="173">
        <v>20999041485107</v>
      </c>
    </row>
    <row r="126" spans="1:10" x14ac:dyDescent="0.3">
      <c r="A126" s="173">
        <v>0</v>
      </c>
      <c r="B126" s="173">
        <v>0</v>
      </c>
      <c r="C126" s="174" t="s">
        <v>307</v>
      </c>
      <c r="D126" s="173">
        <v>1806666340</v>
      </c>
      <c r="E126" s="173">
        <v>1806666340</v>
      </c>
    </row>
    <row r="127" spans="1:10" x14ac:dyDescent="0.3">
      <c r="A127" s="173">
        <v>0</v>
      </c>
      <c r="B127" s="173">
        <v>0</v>
      </c>
      <c r="C127" s="174" t="s">
        <v>308</v>
      </c>
      <c r="D127" s="173">
        <v>44255600</v>
      </c>
      <c r="E127" s="173">
        <v>44255600</v>
      </c>
    </row>
    <row r="128" spans="1:10" x14ac:dyDescent="0.3">
      <c r="A128" s="173">
        <v>0</v>
      </c>
      <c r="B128" s="173">
        <v>676981368253</v>
      </c>
      <c r="C128" s="174" t="s">
        <v>309</v>
      </c>
      <c r="D128" s="173">
        <v>2831323854838</v>
      </c>
      <c r="E128" s="173">
        <v>2154342486585</v>
      </c>
      <c r="I128" s="30"/>
      <c r="J128" s="30"/>
    </row>
    <row r="129" spans="1:9" s="123" customFormat="1" x14ac:dyDescent="0.3">
      <c r="A129" s="173"/>
      <c r="B129" s="173"/>
      <c r="C129" s="238" t="s">
        <v>480</v>
      </c>
      <c r="D129" s="173">
        <v>337110</v>
      </c>
      <c r="E129" s="173">
        <v>337110</v>
      </c>
      <c r="I129" s="30"/>
    </row>
    <row r="130" spans="1:9" x14ac:dyDescent="0.3">
      <c r="A130" s="173">
        <v>14954704799743</v>
      </c>
      <c r="B130" s="173">
        <v>14954704799743</v>
      </c>
      <c r="C130" s="174" t="s">
        <v>310</v>
      </c>
      <c r="D130" s="173">
        <v>0</v>
      </c>
      <c r="E130" s="173">
        <v>0</v>
      </c>
    </row>
    <row r="131" spans="1:9" x14ac:dyDescent="0.3">
      <c r="A131" s="175">
        <v>0</v>
      </c>
      <c r="B131" s="175">
        <v>0</v>
      </c>
      <c r="C131" s="176" t="s">
        <v>311</v>
      </c>
      <c r="D131" s="175">
        <v>1193190739339</v>
      </c>
      <c r="E131" s="175">
        <v>1193190739339</v>
      </c>
    </row>
    <row r="132" spans="1:9" x14ac:dyDescent="0.3">
      <c r="A132" s="175">
        <v>0</v>
      </c>
      <c r="B132" s="175">
        <v>0</v>
      </c>
      <c r="C132" s="176" t="s">
        <v>312</v>
      </c>
      <c r="D132" s="175">
        <v>182975978871</v>
      </c>
      <c r="E132" s="175">
        <v>182975978871</v>
      </c>
    </row>
    <row r="133" spans="1:9" x14ac:dyDescent="0.3">
      <c r="A133" s="175">
        <v>0</v>
      </c>
      <c r="B133" s="175">
        <v>0</v>
      </c>
      <c r="C133" s="176" t="s">
        <v>313</v>
      </c>
      <c r="D133" s="175">
        <v>93151926610</v>
      </c>
      <c r="E133" s="175">
        <v>93151926610</v>
      </c>
    </row>
    <row r="134" spans="1:9" x14ac:dyDescent="0.3">
      <c r="A134" s="175">
        <v>0</v>
      </c>
      <c r="B134" s="175">
        <v>0</v>
      </c>
      <c r="C134" s="176" t="s">
        <v>314</v>
      </c>
      <c r="D134" s="175">
        <v>90206025202</v>
      </c>
      <c r="E134" s="175">
        <v>90206025202</v>
      </c>
    </row>
    <row r="135" spans="1:9" x14ac:dyDescent="0.3">
      <c r="A135" s="239"/>
      <c r="B135" s="239"/>
      <c r="C135" s="240" t="s">
        <v>315</v>
      </c>
      <c r="D135" s="239"/>
      <c r="E135" s="239"/>
    </row>
    <row r="136" spans="1:9" x14ac:dyDescent="0.3">
      <c r="A136" s="175">
        <v>959689254264</v>
      </c>
      <c r="B136" s="175">
        <v>959689254264</v>
      </c>
      <c r="C136" s="176" t="s">
        <v>316</v>
      </c>
      <c r="D136" s="175">
        <v>0</v>
      </c>
      <c r="E136" s="175">
        <v>0</v>
      </c>
    </row>
    <row r="137" spans="1:9" x14ac:dyDescent="0.3">
      <c r="A137" s="175">
        <v>162220852500</v>
      </c>
      <c r="B137" s="175">
        <v>162220852500</v>
      </c>
      <c r="C137" s="176" t="s">
        <v>317</v>
      </c>
      <c r="D137" s="175">
        <v>0</v>
      </c>
      <c r="E137" s="175">
        <v>0</v>
      </c>
    </row>
    <row r="138" spans="1:9" x14ac:dyDescent="0.3">
      <c r="A138" s="175">
        <v>156295806480</v>
      </c>
      <c r="B138" s="175">
        <v>156295806480</v>
      </c>
      <c r="C138" s="176" t="s">
        <v>318</v>
      </c>
      <c r="D138" s="175">
        <v>0</v>
      </c>
      <c r="E138" s="175">
        <v>0</v>
      </c>
    </row>
    <row r="139" spans="1:9" x14ac:dyDescent="0.3">
      <c r="A139" s="175">
        <v>154762818622</v>
      </c>
      <c r="B139" s="175">
        <v>154762818622</v>
      </c>
      <c r="C139" s="176" t="s">
        <v>319</v>
      </c>
      <c r="D139" s="175">
        <v>0</v>
      </c>
      <c r="E139" s="175">
        <v>0</v>
      </c>
    </row>
    <row r="140" spans="1:9" x14ac:dyDescent="0.3">
      <c r="A140" s="175">
        <v>430849442</v>
      </c>
      <c r="B140" s="175">
        <v>430849442</v>
      </c>
      <c r="C140" s="176" t="s">
        <v>320</v>
      </c>
      <c r="D140" s="175">
        <v>0</v>
      </c>
      <c r="E140" s="175">
        <v>0</v>
      </c>
    </row>
    <row r="141" spans="1:9" x14ac:dyDescent="0.3">
      <c r="A141" s="175">
        <v>185993828237</v>
      </c>
      <c r="B141" s="175">
        <v>185993828237</v>
      </c>
      <c r="C141" s="176" t="s">
        <v>321</v>
      </c>
      <c r="D141" s="175">
        <v>0</v>
      </c>
      <c r="E141" s="175">
        <v>0</v>
      </c>
    </row>
    <row r="142" spans="1:9" x14ac:dyDescent="0.3">
      <c r="A142" s="175">
        <v>15916534165</v>
      </c>
      <c r="B142" s="175">
        <v>15916534165</v>
      </c>
      <c r="C142" s="176" t="s">
        <v>322</v>
      </c>
      <c r="D142" s="175">
        <v>0</v>
      </c>
      <c r="E142" s="175">
        <v>0</v>
      </c>
    </row>
    <row r="143" spans="1:9" x14ac:dyDescent="0.3">
      <c r="A143" s="175">
        <v>4669912388</v>
      </c>
      <c r="B143" s="175">
        <v>4669912388</v>
      </c>
      <c r="C143" s="176" t="s">
        <v>323</v>
      </c>
      <c r="D143" s="175">
        <v>0</v>
      </c>
      <c r="E143" s="175">
        <v>0</v>
      </c>
    </row>
    <row r="144" spans="1:9" x14ac:dyDescent="0.3">
      <c r="A144" s="175">
        <v>677267596</v>
      </c>
      <c r="B144" s="175">
        <v>677267596</v>
      </c>
      <c r="C144" s="176" t="s">
        <v>324</v>
      </c>
      <c r="D144" s="175">
        <v>0</v>
      </c>
      <c r="E144" s="175">
        <v>0</v>
      </c>
    </row>
    <row r="145" spans="1:5" x14ac:dyDescent="0.3">
      <c r="A145" s="175">
        <v>2389558159</v>
      </c>
      <c r="B145" s="175">
        <v>2389558159</v>
      </c>
      <c r="C145" s="176" t="s">
        <v>325</v>
      </c>
      <c r="D145" s="175">
        <v>0</v>
      </c>
      <c r="E145" s="175">
        <v>0</v>
      </c>
    </row>
    <row r="146" spans="1:5" x14ac:dyDescent="0.3">
      <c r="A146" s="175">
        <v>389974176072</v>
      </c>
      <c r="B146" s="175">
        <v>389974176072</v>
      </c>
      <c r="C146" s="176" t="s">
        <v>326</v>
      </c>
      <c r="D146" s="175">
        <v>0</v>
      </c>
      <c r="E146" s="175">
        <v>0</v>
      </c>
    </row>
    <row r="147" spans="1:5" x14ac:dyDescent="0.3">
      <c r="A147" s="175">
        <v>86422777</v>
      </c>
      <c r="B147" s="175">
        <v>86422777</v>
      </c>
      <c r="C147" s="176" t="s">
        <v>327</v>
      </c>
      <c r="D147" s="175">
        <v>0</v>
      </c>
      <c r="E147" s="175">
        <v>0</v>
      </c>
    </row>
    <row r="148" spans="1:5" x14ac:dyDescent="0.3">
      <c r="A148" s="175">
        <v>41671145502</v>
      </c>
      <c r="B148" s="175">
        <v>41671145502</v>
      </c>
      <c r="C148" s="176" t="s">
        <v>328</v>
      </c>
      <c r="D148" s="175">
        <v>0</v>
      </c>
      <c r="E148" s="175">
        <v>0</v>
      </c>
    </row>
    <row r="149" spans="1:5" x14ac:dyDescent="0.3">
      <c r="A149" s="175">
        <v>383107082</v>
      </c>
      <c r="B149" s="175">
        <v>383107082</v>
      </c>
      <c r="C149" s="176" t="s">
        <v>329</v>
      </c>
      <c r="D149" s="175">
        <v>0</v>
      </c>
      <c r="E149" s="175">
        <v>0</v>
      </c>
    </row>
    <row r="150" spans="1:5" x14ac:dyDescent="0.3">
      <c r="A150" s="175">
        <v>1187393010</v>
      </c>
      <c r="B150" s="175">
        <v>1187393010</v>
      </c>
      <c r="C150" s="176" t="s">
        <v>330</v>
      </c>
      <c r="D150" s="175">
        <v>0</v>
      </c>
      <c r="E150" s="175">
        <v>0</v>
      </c>
    </row>
    <row r="151" spans="1:5" x14ac:dyDescent="0.3">
      <c r="A151" s="175">
        <v>287151014193</v>
      </c>
      <c r="B151" s="175">
        <v>287151014193</v>
      </c>
      <c r="C151" s="176" t="s">
        <v>331</v>
      </c>
      <c r="D151" s="175">
        <v>0</v>
      </c>
      <c r="E151" s="175">
        <v>0</v>
      </c>
    </row>
    <row r="152" spans="1:5" x14ac:dyDescent="0.3">
      <c r="A152" s="175">
        <v>4209850</v>
      </c>
      <c r="B152" s="175">
        <v>4209850</v>
      </c>
      <c r="C152" s="176" t="s">
        <v>332</v>
      </c>
      <c r="D152" s="175">
        <v>0</v>
      </c>
      <c r="E152" s="175">
        <v>0</v>
      </c>
    </row>
    <row r="153" spans="1:5" x14ac:dyDescent="0.3">
      <c r="A153" s="175">
        <v>5551390731</v>
      </c>
      <c r="B153" s="175">
        <v>5551390731</v>
      </c>
      <c r="C153" s="176" t="s">
        <v>333</v>
      </c>
      <c r="D153" s="175">
        <v>0</v>
      </c>
      <c r="E153" s="175">
        <v>0</v>
      </c>
    </row>
    <row r="154" spans="1:5" x14ac:dyDescent="0.3">
      <c r="A154" s="175">
        <v>570247621</v>
      </c>
      <c r="B154" s="175">
        <v>570247621</v>
      </c>
      <c r="C154" s="176" t="s">
        <v>334</v>
      </c>
      <c r="D154" s="175">
        <v>0</v>
      </c>
      <c r="E154" s="175">
        <v>0</v>
      </c>
    </row>
    <row r="155" spans="1:5" x14ac:dyDescent="0.3">
      <c r="A155" s="175">
        <v>1594509962</v>
      </c>
      <c r="B155" s="175">
        <v>1594509962</v>
      </c>
      <c r="C155" s="176" t="s">
        <v>335</v>
      </c>
      <c r="D155" s="175">
        <v>0</v>
      </c>
      <c r="E155" s="175">
        <v>0</v>
      </c>
    </row>
    <row r="156" spans="1:5" x14ac:dyDescent="0.3">
      <c r="A156" s="175">
        <v>47077216567</v>
      </c>
      <c r="B156" s="175">
        <v>47077216567</v>
      </c>
      <c r="C156" s="176" t="s">
        <v>336</v>
      </c>
      <c r="D156" s="175">
        <v>0</v>
      </c>
      <c r="E156" s="175">
        <v>0</v>
      </c>
    </row>
    <row r="157" spans="1:5" x14ac:dyDescent="0.3">
      <c r="A157" s="175">
        <v>16556868788</v>
      </c>
      <c r="B157" s="175">
        <v>16556868788</v>
      </c>
      <c r="C157" s="176" t="s">
        <v>337</v>
      </c>
      <c r="D157" s="175">
        <v>0</v>
      </c>
      <c r="E157" s="175">
        <v>0</v>
      </c>
    </row>
    <row r="158" spans="1:5" x14ac:dyDescent="0.3">
      <c r="A158" s="175">
        <v>0</v>
      </c>
      <c r="B158" s="175">
        <v>31757798905</v>
      </c>
      <c r="C158" s="176" t="s">
        <v>338</v>
      </c>
      <c r="D158" s="175">
        <v>31757798905</v>
      </c>
      <c r="E158" s="175">
        <v>0</v>
      </c>
    </row>
    <row r="159" spans="1:5" x14ac:dyDescent="0.3">
      <c r="A159" s="175">
        <v>0</v>
      </c>
      <c r="B159" s="175">
        <v>594415604144</v>
      </c>
      <c r="C159" s="176" t="s">
        <v>339</v>
      </c>
      <c r="D159" s="175">
        <v>594415604144</v>
      </c>
      <c r="E159" s="175">
        <v>0</v>
      </c>
    </row>
    <row r="160" spans="1:5" x14ac:dyDescent="0.3">
      <c r="A160" s="239"/>
      <c r="B160" s="239"/>
      <c r="C160" s="240" t="s">
        <v>340</v>
      </c>
      <c r="D160" s="239"/>
      <c r="E160" s="239"/>
    </row>
    <row r="161" spans="1:5" x14ac:dyDescent="0.3">
      <c r="A161" s="239">
        <v>34471252170</v>
      </c>
      <c r="B161" s="239">
        <v>34471252170</v>
      </c>
      <c r="C161" s="240" t="s">
        <v>316</v>
      </c>
      <c r="D161" s="239">
        <v>0</v>
      </c>
      <c r="E161" s="239">
        <v>0</v>
      </c>
    </row>
    <row r="162" spans="1:5" x14ac:dyDescent="0.3">
      <c r="A162" s="239">
        <v>5329606750</v>
      </c>
      <c r="B162" s="239">
        <v>5329606750</v>
      </c>
      <c r="C162" s="240" t="s">
        <v>317</v>
      </c>
      <c r="D162" s="239">
        <v>0</v>
      </c>
      <c r="E162" s="239">
        <v>0</v>
      </c>
    </row>
    <row r="163" spans="1:5" x14ac:dyDescent="0.3">
      <c r="A163" s="239">
        <v>3069832855</v>
      </c>
      <c r="B163" s="239">
        <v>3069832855</v>
      </c>
      <c r="C163" s="240" t="s">
        <v>318</v>
      </c>
      <c r="D163" s="239">
        <v>0</v>
      </c>
      <c r="E163" s="239">
        <v>0</v>
      </c>
    </row>
    <row r="164" spans="1:5" x14ac:dyDescent="0.3">
      <c r="A164" s="239">
        <v>6725172964</v>
      </c>
      <c r="B164" s="239">
        <v>6725172964</v>
      </c>
      <c r="C164" s="240" t="s">
        <v>319</v>
      </c>
      <c r="D164" s="239">
        <v>0</v>
      </c>
      <c r="E164" s="239">
        <v>0</v>
      </c>
    </row>
    <row r="165" spans="1:5" x14ac:dyDescent="0.3">
      <c r="A165" s="239">
        <v>18913200</v>
      </c>
      <c r="B165" s="239">
        <v>18913200</v>
      </c>
      <c r="C165" s="240" t="s">
        <v>320</v>
      </c>
      <c r="D165" s="239">
        <v>0</v>
      </c>
      <c r="E165" s="239">
        <v>0</v>
      </c>
    </row>
    <row r="166" spans="1:5" x14ac:dyDescent="0.3">
      <c r="A166" s="239">
        <v>10568220751</v>
      </c>
      <c r="B166" s="239">
        <v>10568220751</v>
      </c>
      <c r="C166" s="240" t="s">
        <v>321</v>
      </c>
      <c r="D166" s="239">
        <v>0</v>
      </c>
      <c r="E166" s="239">
        <v>0</v>
      </c>
    </row>
    <row r="167" spans="1:5" x14ac:dyDescent="0.3">
      <c r="A167" s="239">
        <v>493860389</v>
      </c>
      <c r="B167" s="239">
        <v>493860389</v>
      </c>
      <c r="C167" s="240" t="s">
        <v>322</v>
      </c>
      <c r="D167" s="239">
        <v>0</v>
      </c>
      <c r="E167" s="239">
        <v>0</v>
      </c>
    </row>
    <row r="168" spans="1:5" x14ac:dyDescent="0.3">
      <c r="A168" s="239">
        <v>1633424618</v>
      </c>
      <c r="B168" s="239">
        <v>1633424618</v>
      </c>
      <c r="C168" s="240" t="s">
        <v>323</v>
      </c>
      <c r="D168" s="239">
        <v>0</v>
      </c>
      <c r="E168" s="239">
        <v>0</v>
      </c>
    </row>
    <row r="169" spans="1:5" x14ac:dyDescent="0.3">
      <c r="A169" s="239">
        <v>41015695</v>
      </c>
      <c r="B169" s="239">
        <v>41015695</v>
      </c>
      <c r="C169" s="240" t="s">
        <v>324</v>
      </c>
      <c r="D169" s="239">
        <v>0</v>
      </c>
      <c r="E169" s="239">
        <v>0</v>
      </c>
    </row>
    <row r="170" spans="1:5" x14ac:dyDescent="0.3">
      <c r="A170" s="239">
        <v>746258679</v>
      </c>
      <c r="B170" s="239">
        <v>746258679</v>
      </c>
      <c r="C170" s="240" t="s">
        <v>325</v>
      </c>
      <c r="D170" s="239">
        <v>0</v>
      </c>
      <c r="E170" s="239">
        <v>0</v>
      </c>
    </row>
    <row r="171" spans="1:5" x14ac:dyDescent="0.3">
      <c r="A171" s="239">
        <v>1399519454</v>
      </c>
      <c r="B171" s="239">
        <v>1399519454</v>
      </c>
      <c r="C171" s="240" t="s">
        <v>328</v>
      </c>
      <c r="D171" s="239">
        <v>0</v>
      </c>
      <c r="E171" s="239">
        <v>0</v>
      </c>
    </row>
    <row r="172" spans="1:5" x14ac:dyDescent="0.3">
      <c r="A172" s="239">
        <v>5391990</v>
      </c>
      <c r="B172" s="239">
        <v>5391990</v>
      </c>
      <c r="C172" s="240" t="s">
        <v>329</v>
      </c>
      <c r="D172" s="239">
        <v>0</v>
      </c>
      <c r="E172" s="239">
        <v>0</v>
      </c>
    </row>
    <row r="173" spans="1:5" x14ac:dyDescent="0.3">
      <c r="A173" s="239">
        <v>873425964</v>
      </c>
      <c r="B173" s="239">
        <v>873425964</v>
      </c>
      <c r="C173" s="240" t="s">
        <v>330</v>
      </c>
      <c r="D173" s="239">
        <v>0</v>
      </c>
      <c r="E173" s="239">
        <v>0</v>
      </c>
    </row>
    <row r="174" spans="1:5" x14ac:dyDescent="0.3">
      <c r="A174" s="239">
        <v>23712282072</v>
      </c>
      <c r="B174" s="239">
        <v>23712282072</v>
      </c>
      <c r="C174" s="240" t="s">
        <v>341</v>
      </c>
      <c r="D174" s="239">
        <v>0</v>
      </c>
      <c r="E174" s="239">
        <v>0</v>
      </c>
    </row>
    <row r="175" spans="1:5" x14ac:dyDescent="0.3">
      <c r="A175" s="239">
        <v>4238600</v>
      </c>
      <c r="B175" s="239">
        <v>4238600</v>
      </c>
      <c r="C175" s="240" t="s">
        <v>332</v>
      </c>
      <c r="D175" s="239">
        <v>0</v>
      </c>
      <c r="E175" s="239">
        <v>0</v>
      </c>
    </row>
    <row r="176" spans="1:5" x14ac:dyDescent="0.3">
      <c r="A176" s="239">
        <v>273439337</v>
      </c>
      <c r="B176" s="239">
        <v>273439337</v>
      </c>
      <c r="C176" s="240" t="s">
        <v>333</v>
      </c>
      <c r="D176" s="239">
        <v>0</v>
      </c>
      <c r="E176" s="239">
        <v>0</v>
      </c>
    </row>
    <row r="177" spans="1:5" x14ac:dyDescent="0.3">
      <c r="A177" s="239">
        <v>31090245</v>
      </c>
      <c r="B177" s="239">
        <v>31090245</v>
      </c>
      <c r="C177" s="240" t="s">
        <v>342</v>
      </c>
      <c r="D177" s="239">
        <v>0</v>
      </c>
      <c r="E177" s="239">
        <v>0</v>
      </c>
    </row>
    <row r="178" spans="1:5" x14ac:dyDescent="0.3">
      <c r="A178" s="239">
        <v>1616000</v>
      </c>
      <c r="B178" s="239">
        <v>1616000</v>
      </c>
      <c r="C178" s="240" t="s">
        <v>334</v>
      </c>
      <c r="D178" s="239">
        <v>0</v>
      </c>
      <c r="E178" s="239">
        <v>0</v>
      </c>
    </row>
    <row r="179" spans="1:5" x14ac:dyDescent="0.3">
      <c r="A179" s="239">
        <v>807463469</v>
      </c>
      <c r="B179" s="239">
        <v>807463469</v>
      </c>
      <c r="C179" s="240" t="s">
        <v>337</v>
      </c>
      <c r="D179" s="239">
        <v>0</v>
      </c>
      <c r="E179" s="239">
        <v>0</v>
      </c>
    </row>
    <row r="180" spans="1:5" x14ac:dyDescent="0.3">
      <c r="A180" s="239"/>
      <c r="B180" s="239"/>
      <c r="C180" s="240" t="s">
        <v>343</v>
      </c>
      <c r="D180" s="239"/>
      <c r="E180" s="239"/>
    </row>
    <row r="181" spans="1:5" x14ac:dyDescent="0.3">
      <c r="A181" s="239">
        <v>55664781403</v>
      </c>
      <c r="B181" s="239">
        <v>56565121663</v>
      </c>
      <c r="C181" s="240" t="s">
        <v>316</v>
      </c>
      <c r="D181" s="239">
        <v>900340260</v>
      </c>
      <c r="E181" s="239">
        <v>0</v>
      </c>
    </row>
    <row r="182" spans="1:5" x14ac:dyDescent="0.3">
      <c r="A182" s="239">
        <v>9794777710</v>
      </c>
      <c r="B182" s="239">
        <v>13833765730</v>
      </c>
      <c r="C182" s="240" t="s">
        <v>317</v>
      </c>
      <c r="D182" s="239">
        <v>4038988020</v>
      </c>
      <c r="E182" s="239">
        <v>0</v>
      </c>
    </row>
    <row r="183" spans="1:5" x14ac:dyDescent="0.3">
      <c r="A183" s="239">
        <v>11457550390</v>
      </c>
      <c r="B183" s="239">
        <v>11783601370</v>
      </c>
      <c r="C183" s="240" t="s">
        <v>318</v>
      </c>
      <c r="D183" s="239">
        <v>326050980</v>
      </c>
      <c r="E183" s="239">
        <v>0</v>
      </c>
    </row>
    <row r="184" spans="1:5" x14ac:dyDescent="0.3">
      <c r="A184" s="239">
        <v>9442796143</v>
      </c>
      <c r="B184" s="239">
        <v>9880603524</v>
      </c>
      <c r="C184" s="240" t="s">
        <v>319</v>
      </c>
      <c r="D184" s="239">
        <v>437807381</v>
      </c>
      <c r="E184" s="239">
        <v>0</v>
      </c>
    </row>
    <row r="185" spans="1:5" x14ac:dyDescent="0.3">
      <c r="A185" s="239">
        <v>35767231</v>
      </c>
      <c r="B185" s="239">
        <v>36933425</v>
      </c>
      <c r="C185" s="240" t="s">
        <v>320</v>
      </c>
      <c r="D185" s="239">
        <v>1166194</v>
      </c>
      <c r="E185" s="239">
        <v>0</v>
      </c>
    </row>
    <row r="186" spans="1:5" x14ac:dyDescent="0.3">
      <c r="A186" s="239">
        <v>202921216</v>
      </c>
      <c r="B186" s="239">
        <v>204280295</v>
      </c>
      <c r="C186" s="240" t="s">
        <v>321</v>
      </c>
      <c r="D186" s="239">
        <v>1359079</v>
      </c>
      <c r="E186" s="239">
        <v>0</v>
      </c>
    </row>
    <row r="187" spans="1:5" x14ac:dyDescent="0.3">
      <c r="A187" s="239">
        <v>1033050422</v>
      </c>
      <c r="B187" s="239">
        <v>1033050422</v>
      </c>
      <c r="C187" s="240" t="s">
        <v>322</v>
      </c>
      <c r="D187" s="239">
        <v>0</v>
      </c>
      <c r="E187" s="239">
        <v>0</v>
      </c>
    </row>
    <row r="188" spans="1:5" x14ac:dyDescent="0.3">
      <c r="A188" s="239">
        <v>266063727</v>
      </c>
      <c r="B188" s="239">
        <v>278028224</v>
      </c>
      <c r="C188" s="240" t="s">
        <v>323</v>
      </c>
      <c r="D188" s="239">
        <v>11964497</v>
      </c>
      <c r="E188" s="239">
        <v>0</v>
      </c>
    </row>
    <row r="189" spans="1:5" x14ac:dyDescent="0.3">
      <c r="A189" s="239">
        <v>277408106</v>
      </c>
      <c r="B189" s="239">
        <v>279284761</v>
      </c>
      <c r="C189" s="240" t="s">
        <v>324</v>
      </c>
      <c r="D189" s="239">
        <v>1876655</v>
      </c>
      <c r="E189" s="239">
        <v>0</v>
      </c>
    </row>
    <row r="190" spans="1:5" x14ac:dyDescent="0.3">
      <c r="A190" s="239">
        <v>123737558</v>
      </c>
      <c r="B190" s="239">
        <v>124339480</v>
      </c>
      <c r="C190" s="240" t="s">
        <v>325</v>
      </c>
      <c r="D190" s="239">
        <v>601922</v>
      </c>
      <c r="E190" s="239">
        <v>0</v>
      </c>
    </row>
    <row r="191" spans="1:5" x14ac:dyDescent="0.3">
      <c r="A191" s="239">
        <v>4782110468</v>
      </c>
      <c r="B191" s="239">
        <v>4869258604</v>
      </c>
      <c r="C191" s="240" t="s">
        <v>326</v>
      </c>
      <c r="D191" s="239">
        <v>87148136</v>
      </c>
      <c r="E191" s="239">
        <v>0</v>
      </c>
    </row>
    <row r="192" spans="1:5" x14ac:dyDescent="0.3">
      <c r="A192" s="239">
        <v>3147364107</v>
      </c>
      <c r="B192" s="239">
        <v>3147364107</v>
      </c>
      <c r="C192" s="240" t="s">
        <v>327</v>
      </c>
      <c r="D192" s="239">
        <v>0</v>
      </c>
      <c r="E192" s="239">
        <v>0</v>
      </c>
    </row>
    <row r="193" spans="1:5" x14ac:dyDescent="0.3">
      <c r="A193" s="239">
        <v>203098238</v>
      </c>
      <c r="B193" s="239">
        <v>627407050</v>
      </c>
      <c r="C193" s="240" t="s">
        <v>328</v>
      </c>
      <c r="D193" s="239">
        <v>424308812</v>
      </c>
      <c r="E193" s="239">
        <v>0</v>
      </c>
    </row>
    <row r="194" spans="1:5" x14ac:dyDescent="0.3">
      <c r="A194" s="239">
        <v>11795577</v>
      </c>
      <c r="B194" s="239">
        <v>11842516</v>
      </c>
      <c r="C194" s="240" t="s">
        <v>329</v>
      </c>
      <c r="D194" s="239">
        <v>46939</v>
      </c>
      <c r="E194" s="239">
        <v>0</v>
      </c>
    </row>
    <row r="195" spans="1:5" x14ac:dyDescent="0.3">
      <c r="A195" s="239">
        <v>11845629</v>
      </c>
      <c r="B195" s="239">
        <v>12195709</v>
      </c>
      <c r="C195" s="240" t="s">
        <v>330</v>
      </c>
      <c r="D195" s="239">
        <v>350080</v>
      </c>
      <c r="E195" s="239">
        <v>0</v>
      </c>
    </row>
    <row r="196" spans="1:5" x14ac:dyDescent="0.3">
      <c r="A196" s="239">
        <v>12643203976</v>
      </c>
      <c r="B196" s="239">
        <v>13730221118</v>
      </c>
      <c r="C196" s="240" t="s">
        <v>331</v>
      </c>
      <c r="D196" s="239">
        <v>1087017142</v>
      </c>
      <c r="E196" s="239">
        <v>0</v>
      </c>
    </row>
    <row r="197" spans="1:5" x14ac:dyDescent="0.3">
      <c r="A197" s="239">
        <v>134082028</v>
      </c>
      <c r="B197" s="239">
        <v>134082028</v>
      </c>
      <c r="C197" s="240" t="s">
        <v>332</v>
      </c>
      <c r="D197" s="239">
        <v>0</v>
      </c>
      <c r="E197" s="239">
        <v>0</v>
      </c>
    </row>
    <row r="198" spans="1:5" x14ac:dyDescent="0.3">
      <c r="A198" s="239">
        <v>264767643</v>
      </c>
      <c r="B198" s="239">
        <v>282126024</v>
      </c>
      <c r="C198" s="240" t="s">
        <v>344</v>
      </c>
      <c r="D198" s="239">
        <v>17358381</v>
      </c>
      <c r="E198" s="239">
        <v>0</v>
      </c>
    </row>
    <row r="199" spans="1:5" x14ac:dyDescent="0.3">
      <c r="A199" s="239">
        <v>453368034</v>
      </c>
      <c r="B199" s="239">
        <v>454423018</v>
      </c>
      <c r="C199" s="240" t="s">
        <v>333</v>
      </c>
      <c r="D199" s="239">
        <v>1054984</v>
      </c>
      <c r="E199" s="239">
        <v>0</v>
      </c>
    </row>
    <row r="200" spans="1:5" x14ac:dyDescent="0.3">
      <c r="A200" s="239">
        <v>1841640021</v>
      </c>
      <c r="B200" s="239">
        <v>1866376908</v>
      </c>
      <c r="C200" s="240" t="s">
        <v>342</v>
      </c>
      <c r="D200" s="239">
        <v>24736887</v>
      </c>
      <c r="E200" s="239">
        <v>0</v>
      </c>
    </row>
    <row r="201" spans="1:5" x14ac:dyDescent="0.3">
      <c r="A201" s="239">
        <v>851473432</v>
      </c>
      <c r="B201" s="239">
        <v>1130199903</v>
      </c>
      <c r="C201" s="240" t="s">
        <v>345</v>
      </c>
      <c r="D201" s="239">
        <v>278726471</v>
      </c>
      <c r="E201" s="239">
        <v>0</v>
      </c>
    </row>
    <row r="202" spans="1:5" x14ac:dyDescent="0.3">
      <c r="A202" s="239">
        <v>1674022956</v>
      </c>
      <c r="B202" s="239">
        <v>6311375713</v>
      </c>
      <c r="C202" s="240" t="s">
        <v>334</v>
      </c>
      <c r="D202" s="239">
        <v>4637352757</v>
      </c>
      <c r="E202" s="239">
        <v>0</v>
      </c>
    </row>
    <row r="203" spans="1:5" x14ac:dyDescent="0.3">
      <c r="A203" s="239">
        <v>545377334</v>
      </c>
      <c r="B203" s="239">
        <v>823314806</v>
      </c>
      <c r="C203" s="240" t="s">
        <v>335</v>
      </c>
      <c r="D203" s="239">
        <v>277937472</v>
      </c>
      <c r="E203" s="239">
        <v>0</v>
      </c>
    </row>
    <row r="204" spans="1:5" x14ac:dyDescent="0.3">
      <c r="A204" s="239">
        <v>7263897707</v>
      </c>
      <c r="B204" s="239">
        <v>8089702469</v>
      </c>
      <c r="C204" s="240" t="s">
        <v>346</v>
      </c>
      <c r="D204" s="239">
        <v>825804762</v>
      </c>
      <c r="E204" s="239">
        <v>0</v>
      </c>
    </row>
    <row r="205" spans="1:5" x14ac:dyDescent="0.3">
      <c r="A205" s="239">
        <v>2498206003</v>
      </c>
      <c r="B205" s="239">
        <v>2498206003</v>
      </c>
      <c r="C205" s="240" t="s">
        <v>337</v>
      </c>
      <c r="D205" s="239">
        <v>0</v>
      </c>
      <c r="E205" s="239">
        <v>0</v>
      </c>
    </row>
    <row r="206" spans="1:5" x14ac:dyDescent="0.3">
      <c r="A206" s="239">
        <v>0</v>
      </c>
      <c r="B206" s="239">
        <v>14175000</v>
      </c>
      <c r="C206" s="240" t="s">
        <v>338</v>
      </c>
      <c r="D206" s="239">
        <v>14175000</v>
      </c>
      <c r="E206" s="239">
        <v>0</v>
      </c>
    </row>
    <row r="207" spans="1:5" x14ac:dyDescent="0.3">
      <c r="A207" s="239">
        <v>0</v>
      </c>
      <c r="B207" s="239">
        <v>1419526511</v>
      </c>
      <c r="C207" s="240" t="s">
        <v>347</v>
      </c>
      <c r="D207" s="239">
        <v>2846336906</v>
      </c>
      <c r="E207" s="239">
        <v>1426810395</v>
      </c>
    </row>
    <row r="208" spans="1:5" x14ac:dyDescent="0.3">
      <c r="A208" s="239">
        <v>0</v>
      </c>
      <c r="B208" s="239">
        <v>3052373457</v>
      </c>
      <c r="C208" s="240" t="s">
        <v>348</v>
      </c>
      <c r="D208" s="239">
        <v>4492527638</v>
      </c>
      <c r="E208" s="239">
        <v>1440154181</v>
      </c>
    </row>
    <row r="209" spans="1:5" x14ac:dyDescent="0.3">
      <c r="A209" s="239">
        <v>0</v>
      </c>
      <c r="B209" s="239">
        <v>2926085</v>
      </c>
      <c r="C209" s="240" t="s">
        <v>349</v>
      </c>
      <c r="D209" s="239">
        <v>2551184478</v>
      </c>
      <c r="E209" s="239">
        <v>2548258393</v>
      </c>
    </row>
    <row r="210" spans="1:5" x14ac:dyDescent="0.3">
      <c r="A210" s="239">
        <v>0</v>
      </c>
      <c r="B210" s="239">
        <v>0</v>
      </c>
      <c r="C210" s="240" t="s">
        <v>350</v>
      </c>
      <c r="D210" s="239">
        <v>4560767437</v>
      </c>
      <c r="E210" s="239">
        <v>4560767437</v>
      </c>
    </row>
    <row r="211" spans="1:5" x14ac:dyDescent="0.3">
      <c r="A211" s="239">
        <v>0</v>
      </c>
      <c r="B211" s="239">
        <v>0</v>
      </c>
      <c r="C211" s="240" t="s">
        <v>351</v>
      </c>
      <c r="D211" s="239">
        <v>11683040326</v>
      </c>
      <c r="E211" s="239">
        <v>11683040326</v>
      </c>
    </row>
    <row r="212" spans="1:5" x14ac:dyDescent="0.3">
      <c r="A212" s="239">
        <v>0</v>
      </c>
      <c r="B212" s="239">
        <v>31116879192</v>
      </c>
      <c r="C212" s="240" t="s">
        <v>352</v>
      </c>
      <c r="D212" s="239">
        <v>34335662000</v>
      </c>
      <c r="E212" s="239">
        <v>3218782808</v>
      </c>
    </row>
    <row r="213" spans="1:5" x14ac:dyDescent="0.3">
      <c r="A213" s="239">
        <v>0</v>
      </c>
      <c r="B213" s="239">
        <v>551521713</v>
      </c>
      <c r="C213" s="240" t="s">
        <v>353</v>
      </c>
      <c r="D213" s="239">
        <v>8820278596</v>
      </c>
      <c r="E213" s="239">
        <v>8268756883</v>
      </c>
    </row>
    <row r="214" spans="1:5" x14ac:dyDescent="0.3">
      <c r="A214" s="239">
        <v>0</v>
      </c>
      <c r="B214" s="239">
        <v>0</v>
      </c>
      <c r="C214" s="240" t="s">
        <v>354</v>
      </c>
      <c r="D214" s="239">
        <v>17538598806</v>
      </c>
      <c r="E214" s="239">
        <v>17538598806</v>
      </c>
    </row>
    <row r="215" spans="1:5" x14ac:dyDescent="0.3">
      <c r="A215" s="239">
        <v>55996942710</v>
      </c>
      <c r="B215" s="239">
        <v>93486598865</v>
      </c>
      <c r="C215" s="240" t="s">
        <v>355</v>
      </c>
      <c r="D215" s="239">
        <v>37489656155</v>
      </c>
      <c r="E215" s="239">
        <v>0</v>
      </c>
    </row>
    <row r="216" spans="1:5" x14ac:dyDescent="0.3">
      <c r="A216" s="239">
        <v>81822507</v>
      </c>
      <c r="B216" s="239">
        <v>81822506</v>
      </c>
      <c r="C216" s="240" t="s">
        <v>356</v>
      </c>
      <c r="D216" s="239">
        <v>-1</v>
      </c>
      <c r="E216" s="239">
        <v>0</v>
      </c>
    </row>
    <row r="217" spans="1:5" x14ac:dyDescent="0.3">
      <c r="A217" s="239">
        <v>2329225000</v>
      </c>
      <c r="B217" s="239">
        <v>2329225000</v>
      </c>
      <c r="C217" s="240" t="s">
        <v>357</v>
      </c>
      <c r="D217" s="239">
        <v>0</v>
      </c>
      <c r="E217" s="239">
        <v>0</v>
      </c>
    </row>
    <row r="218" spans="1:5" x14ac:dyDescent="0.3">
      <c r="A218" s="239">
        <v>1383601340</v>
      </c>
      <c r="B218" s="239">
        <v>1383601340</v>
      </c>
      <c r="C218" s="240" t="s">
        <v>358</v>
      </c>
      <c r="D218" s="239">
        <v>0</v>
      </c>
      <c r="E218" s="239">
        <v>0</v>
      </c>
    </row>
    <row r="219" spans="1:5" x14ac:dyDescent="0.3">
      <c r="A219" s="239">
        <v>2800705151</v>
      </c>
      <c r="B219" s="239">
        <v>2800705151</v>
      </c>
      <c r="C219" s="240" t="s">
        <v>359</v>
      </c>
      <c r="D219" s="239">
        <v>0</v>
      </c>
      <c r="E219" s="239">
        <v>0</v>
      </c>
    </row>
    <row r="220" spans="1:5" x14ac:dyDescent="0.3">
      <c r="A220" s="239">
        <v>7797858300</v>
      </c>
      <c r="B220" s="239">
        <v>7802141069</v>
      </c>
      <c r="C220" s="240" t="s">
        <v>360</v>
      </c>
      <c r="D220" s="239">
        <v>4282769</v>
      </c>
      <c r="E220" s="239">
        <v>0</v>
      </c>
    </row>
    <row r="221" spans="1:5" x14ac:dyDescent="0.3">
      <c r="A221" s="239">
        <v>6938000</v>
      </c>
      <c r="B221" s="239">
        <v>6938000</v>
      </c>
      <c r="C221" s="240" t="s">
        <v>361</v>
      </c>
      <c r="D221" s="239">
        <v>0</v>
      </c>
      <c r="E221" s="239">
        <v>0</v>
      </c>
    </row>
    <row r="222" spans="1:5" x14ac:dyDescent="0.3">
      <c r="A222" s="239">
        <v>1920258684</v>
      </c>
      <c r="B222" s="239">
        <v>2301779790</v>
      </c>
      <c r="C222" s="240" t="s">
        <v>362</v>
      </c>
      <c r="D222" s="239">
        <v>381521106</v>
      </c>
      <c r="E222" s="239">
        <v>0</v>
      </c>
    </row>
    <row r="223" spans="1:5" x14ac:dyDescent="0.3">
      <c r="A223" s="239">
        <v>0</v>
      </c>
      <c r="B223" s="239">
        <v>0</v>
      </c>
      <c r="C223" s="240" t="s">
        <v>363</v>
      </c>
      <c r="D223" s="239">
        <v>0</v>
      </c>
      <c r="E223" s="239">
        <v>0</v>
      </c>
    </row>
    <row r="224" spans="1:5" x14ac:dyDescent="0.3">
      <c r="A224" s="239">
        <v>1943533927</v>
      </c>
      <c r="B224" s="239">
        <v>13304952057</v>
      </c>
      <c r="C224" s="240" t="s">
        <v>364</v>
      </c>
      <c r="D224" s="239">
        <v>11361418130</v>
      </c>
      <c r="E224" s="239">
        <v>0</v>
      </c>
    </row>
    <row r="225" spans="1:5" x14ac:dyDescent="0.3">
      <c r="A225" s="177">
        <v>39881259839004</v>
      </c>
      <c r="B225" s="177">
        <v>93388101092689</v>
      </c>
      <c r="C225" s="178"/>
      <c r="D225" s="177">
        <v>93388101092689</v>
      </c>
      <c r="E225" s="177">
        <v>39881259839004</v>
      </c>
    </row>
    <row r="226" spans="1:5" x14ac:dyDescent="0.3">
      <c r="D226" s="30">
        <f>D225-B225</f>
        <v>0</v>
      </c>
      <c r="E226" s="30">
        <f>E225-A225</f>
        <v>0</v>
      </c>
    </row>
  </sheetData>
  <mergeCells count="1">
    <mergeCell ref="A1:E1"/>
  </mergeCells>
  <phoneticPr fontId="34" type="noConversion"/>
  <pageMargins left="0.7" right="0.7" top="0.75" bottom="0.75" header="0.3" footer="0.3"/>
  <pageSetup paperSize="9" scale="1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9</vt:i4>
      </vt:variant>
    </vt:vector>
  </HeadingPairs>
  <TitlesOfParts>
    <vt:vector size="17" baseType="lpstr">
      <vt:lpstr>#1. 재무상태표</vt:lpstr>
      <vt:lpstr>#2. 손익계산서</vt:lpstr>
      <vt:lpstr>#3. 운영사업원가명세서</vt:lpstr>
      <vt:lpstr>#4. 수탁사업원가명세서</vt:lpstr>
      <vt:lpstr>#5. 영업비용명세서</vt:lpstr>
      <vt:lpstr>#6. 자본변동표</vt:lpstr>
      <vt:lpstr>#7. 현금흐름표</vt:lpstr>
      <vt:lpstr>#8. 합계잔액시산표</vt:lpstr>
      <vt:lpstr>'#1. 재무상태표'!Print_Area</vt:lpstr>
      <vt:lpstr>'#2. 손익계산서'!Print_Area</vt:lpstr>
      <vt:lpstr>'#3. 운영사업원가명세서'!Print_Area</vt:lpstr>
      <vt:lpstr>'#4. 수탁사업원가명세서'!Print_Area</vt:lpstr>
      <vt:lpstr>'#5. 영업비용명세서'!Print_Area</vt:lpstr>
      <vt:lpstr>'#6. 자본변동표'!Print_Area</vt:lpstr>
      <vt:lpstr>'#7. 현금흐름표'!Print_Area</vt:lpstr>
      <vt:lpstr>'#8. 합계잔액시산표'!Print_Area</vt:lpstr>
      <vt:lpstr>'#1. 재무상태표'!Print_Titles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사용자-전화번호</dc:creator>
  <cp:lastModifiedBy>홍길둥-0000</cp:lastModifiedBy>
  <cp:revision>1</cp:revision>
  <cp:lastPrinted>2020-08-27T07:11:06Z</cp:lastPrinted>
  <dcterms:created xsi:type="dcterms:W3CDTF">2019-07-05T01:59:17Z</dcterms:created>
  <dcterms:modified xsi:type="dcterms:W3CDTF">2021-05-13T05:31:01Z</dcterms:modified>
  <cp:version>0906.0200.01</cp:version>
</cp:coreProperties>
</file>