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재무제표\"/>
    </mc:Choice>
  </mc:AlternateContent>
  <bookViews>
    <workbookView xWindow="556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손익계산서!$B$1:$J$67</definedName>
    <definedName name="_xlnm.Print_Area" localSheetId="2">운영사업원가명세서!$B$1:$F$33</definedName>
    <definedName name="_xlnm.Print_Area" localSheetId="4">자본변동표!$A$1:$E$16</definedName>
    <definedName name="_xlnm.Print_Area" localSheetId="0">재무상태표!$B$1:$J$98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E10" i="15" l="1"/>
  <c r="E9" i="15" l="1"/>
  <c r="C12" i="15"/>
  <c r="D12" i="15"/>
  <c r="C13" i="15"/>
  <c r="C16" i="15" s="1"/>
  <c r="D13" i="15"/>
  <c r="D16" i="15" s="1"/>
  <c r="B12" i="15"/>
  <c r="B13" i="15" s="1"/>
  <c r="B16" i="15" s="1"/>
  <c r="E16" i="15" l="1"/>
  <c r="E15" i="15"/>
  <c r="E14" i="15"/>
  <c r="E13" i="15"/>
  <c r="E12" i="15"/>
  <c r="E11" i="15"/>
  <c r="E8" i="15"/>
  <c r="E7" i="15"/>
  <c r="J56" i="10"/>
  <c r="J45" i="10"/>
  <c r="J15" i="10"/>
  <c r="J11" i="10"/>
  <c r="J6" i="10"/>
  <c r="H15" i="10"/>
  <c r="H11" i="10"/>
  <c r="H6" i="10"/>
  <c r="H14" i="10" l="1"/>
  <c r="H44" i="10" s="1"/>
  <c r="J14" i="10"/>
  <c r="J44" i="10" s="1"/>
  <c r="J65" i="10" s="1"/>
  <c r="J67" i="10" s="1"/>
  <c r="F5" i="12" l="1"/>
  <c r="G5" i="10" l="1"/>
  <c r="H56" i="10" l="1"/>
  <c r="H45" i="10"/>
  <c r="E5" i="12"/>
  <c r="F33" i="12"/>
  <c r="H65" i="10" l="1"/>
  <c r="H67" i="10" s="1"/>
  <c r="A3" i="15"/>
  <c r="A2" i="15"/>
  <c r="B3" i="12"/>
  <c r="B2" i="12"/>
  <c r="E33" i="12" l="1"/>
</calcChain>
</file>

<file path=xl/sharedStrings.xml><?xml version="1.0" encoding="utf-8"?>
<sst xmlns="http://schemas.openxmlformats.org/spreadsheetml/2006/main" count="514" uniqueCount="381">
  <si>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</si>
  <si>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</si>
  <si>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</si>
  <si>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</si>
  <si>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</si>
  <si>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</si>
  <si>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</si>
  <si>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</si>
  <si>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</si>
  <si>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</si>
  <si>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</si>
  <si>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</si>
  <si>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</si>
  <si>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</si>
  <si>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</si>
  <si>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</si>
  <si>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</si>
  <si>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</si>
  <si>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</si>
  <si>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</si>
  <si>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</si>
  <si>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</si>
  <si>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</si>
  <si>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</si>
  <si>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</si>
  <si>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</si>
  <si>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</si>
  <si>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</si>
  <si>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</si>
  <si>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</si>
  <si>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</si>
  <si>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</si>
  <si>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</si>
  <si>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</si>
  <si>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</si>
  <si>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</si>
  <si>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</si>
  <si>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</si>
  <si>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</si>
  <si>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</si>
  <si>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</si>
  <si>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</si>
  <si>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</si>
  <si>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</si>
  <si>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</si>
  <si>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</si>
  <si>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</si>
  <si>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</si>
  <si>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</si>
  <si>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</si>
  <si>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</si>
  <si>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</si>
  <si>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</si>
  <si>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</si>
  <si>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</si>
  <si>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</si>
  <si>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</si>
  <si>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</si>
  <si>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</si>
  <si>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</si>
  <si>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</si>
  <si>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</si>
  <si>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</si>
  <si>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</si>
  <si>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</si>
  <si>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</si>
  <si>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</si>
  <si>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</si>
  <si>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</si>
  <si>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</si>
  <si>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</si>
  <si>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</si>
  <si>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</si>
  <si>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</si>
  <si>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</si>
  <si>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</si>
  <si>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</si>
  <si>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</si>
  <si>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</si>
  <si>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</si>
  <si>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</si>
  <si>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</si>
  <si>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</si>
  <si>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</si>
  <si>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</si>
  <si>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</si>
  <si>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</si>
  <si>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</si>
  <si>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</si>
  <si>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</si>
  <si>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</si>
  <si>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</si>
  <si>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</si>
  <si>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</si>
  <si>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</si>
  <si>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</si>
  <si>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</si>
  <si>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</si>
  <si>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</si>
  <si>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</si>
  <si>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</si>
  <si>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</si>
  <si>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</si>
  <si>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</si>
  <si>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</si>
  <si>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</si>
  <si>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</si>
  <si>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</si>
  <si>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</si>
  <si>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</si>
  <si>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</si>
  <si>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</si>
  <si>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</si>
  <si>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</si>
  <si>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</si>
  <si>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</si>
  <si>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</si>
  <si>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</si>
  <si>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</si>
  <si>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</si>
  <si>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</si>
  <si>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</si>
  <si>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</si>
  <si>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</si>
  <si>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</si>
  <si>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</si>
  <si>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</si>
  <si>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</si>
  <si>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</si>
  <si>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</si>
  <si>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</si>
  <si>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</si>
  <si>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</si>
  <si>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</si>
  <si>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</si>
  <si>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</si>
  <si>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</si>
  <si>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</si>
  <si>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</si>
  <si>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</si>
  <si>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</si>
  <si>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</si>
  <si>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</si>
  <si>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</si>
  <si>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</si>
  <si>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</si>
  <si>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</si>
  <si>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</si>
  <si>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</si>
  <si>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</si>
  <si>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</si>
  <si>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</si>
  <si>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</si>
  <si>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</si>
  <si>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</si>
  <si>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</si>
  <si>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</si>
  <si>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</si>
  <si>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</si>
  <si>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</si>
  <si>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관서업무비</t>
    <phoneticPr fontId="15" type="noConversion"/>
  </si>
  <si>
    <t>자산총계</t>
    <phoneticPr fontId="15" type="noConversion"/>
  </si>
  <si>
    <t>1.   재   무   상   태   표</t>
    <phoneticPr fontId="15" type="noConversion"/>
  </si>
  <si>
    <t>2.</t>
    <phoneticPr fontId="15" type="noConversion"/>
  </si>
  <si>
    <t>(사채할인발행차금)</t>
    <phoneticPr fontId="15" type="noConversion"/>
  </si>
  <si>
    <t>장기선수수익</t>
    <phoneticPr fontId="15" type="noConversion"/>
  </si>
  <si>
    <t>11.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</si>
  <si>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</si>
  <si>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</si>
  <si>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</si>
  <si>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Ⅱ.</t>
  </si>
  <si>
    <t>2.</t>
    <phoneticPr fontId="15" type="noConversion"/>
  </si>
  <si>
    <t>3.</t>
    <phoneticPr fontId="15" type="noConversion"/>
  </si>
  <si>
    <t>(국고보조금)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</si>
  <si>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</si>
  <si>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</si>
  <si>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</si>
  <si>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(국고보조금)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</si>
  <si>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</si>
  <si>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</si>
  <si>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</si>
  <si>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</si>
  <si>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</si>
  <si>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</si>
  <si>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</si>
  <si>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</si>
  <si>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</si>
  <si>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</si>
  <si>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</si>
  <si>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사채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</si>
  <si>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</si>
  <si>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</si>
  <si>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</si>
  <si>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</si>
  <si>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</si>
  <si>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지분법이익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</si>
  <si>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</si>
  <si>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</si>
  <si>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</si>
  <si>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</si>
  <si>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기타포괄손익누계액</t>
    <phoneticPr fontId="15" type="noConversion"/>
  </si>
  <si>
    <t>이익잉여금</t>
    <phoneticPr fontId="15" type="noConversion"/>
  </si>
  <si>
    <t>공기구비품수탁자산</t>
    <phoneticPr fontId="15" type="noConversion"/>
  </si>
  <si>
    <t>(수탁자산보조금)</t>
    <phoneticPr fontId="15" type="noConversion"/>
  </si>
  <si>
    <t>소프트웨어수탁자산</t>
    <phoneticPr fontId="15" type="noConversion"/>
  </si>
  <si>
    <t>운반및보관료</t>
    <phoneticPr fontId="15" type="noConversion"/>
  </si>
  <si>
    <t>무형자산손상차손</t>
    <phoneticPr fontId="15" type="noConversion"/>
  </si>
  <si>
    <t>장기차입금</t>
    <phoneticPr fontId="15" type="noConversion"/>
  </si>
  <si>
    <t>1.</t>
    <phoneticPr fontId="15" type="noConversion"/>
  </si>
  <si>
    <t>수탁사업수익</t>
    <phoneticPr fontId="15" type="noConversion"/>
  </si>
  <si>
    <t>수탁사업원가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</si>
  <si>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</si>
  <si>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</si>
  <si>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</si>
  <si>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</si>
  <si>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</si>
  <si>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</si>
  <si>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</si>
  <si>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미수수익</t>
    <phoneticPr fontId="15" type="noConversion"/>
  </si>
  <si>
    <t>장기성미지급금</t>
    <phoneticPr fontId="15" type="noConversion"/>
  </si>
  <si>
    <t>1.</t>
    <phoneticPr fontId="15" type="noConversion"/>
  </si>
  <si>
    <t>매출총이익</t>
    <phoneticPr fontId="15" type="noConversion"/>
  </si>
  <si>
    <t>재평가잉여금</t>
    <phoneticPr fontId="15" type="noConversion"/>
  </si>
  <si>
    <t>기타포괄손익누계액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</si>
  <si>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</si>
  <si>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</si>
  <si>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</si>
  <si>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</si>
  <si>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</si>
  <si>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</si>
  <si>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</si>
  <si>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</si>
  <si>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무형자산상각비</t>
  </si>
  <si>
    <t>이자비용(할인차금상각)</t>
  </si>
  <si>
    <t>재고자산평가손실</t>
  </si>
  <si>
    <t>재고자산폐기손실</t>
  </si>
  <si>
    <t>유형자산폐기손실</t>
  </si>
  <si>
    <t>유형자산손상차손</t>
  </si>
  <si>
    <t>무형자산손상차손</t>
  </si>
  <si>
    <t>3.현금의유입이없는수익등의차감</t>
  </si>
  <si>
    <t>자산수증이익</t>
  </si>
  <si>
    <t>폐품매각수익</t>
  </si>
  <si>
    <t>공채상환이익</t>
  </si>
  <si>
    <t>지분법이익</t>
  </si>
  <si>
    <t> 4.영업활동으로인한자산부채의변동</t>
  </si>
  <si>
    <t>매출채권</t>
  </si>
  <si>
    <t>미수금</t>
  </si>
  <si>
    <t>미수수익</t>
  </si>
  <si>
    <t>예치금</t>
  </si>
  <si>
    <t>당기법인세자산</t>
  </si>
  <si>
    <t>저장품</t>
  </si>
  <si>
    <t>미지급금</t>
  </si>
  <si>
    <t>선수금</t>
  </si>
  <si>
    <t>예수부가가치세</t>
  </si>
  <si>
    <t>예수보증금</t>
  </si>
  <si>
    <t>Ⅱ.투자활동으로인한현금흐름</t>
  </si>
  <si>
    <t>1.투자활동으로인한현금유입액</t>
  </si>
  <si>
    <t>단기투자자산의 감소</t>
  </si>
  <si>
    <t>보증금의 감소</t>
  </si>
  <si>
    <t>기타의비유동자산의 감소</t>
  </si>
  <si>
    <t>장기대여금의 감소</t>
  </si>
  <si>
    <t> 2.투자활동으로인한현금유출액</t>
  </si>
  <si>
    <t>보증금의증가</t>
  </si>
  <si>
    <t>기타의비유동자산의취득</t>
  </si>
  <si>
    <t>Ⅲ.재무활동으로인한현금흐름</t>
  </si>
  <si>
    <t> 1.재무활동으로인한현금유입액</t>
  </si>
  <si>
    <t>유상증자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</si>
  <si>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</si>
  <si>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</si>
  <si>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</si>
  <si>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</si>
  <si>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</si>
  <si>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</si>
  <si>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</si>
  <si>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</si>
  <si>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</si>
  <si>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</si>
  <si>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</si>
  <si>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</si>
  <si>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</si>
  <si>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</si>
  <si>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</si>
  <si>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</si>
  <si>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</si>
  <si>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</si>
  <si>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</si>
  <si>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</si>
  <si>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</si>
  <si>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</si>
  <si>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</si>
  <si>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</si>
  <si>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</si>
  <si>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</si>
  <si>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미지급비용</t>
  </si>
  <si>
    <t>단기투자자자산의 증가</t>
  </si>
  <si>
    <t>장기대여금의 증가</t>
  </si>
  <si>
    <t>공기구비품의 취득</t>
  </si>
  <si>
    <t>건설중인자산의 취득</t>
  </si>
  <si>
    <t>지분법적용투자주식의 취득</t>
  </si>
  <si>
    <t>수탁자산의 취득</t>
  </si>
  <si>
    <t>공채의 발행</t>
  </si>
  <si>
    <t>국고보조금의 수령</t>
  </si>
  <si>
    <t>기타의비유동부채의 증가</t>
  </si>
  <si>
    <t>당기법인세자산</t>
    <phoneticPr fontId="15" type="noConversion"/>
  </si>
  <si>
    <t>1.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</si>
  <si>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</si>
  <si>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</si>
  <si>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</si>
  <si>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당기순손실</t>
    <phoneticPr fontId="15" type="noConversion"/>
  </si>
  <si>
    <t>유상증자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</si>
  <si>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</si>
  <si>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</si>
  <si>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제34기 2014년 12월 31일 현재</t>
    <phoneticPr fontId="15" type="noConversion"/>
  </si>
  <si>
    <t>제34기 2014년1월1일부터 2014년 12월31일까지</t>
    <phoneticPr fontId="15" type="noConversion"/>
  </si>
  <si>
    <t>제34기 2014년1월1일부터 2014년12월31일까지</t>
    <phoneticPr fontId="15" type="noConversion"/>
  </si>
  <si>
    <t>예수부가가치세</t>
    <phoneticPr fontId="15" type="noConversion"/>
  </si>
  <si>
    <t>단기차입금</t>
    <phoneticPr fontId="15" type="noConversion"/>
  </si>
  <si>
    <t>유형자산처분이익</t>
    <phoneticPr fontId="15" type="noConversion"/>
  </si>
  <si>
    <t>토지재평가차익</t>
    <phoneticPr fontId="15" type="noConversion"/>
  </si>
  <si>
    <t>유상증자</t>
    <phoneticPr fontId="15" type="noConversion"/>
  </si>
  <si>
    <t>장기투자자산</t>
    <phoneticPr fontId="15" type="noConversion"/>
  </si>
  <si>
    <t>-</t>
  </si>
  <si>
    <t>소송충당부채</t>
    <phoneticPr fontId="15" type="noConversion"/>
  </si>
  <si>
    <t>제35기 2015년 12월 31일 현재</t>
    <phoneticPr fontId="15" type="noConversion"/>
  </si>
  <si>
    <t>제35(당)기</t>
    <phoneticPr fontId="15" type="noConversion"/>
  </si>
  <si>
    <t>제34(전)기</t>
    <phoneticPr fontId="15" type="noConversion"/>
  </si>
  <si>
    <t>제35기 2015년1월1일부터 2015년 12월31일까지</t>
    <phoneticPr fontId="15" type="noConversion"/>
  </si>
  <si>
    <t>제35기 2015년1월1일부터 2015년12월31일까지</t>
    <phoneticPr fontId="15" type="noConversion"/>
  </si>
  <si>
    <t xml:space="preserve">제35(당)기 </t>
    <phoneticPr fontId="15" type="noConversion"/>
  </si>
  <si>
    <t>2014.01.01(전기초)</t>
    <phoneticPr fontId="15" type="noConversion"/>
  </si>
  <si>
    <t>2014.12.31(전기말)</t>
    <phoneticPr fontId="15" type="noConversion"/>
  </si>
  <si>
    <t>2015.01.01(당기초)</t>
    <phoneticPr fontId="15" type="noConversion"/>
  </si>
  <si>
    <t>2015.12.31(당기말)</t>
    <phoneticPr fontId="15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</si>
  <si>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</si>
  <si>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</si>
  <si>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</si>
  <si>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</si>
  <si>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</si>
  <si>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</si>
  <si>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</si>
  <si>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</si>
  <si>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</si>
  <si>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감가상각비</t>
  </si>
  <si>
    <t>수선유지비</t>
  </si>
  <si>
    <t>차량유지비</t>
  </si>
  <si>
    <t>보험료</t>
  </si>
  <si>
    <t>지급수수료</t>
  </si>
  <si>
    <t>운반및보관래</t>
  </si>
  <si>
    <t>광고선전비</t>
  </si>
  <si>
    <t>교육훈련비</t>
  </si>
  <si>
    <t>포상비</t>
  </si>
  <si>
    <t>협회비</t>
  </si>
  <si>
    <t>피해보상비</t>
  </si>
  <si>
    <t>경상연구개발비</t>
  </si>
  <si>
    <t>재료비기타</t>
  </si>
  <si>
    <t>잡비</t>
  </si>
  <si>
    <t>관서업무비</t>
  </si>
  <si>
    <t>대손상각비(환입액)</t>
  </si>
  <si>
    <t>잡손실</t>
  </si>
  <si>
    <t>유형자산처분이익</t>
  </si>
  <si>
    <t>정부보조금의 사용(비용상계)</t>
  </si>
  <si>
    <t>선급부가가치세</t>
  </si>
  <si>
    <t>기타의유동부채</t>
  </si>
  <si>
    <t>퇴직금의 지급</t>
  </si>
  <si>
    <t>국민연금전환금의 감소</t>
  </si>
  <si>
    <t>토지의 처분</t>
  </si>
  <si>
    <t>건물의 취득</t>
  </si>
  <si>
    <t>기계장치의 취득</t>
  </si>
  <si>
    <t>전로설비의 취득</t>
  </si>
  <si>
    <t>선로설비의 취득</t>
  </si>
  <si>
    <t>무형자산의 취득</t>
  </si>
  <si>
    <t>장기투자자산의취득</t>
  </si>
  <si>
    <t>단기차입금의증가</t>
  </si>
  <si>
    <t>사채의발행</t>
  </si>
  <si>
    <t>수탁자산취득보조금의 증가</t>
  </si>
  <si>
    <t>유동성장기부채의 상환</t>
  </si>
  <si>
    <t>국고보조금의 반납</t>
  </si>
  <si>
    <t>공채의상환</t>
  </si>
  <si>
    <t>단기차입금의 상환</t>
  </si>
  <si>
    <t>사채의상환</t>
  </si>
  <si>
    <t>출자전환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</si>
</sst>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7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41" fontId="17" fillId="0" borderId="0" xfId="0" applyNumberFormat="1" applyFont="1" applyFill="1" applyAlignment="1">
      <alignment vertical="center" shrinkToFit="1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176" fontId="29" fillId="0" borderId="12" xfId="0" applyNumberFormat="1" applyFont="1" applyFill="1" applyBorder="1" applyAlignment="1">
      <alignment horizontal="right" vertical="center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12" xfId="0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0" xfId="95" applyFont="1" applyFill="1" applyBorder="1" applyAlignment="1">
      <alignment vertical="center"/>
    </xf>
    <xf numFmtId="0" fontId="54" fillId="0" borderId="12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176" fontId="56" fillId="35" borderId="3" xfId="19" applyNumberFormat="1" applyFont="1" applyFill="1" applyBorder="1" applyAlignment="1">
      <alignment horizontal="right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0" fontId="55" fillId="0" borderId="0" xfId="95" applyFont="1" applyFill="1" applyBorder="1" applyAlignment="1">
      <alignment horizontal="lef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50" fillId="0" borderId="9" xfId="14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horizontal="distributed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9" fontId="29" fillId="0" borderId="7" xfId="0" applyNumberFormat="1" applyFont="1" applyBorder="1" applyAlignment="1">
      <alignment horizontal="center" vertical="center" shrinkToFit="1"/>
    </xf>
    <xf numFmtId="49" fontId="29" fillId="0" borderId="0" xfId="0" applyNumberFormat="1" applyFont="1" applyBorder="1" applyAlignment="1">
      <alignment horizontal="center" vertical="center" shrinkToFit="1"/>
    </xf>
    <xf numFmtId="49" fontId="29" fillId="0" borderId="17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  <xf numFmtId="41" fontId="29" fillId="34" borderId="0" xfId="14" applyFont="1" applyFill="1" applyBorder="1" applyAlignment="1">
      <alignment horizontal="right" vertical="center"/>
    </xf>
    <xf numFmtId="182" fontId="62" fillId="0" borderId="46" xfId="0" applyNumberFormat="1" applyFont="1" applyBorder="1" applyAlignment="1">
      <alignment horizontal="right" vertical="top" wrapText="1"/>
    </xf>
    <xf numFmtId="182" fontId="62" fillId="0" borderId="19" xfId="0" applyNumberFormat="1" applyFont="1" applyBorder="1" applyAlignment="1">
      <alignment horizontal="right" vertical="top" wrapText="1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6"/>
  <sheetViews>
    <sheetView tabSelected="1" view="pageBreakPreview" topLeftCell="B1" zoomScale="85" zoomScaleNormal="100" zoomScaleSheetLayoutView="85" workbookViewId="0">
      <selection activeCell="B2" sqref="B2:J2"/>
    </sheetView>
  </sheetViews>
  <sheetFormatPr defaultRowHeight="21.95" customHeight="1"/>
  <cols>
    <col min="1" max="1" width="2" style="2" hidden="1" customWidth="1"/>
    <col min="2" max="2" width="3.21875" style="44" customWidth="1"/>
    <col min="3" max="3" width="0.77734375" style="45" customWidth="1"/>
    <col min="4" max="4" width="2.44140625" style="45" customWidth="1"/>
    <col min="5" max="5" width="14.77734375" style="45" bestFit="1" customWidth="1"/>
    <col min="6" max="6" width="1.21875" style="45" customWidth="1"/>
    <col min="7" max="7" width="16.21875" style="74" customWidth="1"/>
    <col min="8" max="8" width="15.5546875" style="45" customWidth="1"/>
    <col min="9" max="9" width="16.5546875" style="70" customWidth="1"/>
    <col min="10" max="10" width="15.6640625" style="70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1" s="1" customFormat="1" ht="21" customHeight="1">
      <c r="B1" s="246" t="s">
        <v>162</v>
      </c>
      <c r="C1" s="247"/>
      <c r="D1" s="247"/>
      <c r="E1" s="247"/>
      <c r="F1" s="247"/>
      <c r="G1" s="247"/>
      <c r="H1" s="247"/>
      <c r="I1" s="247"/>
      <c r="J1" s="248"/>
    </row>
    <row r="2" spans="1:11" s="6" customFormat="1" ht="21" customHeight="1">
      <c r="B2" s="249" t="s">
        <v>323</v>
      </c>
      <c r="C2" s="250"/>
      <c r="D2" s="250"/>
      <c r="E2" s="250"/>
      <c r="F2" s="250"/>
      <c r="G2" s="250"/>
      <c r="H2" s="250"/>
      <c r="I2" s="250"/>
      <c r="J2" s="251"/>
    </row>
    <row r="3" spans="1:11" s="6" customFormat="1" ht="21" customHeight="1">
      <c r="B3" s="249" t="s">
        <v>312</v>
      </c>
      <c r="C3" s="250"/>
      <c r="D3" s="250"/>
      <c r="E3" s="250"/>
      <c r="F3" s="250"/>
      <c r="G3" s="250"/>
      <c r="H3" s="250"/>
      <c r="I3" s="250"/>
      <c r="J3" s="251"/>
    </row>
    <row r="4" spans="1:11" ht="21" customHeight="1" thickBot="1">
      <c r="B4" s="255" t="s">
        <v>157</v>
      </c>
      <c r="C4" s="256"/>
      <c r="D4" s="256"/>
      <c r="E4" s="256"/>
      <c r="F4" s="23"/>
      <c r="G4" s="75"/>
      <c r="H4" s="24"/>
      <c r="I4" s="68"/>
      <c r="J4" s="48" t="s">
        <v>30</v>
      </c>
    </row>
    <row r="5" spans="1:11" ht="21" customHeight="1">
      <c r="B5" s="109" t="s">
        <v>212</v>
      </c>
      <c r="C5" s="254" t="s">
        <v>211</v>
      </c>
      <c r="D5" s="254"/>
      <c r="E5" s="254"/>
      <c r="F5" s="208"/>
      <c r="G5" s="252" t="s">
        <v>324</v>
      </c>
      <c r="H5" s="257"/>
      <c r="I5" s="252" t="s">
        <v>325</v>
      </c>
      <c r="J5" s="253"/>
    </row>
    <row r="6" spans="1:11" s="4" customFormat="1" ht="21" customHeight="1">
      <c r="B6" s="265" t="s">
        <v>98</v>
      </c>
      <c r="C6" s="266"/>
      <c r="D6" s="266"/>
      <c r="E6" s="266"/>
      <c r="F6" s="207"/>
      <c r="G6" s="65"/>
      <c r="H6" s="26"/>
      <c r="I6" s="25"/>
      <c r="J6" s="49"/>
    </row>
    <row r="7" spans="1:11" s="62" customFormat="1" ht="21" customHeight="1">
      <c r="B7" s="64" t="s">
        <v>99</v>
      </c>
      <c r="C7" s="261" t="s">
        <v>0</v>
      </c>
      <c r="D7" s="261"/>
      <c r="E7" s="261"/>
      <c r="F7" s="60"/>
      <c r="G7" s="71"/>
      <c r="H7" s="28">
        <v>253088986811</v>
      </c>
      <c r="I7" s="27"/>
      <c r="J7" s="50">
        <v>189628025616</v>
      </c>
    </row>
    <row r="8" spans="1:11" s="62" customFormat="1" ht="21" customHeight="1">
      <c r="B8" s="259" t="s">
        <v>100</v>
      </c>
      <c r="C8" s="260"/>
      <c r="D8" s="244" t="s">
        <v>1</v>
      </c>
      <c r="E8" s="244"/>
      <c r="F8" s="63"/>
      <c r="G8" s="71"/>
      <c r="H8" s="28">
        <v>214813545632</v>
      </c>
      <c r="I8" s="27"/>
      <c r="J8" s="50">
        <v>151815818844</v>
      </c>
    </row>
    <row r="9" spans="1:11" s="62" customFormat="1" ht="21" customHeight="1">
      <c r="A9" s="62">
        <v>1</v>
      </c>
      <c r="B9" s="64"/>
      <c r="C9" s="242" t="s">
        <v>101</v>
      </c>
      <c r="D9" s="242"/>
      <c r="E9" s="227" t="s">
        <v>176</v>
      </c>
      <c r="F9" s="63"/>
      <c r="G9" s="71">
        <v>131021876118</v>
      </c>
      <c r="H9" s="30"/>
      <c r="I9" s="29">
        <v>99514763518</v>
      </c>
      <c r="J9" s="51"/>
    </row>
    <row r="10" spans="1:11" s="62" customFormat="1" ht="21" customHeight="1">
      <c r="A10" s="62">
        <v>2</v>
      </c>
      <c r="B10" s="64"/>
      <c r="C10" s="228"/>
      <c r="D10" s="228"/>
      <c r="E10" s="227" t="s">
        <v>177</v>
      </c>
      <c r="F10" s="63"/>
      <c r="G10" s="79">
        <v>-43190067611</v>
      </c>
      <c r="H10" s="30"/>
      <c r="I10" s="57">
        <v>-6259516877</v>
      </c>
      <c r="J10" s="51"/>
      <c r="K10" s="16"/>
    </row>
    <row r="11" spans="1:11" s="62" customFormat="1" ht="21" customHeight="1">
      <c r="A11" s="62">
        <v>3</v>
      </c>
      <c r="B11" s="64"/>
      <c r="C11" s="242" t="s">
        <v>102</v>
      </c>
      <c r="D11" s="242"/>
      <c r="E11" s="227" t="s">
        <v>158</v>
      </c>
      <c r="F11" s="60"/>
      <c r="G11" s="72">
        <v>59493120089</v>
      </c>
      <c r="H11" s="30"/>
      <c r="I11" s="31">
        <v>408329857</v>
      </c>
      <c r="J11" s="51"/>
    </row>
    <row r="12" spans="1:11" s="62" customFormat="1" ht="21" customHeight="1">
      <c r="A12" s="62">
        <v>4</v>
      </c>
      <c r="B12" s="64"/>
      <c r="C12" s="242" t="s">
        <v>34</v>
      </c>
      <c r="D12" s="242"/>
      <c r="E12" s="227" t="s">
        <v>178</v>
      </c>
      <c r="F12" s="63"/>
      <c r="G12" s="72">
        <v>42056675382</v>
      </c>
      <c r="H12" s="32"/>
      <c r="I12" s="31">
        <v>42089525967</v>
      </c>
      <c r="J12" s="52"/>
    </row>
    <row r="13" spans="1:11" s="62" customFormat="1" ht="21" customHeight="1">
      <c r="A13" s="62">
        <v>5</v>
      </c>
      <c r="B13" s="64"/>
      <c r="C13" s="61"/>
      <c r="D13" s="226"/>
      <c r="E13" s="227" t="s">
        <v>104</v>
      </c>
      <c r="F13" s="60"/>
      <c r="G13" s="79">
        <v>-976044286</v>
      </c>
      <c r="H13" s="33"/>
      <c r="I13" s="57">
        <v>-1002937311</v>
      </c>
      <c r="J13" s="53"/>
    </row>
    <row r="14" spans="1:11" s="62" customFormat="1" ht="21" customHeight="1">
      <c r="A14" s="62">
        <v>6</v>
      </c>
      <c r="B14" s="64"/>
      <c r="C14" s="242" t="s">
        <v>35</v>
      </c>
      <c r="D14" s="242"/>
      <c r="E14" s="227" t="s">
        <v>179</v>
      </c>
      <c r="F14" s="63"/>
      <c r="G14" s="29">
        <v>8012710520</v>
      </c>
      <c r="H14" s="34"/>
      <c r="I14" s="31" t="s">
        <v>321</v>
      </c>
      <c r="J14" s="54"/>
    </row>
    <row r="15" spans="1:11" s="62" customFormat="1" ht="21" customHeight="1">
      <c r="A15" s="62">
        <v>7</v>
      </c>
      <c r="B15" s="64"/>
      <c r="C15" s="242" t="s">
        <v>36</v>
      </c>
      <c r="D15" s="242"/>
      <c r="E15" s="227" t="s">
        <v>180</v>
      </c>
      <c r="F15" s="63"/>
      <c r="G15" s="72">
        <v>5378975389</v>
      </c>
      <c r="H15" s="32"/>
      <c r="I15" s="31">
        <v>4762063562</v>
      </c>
      <c r="J15" s="52"/>
    </row>
    <row r="16" spans="1:11" s="62" customFormat="1" ht="21" customHeight="1">
      <c r="A16" s="62">
        <v>8</v>
      </c>
      <c r="B16" s="64"/>
      <c r="C16" s="61"/>
      <c r="D16" s="226"/>
      <c r="E16" s="227" t="s">
        <v>104</v>
      </c>
      <c r="F16" s="60"/>
      <c r="G16" s="79">
        <v>-3795162965</v>
      </c>
      <c r="H16" s="33"/>
      <c r="I16" s="57">
        <v>-3795162965</v>
      </c>
      <c r="J16" s="53"/>
    </row>
    <row r="17" spans="1:10" s="62" customFormat="1" ht="21" customHeight="1">
      <c r="A17" s="62">
        <v>102</v>
      </c>
      <c r="B17" s="64"/>
      <c r="C17" s="242" t="s">
        <v>213</v>
      </c>
      <c r="D17" s="242"/>
      <c r="E17" s="227" t="s">
        <v>218</v>
      </c>
      <c r="F17" s="60"/>
      <c r="G17" s="72" t="s">
        <v>321</v>
      </c>
      <c r="H17" s="59"/>
      <c r="I17" s="29">
        <v>106287278</v>
      </c>
      <c r="J17" s="58"/>
    </row>
    <row r="18" spans="1:10" s="62" customFormat="1" ht="21" customHeight="1">
      <c r="A18" s="62">
        <v>9</v>
      </c>
      <c r="B18" s="64"/>
      <c r="C18" s="242" t="s">
        <v>214</v>
      </c>
      <c r="D18" s="242"/>
      <c r="E18" s="227" t="s">
        <v>2</v>
      </c>
      <c r="F18" s="63"/>
      <c r="G18" s="72">
        <v>14493986697</v>
      </c>
      <c r="H18" s="34"/>
      <c r="I18" s="31">
        <v>14532486696</v>
      </c>
      <c r="J18" s="54"/>
    </row>
    <row r="19" spans="1:10" s="62" customFormat="1" ht="21" customHeight="1">
      <c r="A19" s="62">
        <v>10</v>
      </c>
      <c r="B19" s="64"/>
      <c r="C19" s="242" t="s">
        <v>215</v>
      </c>
      <c r="D19" s="242"/>
      <c r="E19" s="227" t="s">
        <v>3</v>
      </c>
      <c r="F19" s="60"/>
      <c r="G19" s="72">
        <v>417748391</v>
      </c>
      <c r="H19" s="34"/>
      <c r="I19" s="31">
        <v>563223038</v>
      </c>
      <c r="J19" s="54"/>
    </row>
    <row r="20" spans="1:10" s="62" customFormat="1" ht="21" customHeight="1">
      <c r="A20" s="62">
        <v>11</v>
      </c>
      <c r="B20" s="64"/>
      <c r="C20" s="242" t="s">
        <v>216</v>
      </c>
      <c r="D20" s="242"/>
      <c r="E20" s="227" t="s">
        <v>108</v>
      </c>
      <c r="F20" s="63"/>
      <c r="G20" s="72">
        <v>1351200000</v>
      </c>
      <c r="H20" s="34"/>
      <c r="I20" s="29">
        <v>32700000</v>
      </c>
      <c r="J20" s="54"/>
    </row>
    <row r="21" spans="1:10" s="62" customFormat="1" ht="21" customHeight="1">
      <c r="A21" s="62">
        <v>13</v>
      </c>
      <c r="B21" s="64"/>
      <c r="C21" s="242" t="s">
        <v>217</v>
      </c>
      <c r="D21" s="242"/>
      <c r="E21" s="227" t="s">
        <v>303</v>
      </c>
      <c r="F21" s="63"/>
      <c r="G21" s="72">
        <v>548527908</v>
      </c>
      <c r="H21" s="34"/>
      <c r="I21" s="31">
        <v>864056081</v>
      </c>
      <c r="J21" s="54"/>
    </row>
    <row r="22" spans="1:10" s="62" customFormat="1" ht="21" customHeight="1">
      <c r="B22" s="259" t="s">
        <v>109</v>
      </c>
      <c r="C22" s="260"/>
      <c r="D22" s="244" t="s">
        <v>110</v>
      </c>
      <c r="E22" s="244"/>
      <c r="F22" s="63"/>
      <c r="G22" s="71"/>
      <c r="H22" s="33">
        <v>38275441179</v>
      </c>
      <c r="I22" s="71"/>
      <c r="J22" s="81">
        <v>37812206772</v>
      </c>
    </row>
    <row r="23" spans="1:10" s="62" customFormat="1" ht="21" customHeight="1">
      <c r="A23" s="62">
        <v>15</v>
      </c>
      <c r="B23" s="64"/>
      <c r="C23" s="242" t="s">
        <v>101</v>
      </c>
      <c r="D23" s="242"/>
      <c r="E23" s="227" t="s">
        <v>199</v>
      </c>
      <c r="F23" s="63"/>
      <c r="G23" s="72">
        <v>38053205839</v>
      </c>
      <c r="H23" s="33"/>
      <c r="I23" s="72">
        <v>37538731129</v>
      </c>
      <c r="J23" s="81"/>
    </row>
    <row r="24" spans="1:10" s="62" customFormat="1" ht="21" customHeight="1">
      <c r="A24" s="62">
        <v>16</v>
      </c>
      <c r="B24" s="64"/>
      <c r="C24" s="242" t="s">
        <v>102</v>
      </c>
      <c r="D24" s="242"/>
      <c r="E24" s="227" t="s">
        <v>4</v>
      </c>
      <c r="F24" s="63"/>
      <c r="G24" s="29">
        <v>222235340</v>
      </c>
      <c r="H24" s="34"/>
      <c r="I24" s="72">
        <v>273475643</v>
      </c>
      <c r="J24" s="82"/>
    </row>
    <row r="25" spans="1:10" s="62" customFormat="1" ht="21" customHeight="1">
      <c r="B25" s="64" t="s">
        <v>111</v>
      </c>
      <c r="C25" s="244" t="s">
        <v>112</v>
      </c>
      <c r="D25" s="244"/>
      <c r="E25" s="244"/>
      <c r="F25" s="60"/>
      <c r="G25" s="29"/>
      <c r="H25" s="28">
        <v>5989776818822</v>
      </c>
      <c r="I25" s="71"/>
      <c r="J25" s="81">
        <v>6016806637744</v>
      </c>
    </row>
    <row r="26" spans="1:10" s="62" customFormat="1" ht="21" customHeight="1">
      <c r="B26" s="259" t="s">
        <v>100</v>
      </c>
      <c r="C26" s="260"/>
      <c r="D26" s="244" t="s">
        <v>5</v>
      </c>
      <c r="E26" s="244"/>
      <c r="F26" s="63"/>
      <c r="G26" s="71"/>
      <c r="H26" s="28">
        <v>103916805181</v>
      </c>
      <c r="I26" s="71"/>
      <c r="J26" s="81">
        <v>84775597382</v>
      </c>
    </row>
    <row r="27" spans="1:10" s="62" customFormat="1" ht="21" customHeight="1">
      <c r="A27" s="62">
        <v>103</v>
      </c>
      <c r="B27" s="64"/>
      <c r="C27" s="242" t="s">
        <v>220</v>
      </c>
      <c r="D27" s="242"/>
      <c r="E27" s="227" t="s">
        <v>181</v>
      </c>
      <c r="F27" s="63"/>
      <c r="G27" s="72">
        <v>73299652897</v>
      </c>
      <c r="H27" s="33"/>
      <c r="I27" s="72">
        <v>75543118229</v>
      </c>
      <c r="J27" s="81"/>
    </row>
    <row r="28" spans="1:10" s="62" customFormat="1" ht="21" customHeight="1">
      <c r="B28" s="64"/>
      <c r="C28" s="242" t="s">
        <v>33</v>
      </c>
      <c r="D28" s="242"/>
      <c r="E28" s="238" t="s">
        <v>182</v>
      </c>
      <c r="F28" s="63"/>
      <c r="G28" s="72">
        <v>16550897078</v>
      </c>
      <c r="H28" s="33"/>
      <c r="I28" s="72">
        <v>9232479153</v>
      </c>
      <c r="J28" s="81"/>
    </row>
    <row r="29" spans="1:10" s="62" customFormat="1" ht="21" customHeight="1">
      <c r="A29" s="62">
        <v>17</v>
      </c>
      <c r="B29" s="64"/>
      <c r="C29" s="242" t="s">
        <v>34</v>
      </c>
      <c r="D29" s="242"/>
      <c r="E29" s="227" t="s">
        <v>320</v>
      </c>
      <c r="F29" s="63"/>
      <c r="G29" s="72">
        <v>14066255206</v>
      </c>
      <c r="H29" s="33"/>
      <c r="I29" s="71"/>
      <c r="J29" s="81"/>
    </row>
    <row r="30" spans="1:10" s="62" customFormat="1" ht="21" customHeight="1">
      <c r="B30" s="262" t="s">
        <v>109</v>
      </c>
      <c r="C30" s="263"/>
      <c r="D30" s="264" t="s">
        <v>183</v>
      </c>
      <c r="E30" s="264"/>
      <c r="F30" s="83"/>
      <c r="G30" s="84"/>
      <c r="H30" s="85">
        <v>5865288938778</v>
      </c>
      <c r="I30" s="27"/>
      <c r="J30" s="50">
        <v>5912451450216</v>
      </c>
    </row>
    <row r="31" spans="1:10" s="62" customFormat="1" ht="21" customHeight="1">
      <c r="A31" s="62">
        <v>19</v>
      </c>
      <c r="B31" s="86"/>
      <c r="C31" s="258" t="s">
        <v>101</v>
      </c>
      <c r="D31" s="258"/>
      <c r="E31" s="231" t="s">
        <v>7</v>
      </c>
      <c r="F31" s="87"/>
      <c r="G31" s="88">
        <v>2064583183545</v>
      </c>
      <c r="H31" s="89"/>
      <c r="I31" s="31">
        <v>2064583183545</v>
      </c>
      <c r="J31" s="54"/>
    </row>
    <row r="32" spans="1:10" s="62" customFormat="1" ht="21" customHeight="1">
      <c r="A32" s="62">
        <v>20</v>
      </c>
      <c r="B32" s="86"/>
      <c r="C32" s="258" t="s">
        <v>102</v>
      </c>
      <c r="D32" s="258"/>
      <c r="E32" s="231" t="s">
        <v>8</v>
      </c>
      <c r="F32" s="87"/>
      <c r="G32" s="88">
        <v>264698660307</v>
      </c>
      <c r="H32" s="90"/>
      <c r="I32" s="31">
        <v>247658681090</v>
      </c>
      <c r="J32" s="52"/>
    </row>
    <row r="33" spans="1:11" s="62" customFormat="1" ht="21" customHeight="1">
      <c r="A33" s="62">
        <v>21</v>
      </c>
      <c r="B33" s="86"/>
      <c r="C33" s="91"/>
      <c r="D33" s="230"/>
      <c r="E33" s="231" t="s">
        <v>113</v>
      </c>
      <c r="F33" s="83"/>
      <c r="G33" s="88">
        <v>-142738411162</v>
      </c>
      <c r="H33" s="92"/>
      <c r="I33" s="57">
        <v>-138421125741</v>
      </c>
      <c r="J33" s="53"/>
      <c r="K33" s="15"/>
    </row>
    <row r="34" spans="1:11" s="62" customFormat="1" ht="21" customHeight="1">
      <c r="A34" s="62">
        <v>22</v>
      </c>
      <c r="B34" s="86"/>
      <c r="C34" s="91"/>
      <c r="D34" s="230"/>
      <c r="E34" s="231" t="s">
        <v>173</v>
      </c>
      <c r="F34" s="83"/>
      <c r="G34" s="88">
        <v>-7509120</v>
      </c>
      <c r="H34" s="92"/>
      <c r="I34" s="241">
        <v>-7914108</v>
      </c>
      <c r="J34" s="53"/>
      <c r="K34" s="15"/>
    </row>
    <row r="35" spans="1:11" s="62" customFormat="1" ht="21" customHeight="1">
      <c r="A35" s="62">
        <v>23</v>
      </c>
      <c r="B35" s="86"/>
      <c r="C35" s="258" t="s">
        <v>103</v>
      </c>
      <c r="D35" s="258"/>
      <c r="E35" s="231" t="s">
        <v>9</v>
      </c>
      <c r="F35" s="87"/>
      <c r="G35" s="88">
        <v>56441695117</v>
      </c>
      <c r="H35" s="92"/>
      <c r="I35" s="31">
        <v>55358583265</v>
      </c>
      <c r="J35" s="53"/>
      <c r="K35" s="15"/>
    </row>
    <row r="36" spans="1:11" s="62" customFormat="1" ht="21" customHeight="1">
      <c r="A36" s="62">
        <v>24</v>
      </c>
      <c r="B36" s="86"/>
      <c r="C36" s="91"/>
      <c r="D36" s="230"/>
      <c r="E36" s="231" t="s">
        <v>113</v>
      </c>
      <c r="F36" s="83"/>
      <c r="G36" s="88">
        <v>-32224722683</v>
      </c>
      <c r="H36" s="92"/>
      <c r="I36" s="57">
        <v>-29981753512</v>
      </c>
      <c r="J36" s="53"/>
    </row>
    <row r="37" spans="1:11" s="62" customFormat="1" ht="21" customHeight="1">
      <c r="A37" s="62">
        <v>25</v>
      </c>
      <c r="B37" s="86"/>
      <c r="C37" s="258" t="s">
        <v>105</v>
      </c>
      <c r="D37" s="258"/>
      <c r="E37" s="231" t="s">
        <v>10</v>
      </c>
      <c r="F37" s="87"/>
      <c r="G37" s="88">
        <v>3526855637253</v>
      </c>
      <c r="H37" s="92"/>
      <c r="I37" s="31">
        <v>3572179462030</v>
      </c>
      <c r="J37" s="53"/>
      <c r="K37" s="77"/>
    </row>
    <row r="38" spans="1:11" s="62" customFormat="1" ht="21" customHeight="1">
      <c r="A38" s="62">
        <v>26</v>
      </c>
      <c r="B38" s="86"/>
      <c r="C38" s="91"/>
      <c r="D38" s="230"/>
      <c r="E38" s="231" t="s">
        <v>113</v>
      </c>
      <c r="F38" s="83"/>
      <c r="G38" s="88">
        <v>-1404599509738</v>
      </c>
      <c r="H38" s="92"/>
      <c r="I38" s="57">
        <v>1339879950782</v>
      </c>
      <c r="J38" s="53"/>
    </row>
    <row r="39" spans="1:11" s="62" customFormat="1" ht="21" customHeight="1">
      <c r="A39" s="62">
        <v>27</v>
      </c>
      <c r="B39" s="86"/>
      <c r="C39" s="91"/>
      <c r="D39" s="230"/>
      <c r="E39" s="231" t="s">
        <v>173</v>
      </c>
      <c r="F39" s="83"/>
      <c r="G39" s="88">
        <v>-2643560546</v>
      </c>
      <c r="H39" s="92"/>
      <c r="I39" s="57">
        <v>-2189056827</v>
      </c>
      <c r="J39" s="53"/>
      <c r="K39" s="17"/>
    </row>
    <row r="40" spans="1:11" s="62" customFormat="1" ht="21" customHeight="1">
      <c r="A40" s="62">
        <v>28</v>
      </c>
      <c r="B40" s="86"/>
      <c r="C40" s="258" t="s">
        <v>106</v>
      </c>
      <c r="D40" s="258"/>
      <c r="E40" s="231" t="s">
        <v>11</v>
      </c>
      <c r="F40" s="87"/>
      <c r="G40" s="88">
        <v>1218618110481</v>
      </c>
      <c r="H40" s="92"/>
      <c r="I40" s="31">
        <v>1110221395501</v>
      </c>
      <c r="J40" s="53"/>
      <c r="K40" s="17"/>
    </row>
    <row r="41" spans="1:11" s="62" customFormat="1" ht="21" customHeight="1">
      <c r="A41" s="62">
        <v>29</v>
      </c>
      <c r="B41" s="86"/>
      <c r="C41" s="91"/>
      <c r="D41" s="230"/>
      <c r="E41" s="231" t="s">
        <v>113</v>
      </c>
      <c r="F41" s="83"/>
      <c r="G41" s="88">
        <v>-486165643688</v>
      </c>
      <c r="H41" s="92"/>
      <c r="I41" s="57">
        <v>-448994476286</v>
      </c>
      <c r="J41" s="53"/>
      <c r="K41" s="18"/>
    </row>
    <row r="42" spans="1:11" s="62" customFormat="1" ht="21" customHeight="1">
      <c r="A42" s="62">
        <v>30</v>
      </c>
      <c r="B42" s="86"/>
      <c r="C42" s="91"/>
      <c r="D42" s="230"/>
      <c r="E42" s="231" t="s">
        <v>173</v>
      </c>
      <c r="F42" s="83"/>
      <c r="G42" s="88">
        <v>-2405660728</v>
      </c>
      <c r="H42" s="92"/>
      <c r="I42" s="57">
        <v>-2283989397</v>
      </c>
      <c r="J42" s="53"/>
    </row>
    <row r="43" spans="1:11" s="62" customFormat="1" ht="21" customHeight="1">
      <c r="A43" s="62">
        <v>31</v>
      </c>
      <c r="B43" s="86"/>
      <c r="C43" s="258" t="s">
        <v>107</v>
      </c>
      <c r="D43" s="258"/>
      <c r="E43" s="231" t="s">
        <v>12</v>
      </c>
      <c r="F43" s="87"/>
      <c r="G43" s="88">
        <v>1592367217771</v>
      </c>
      <c r="H43" s="92"/>
      <c r="I43" s="31">
        <v>1584850640404</v>
      </c>
      <c r="J43" s="53"/>
    </row>
    <row r="44" spans="1:11" s="62" customFormat="1" ht="21" customHeight="1">
      <c r="A44" s="62">
        <v>32</v>
      </c>
      <c r="B44" s="86"/>
      <c r="C44" s="91"/>
      <c r="D44" s="230"/>
      <c r="E44" s="231" t="s">
        <v>113</v>
      </c>
      <c r="F44" s="83"/>
      <c r="G44" s="88">
        <v>-924670384186</v>
      </c>
      <c r="H44" s="92"/>
      <c r="I44" s="57">
        <v>-869229541444</v>
      </c>
      <c r="J44" s="53"/>
    </row>
    <row r="45" spans="1:11" s="62" customFormat="1" ht="21" customHeight="1">
      <c r="A45" s="62">
        <v>33</v>
      </c>
      <c r="B45" s="86"/>
      <c r="C45" s="258" t="s">
        <v>114</v>
      </c>
      <c r="D45" s="258"/>
      <c r="E45" s="231" t="s">
        <v>13</v>
      </c>
      <c r="F45" s="87"/>
      <c r="G45" s="88">
        <v>2797994009</v>
      </c>
      <c r="H45" s="92"/>
      <c r="I45" s="31">
        <v>2679431541</v>
      </c>
      <c r="J45" s="53"/>
    </row>
    <row r="46" spans="1:11" s="62" customFormat="1" ht="21" customHeight="1">
      <c r="A46" s="62">
        <v>34</v>
      </c>
      <c r="B46" s="86"/>
      <c r="C46" s="91"/>
      <c r="D46" s="230"/>
      <c r="E46" s="231" t="s">
        <v>113</v>
      </c>
      <c r="F46" s="83"/>
      <c r="G46" s="88">
        <v>-2301120982</v>
      </c>
      <c r="H46" s="92"/>
      <c r="I46" s="57">
        <v>-2397963253</v>
      </c>
      <c r="J46" s="53"/>
    </row>
    <row r="47" spans="1:11" s="62" customFormat="1" ht="21" customHeight="1">
      <c r="A47" s="62">
        <v>35</v>
      </c>
      <c r="B47" s="86"/>
      <c r="C47" s="258" t="s">
        <v>115</v>
      </c>
      <c r="D47" s="258"/>
      <c r="E47" s="231" t="s">
        <v>14</v>
      </c>
      <c r="F47" s="87"/>
      <c r="G47" s="88">
        <v>73313018824</v>
      </c>
      <c r="H47" s="92"/>
      <c r="I47" s="31">
        <v>81392320142</v>
      </c>
      <c r="J47" s="53"/>
    </row>
    <row r="48" spans="1:11" s="62" customFormat="1" ht="21" customHeight="1">
      <c r="A48" s="62">
        <v>36</v>
      </c>
      <c r="B48" s="86"/>
      <c r="C48" s="91"/>
      <c r="D48" s="230"/>
      <c r="E48" s="231" t="s">
        <v>113</v>
      </c>
      <c r="F48" s="83"/>
      <c r="G48" s="88">
        <v>-64765815758</v>
      </c>
      <c r="H48" s="92"/>
      <c r="I48" s="57">
        <v>-72409279713</v>
      </c>
      <c r="J48" s="53"/>
    </row>
    <row r="49" spans="1:10" s="62" customFormat="1" ht="21" customHeight="1">
      <c r="B49" s="86"/>
      <c r="C49" s="91"/>
      <c r="D49" s="239"/>
      <c r="E49" s="240" t="s">
        <v>173</v>
      </c>
      <c r="F49" s="83"/>
      <c r="G49" s="88">
        <v>-118030806</v>
      </c>
      <c r="H49" s="304"/>
      <c r="I49" s="57" t="s">
        <v>321</v>
      </c>
      <c r="J49" s="58"/>
    </row>
    <row r="50" spans="1:10" s="62" customFormat="1" ht="21" customHeight="1">
      <c r="A50" s="62">
        <v>37</v>
      </c>
      <c r="B50" s="86"/>
      <c r="C50" s="258" t="s">
        <v>116</v>
      </c>
      <c r="D50" s="258"/>
      <c r="E50" s="231" t="s">
        <v>137</v>
      </c>
      <c r="F50" s="87"/>
      <c r="G50" s="88">
        <v>4661666426</v>
      </c>
      <c r="H50" s="89"/>
      <c r="I50" s="31">
        <v>4547625716</v>
      </c>
      <c r="J50" s="54"/>
    </row>
    <row r="51" spans="1:10" s="62" customFormat="1" ht="21" customHeight="1">
      <c r="A51" s="62">
        <v>38</v>
      </c>
      <c r="B51" s="86"/>
      <c r="C51" s="258"/>
      <c r="D51" s="258"/>
      <c r="E51" s="231" t="s">
        <v>138</v>
      </c>
      <c r="F51" s="87"/>
      <c r="G51" s="88">
        <v>-2577547631</v>
      </c>
      <c r="H51" s="90"/>
      <c r="I51" s="57">
        <v>-2413276421</v>
      </c>
      <c r="J51" s="52"/>
    </row>
    <row r="52" spans="1:10" s="62" customFormat="1" ht="21" customHeight="1">
      <c r="A52" s="62">
        <v>39</v>
      </c>
      <c r="B52" s="86"/>
      <c r="C52" s="258" t="s">
        <v>134</v>
      </c>
      <c r="D52" s="258"/>
      <c r="E52" s="231" t="s">
        <v>139</v>
      </c>
      <c r="F52" s="83"/>
      <c r="G52" s="88">
        <v>130345182730</v>
      </c>
      <c r="H52" s="92"/>
      <c r="I52" s="31">
        <v>99242904608</v>
      </c>
      <c r="J52" s="53"/>
    </row>
    <row r="53" spans="1:10" s="62" customFormat="1" ht="21" customHeight="1">
      <c r="A53" s="62">
        <v>40</v>
      </c>
      <c r="B53" s="86"/>
      <c r="C53" s="229"/>
      <c r="D53" s="229"/>
      <c r="E53" s="231" t="s">
        <v>173</v>
      </c>
      <c r="F53" s="83"/>
      <c r="G53" s="88">
        <v>-4175510657</v>
      </c>
      <c r="H53" s="92"/>
      <c r="I53" s="57">
        <v>-2054450142</v>
      </c>
      <c r="J53" s="53"/>
    </row>
    <row r="54" spans="1:10" s="62" customFormat="1" ht="21" customHeight="1">
      <c r="A54" s="62">
        <v>69</v>
      </c>
      <c r="B54" s="86"/>
      <c r="C54" s="258" t="s">
        <v>166</v>
      </c>
      <c r="D54" s="258"/>
      <c r="E54" s="231" t="s">
        <v>202</v>
      </c>
      <c r="F54" s="83"/>
      <c r="G54" s="88">
        <v>772681878</v>
      </c>
      <c r="H54" s="92"/>
      <c r="I54" s="29">
        <v>72097413</v>
      </c>
      <c r="J54" s="53"/>
    </row>
    <row r="55" spans="1:10" s="62" customFormat="1" ht="21" customHeight="1">
      <c r="A55" s="62">
        <v>70</v>
      </c>
      <c r="B55" s="86"/>
      <c r="C55" s="229"/>
      <c r="D55" s="229"/>
      <c r="E55" s="231" t="s">
        <v>113</v>
      </c>
      <c r="F55" s="83"/>
      <c r="G55" s="88">
        <v>-64347821</v>
      </c>
      <c r="H55" s="92"/>
      <c r="I55" s="241">
        <v>-2651278</v>
      </c>
      <c r="J55" s="53"/>
    </row>
    <row r="56" spans="1:10" s="62" customFormat="1" ht="21" customHeight="1">
      <c r="A56" s="62">
        <v>71</v>
      </c>
      <c r="B56" s="86"/>
      <c r="C56" s="229"/>
      <c r="D56" s="229"/>
      <c r="E56" s="231" t="s">
        <v>203</v>
      </c>
      <c r="F56" s="83"/>
      <c r="G56" s="88">
        <v>-708334057</v>
      </c>
      <c r="H56" s="92"/>
      <c r="I56" s="241">
        <v>-69446135</v>
      </c>
      <c r="J56" s="53"/>
    </row>
    <row r="57" spans="1:10" s="62" customFormat="1" ht="21" customHeight="1">
      <c r="B57" s="259" t="s">
        <v>117</v>
      </c>
      <c r="C57" s="260"/>
      <c r="D57" s="244" t="s">
        <v>184</v>
      </c>
      <c r="E57" s="244"/>
      <c r="F57" s="63"/>
      <c r="G57" s="71"/>
      <c r="H57" s="28">
        <v>16449233420</v>
      </c>
      <c r="I57" s="27"/>
      <c r="J57" s="81">
        <v>16325230418</v>
      </c>
    </row>
    <row r="58" spans="1:10" s="62" customFormat="1" ht="21" customHeight="1">
      <c r="A58" s="62">
        <v>41</v>
      </c>
      <c r="B58" s="64"/>
      <c r="C58" s="242" t="s">
        <v>101</v>
      </c>
      <c r="D58" s="242"/>
      <c r="E58" s="35" t="s">
        <v>140</v>
      </c>
      <c r="F58" s="60"/>
      <c r="G58" s="72">
        <v>182180656</v>
      </c>
      <c r="H58" s="33"/>
      <c r="I58" s="31">
        <v>184524582</v>
      </c>
      <c r="J58" s="53"/>
    </row>
    <row r="59" spans="1:10" s="62" customFormat="1" ht="21" customHeight="1">
      <c r="A59" s="62">
        <v>42</v>
      </c>
      <c r="B59" s="64"/>
      <c r="C59" s="242" t="s">
        <v>102</v>
      </c>
      <c r="D59" s="242"/>
      <c r="E59" s="35" t="s">
        <v>141</v>
      </c>
      <c r="F59" s="60"/>
      <c r="G59" s="72">
        <v>12187753051</v>
      </c>
      <c r="H59" s="33"/>
      <c r="I59" s="31">
        <v>12187753051</v>
      </c>
      <c r="J59" s="53"/>
    </row>
    <row r="60" spans="1:10" s="62" customFormat="1" ht="21" customHeight="1">
      <c r="A60" s="62">
        <v>43</v>
      </c>
      <c r="B60" s="64"/>
      <c r="C60" s="242" t="s">
        <v>103</v>
      </c>
      <c r="D60" s="242"/>
      <c r="E60" s="35" t="s">
        <v>142</v>
      </c>
      <c r="F60" s="60"/>
      <c r="G60" s="72">
        <v>4079299713</v>
      </c>
      <c r="H60" s="33"/>
      <c r="I60" s="31">
        <v>3952952785</v>
      </c>
      <c r="J60" s="53"/>
    </row>
    <row r="61" spans="1:10" s="62" customFormat="1" ht="21" customHeight="1">
      <c r="A61" s="62">
        <v>72</v>
      </c>
      <c r="B61" s="64"/>
      <c r="C61" s="242" t="s">
        <v>43</v>
      </c>
      <c r="D61" s="242"/>
      <c r="E61" s="35" t="s">
        <v>204</v>
      </c>
      <c r="F61" s="60"/>
      <c r="G61" s="72">
        <v>531740597</v>
      </c>
      <c r="H61" s="33"/>
      <c r="I61" s="29">
        <v>19973257</v>
      </c>
      <c r="J61" s="53"/>
    </row>
    <row r="62" spans="1:10" s="62" customFormat="1" ht="21" customHeight="1">
      <c r="B62" s="64"/>
      <c r="C62" s="228"/>
      <c r="D62" s="228"/>
      <c r="E62" s="240" t="s">
        <v>203</v>
      </c>
      <c r="F62" s="60"/>
      <c r="G62" s="72">
        <v>-531740597</v>
      </c>
      <c r="H62" s="33"/>
      <c r="I62" s="29">
        <v>-19973257</v>
      </c>
      <c r="J62" s="53"/>
    </row>
    <row r="63" spans="1:10" s="62" customFormat="1" ht="21" customHeight="1">
      <c r="B63" s="259" t="s">
        <v>118</v>
      </c>
      <c r="C63" s="260"/>
      <c r="D63" s="244" t="s">
        <v>119</v>
      </c>
      <c r="E63" s="244"/>
      <c r="F63" s="63"/>
      <c r="G63" s="71"/>
      <c r="H63" s="28">
        <v>4121841443</v>
      </c>
      <c r="I63" s="27"/>
      <c r="J63" s="50">
        <v>3254359728</v>
      </c>
    </row>
    <row r="64" spans="1:10" s="62" customFormat="1" ht="21" customHeight="1">
      <c r="A64" s="62">
        <v>44</v>
      </c>
      <c r="B64" s="64"/>
      <c r="C64" s="242" t="s">
        <v>132</v>
      </c>
      <c r="D64" s="242"/>
      <c r="E64" s="227" t="s">
        <v>6</v>
      </c>
      <c r="F64" s="63"/>
      <c r="G64" s="72">
        <v>12413500</v>
      </c>
      <c r="H64" s="33"/>
      <c r="I64" s="31">
        <v>14349500</v>
      </c>
      <c r="J64" s="53"/>
    </row>
    <row r="65" spans="1:13" s="62" customFormat="1" ht="21" customHeight="1">
      <c r="A65" s="62">
        <v>45</v>
      </c>
      <c r="B65" s="64"/>
      <c r="C65" s="242" t="s">
        <v>133</v>
      </c>
      <c r="D65" s="242"/>
      <c r="E65" s="227" t="s">
        <v>120</v>
      </c>
      <c r="F65" s="63"/>
      <c r="G65" s="72">
        <v>4109427943</v>
      </c>
      <c r="H65" s="33"/>
      <c r="I65" s="31">
        <v>3240010228</v>
      </c>
      <c r="J65" s="53"/>
    </row>
    <row r="66" spans="1:13" s="62" customFormat="1" ht="21" customHeight="1" thickBot="1">
      <c r="B66" s="148" t="s">
        <v>18</v>
      </c>
      <c r="C66" s="243" t="s">
        <v>161</v>
      </c>
      <c r="D66" s="243"/>
      <c r="E66" s="243"/>
      <c r="F66" s="149"/>
      <c r="G66" s="150"/>
      <c r="H66" s="151">
        <v>6242865805633</v>
      </c>
      <c r="I66" s="152"/>
      <c r="J66" s="153">
        <v>6206434663360</v>
      </c>
    </row>
    <row r="67" spans="1:13" s="62" customFormat="1" ht="21" customHeight="1" thickTop="1">
      <c r="B67" s="245" t="s">
        <v>121</v>
      </c>
      <c r="C67" s="242"/>
      <c r="D67" s="242"/>
      <c r="E67" s="242"/>
      <c r="F67" s="36"/>
      <c r="G67" s="71"/>
      <c r="H67" s="28"/>
      <c r="I67" s="27"/>
      <c r="J67" s="50"/>
    </row>
    <row r="68" spans="1:13" s="62" customFormat="1" ht="21" customHeight="1">
      <c r="B68" s="64" t="s">
        <v>99</v>
      </c>
      <c r="C68" s="244" t="s">
        <v>15</v>
      </c>
      <c r="D68" s="244"/>
      <c r="E68" s="244"/>
      <c r="F68" s="63"/>
      <c r="G68" s="71"/>
      <c r="H68" s="28">
        <v>674730896268</v>
      </c>
      <c r="I68" s="27"/>
      <c r="J68" s="50">
        <v>707121415747</v>
      </c>
    </row>
    <row r="69" spans="1:13" s="62" customFormat="1" ht="21" customHeight="1">
      <c r="B69" s="235" t="s">
        <v>304</v>
      </c>
      <c r="C69" s="236"/>
      <c r="D69" s="244" t="s">
        <v>316</v>
      </c>
      <c r="E69" s="244"/>
      <c r="F69" s="63"/>
      <c r="G69" s="71" t="s">
        <v>321</v>
      </c>
      <c r="H69" s="28"/>
      <c r="I69" s="27">
        <v>250000000000</v>
      </c>
      <c r="J69" s="50"/>
    </row>
    <row r="70" spans="1:13" s="62" customFormat="1" ht="21" customHeight="1">
      <c r="A70" s="62">
        <v>46</v>
      </c>
      <c r="B70" s="225" t="s">
        <v>67</v>
      </c>
      <c r="C70" s="226"/>
      <c r="D70" s="244" t="s">
        <v>185</v>
      </c>
      <c r="E70" s="244"/>
      <c r="F70" s="63"/>
      <c r="G70" s="72">
        <v>68603149745</v>
      </c>
      <c r="H70" s="33"/>
      <c r="I70" s="31">
        <v>69149383720</v>
      </c>
      <c r="J70" s="53"/>
      <c r="L70" s="13"/>
      <c r="M70" s="14"/>
    </row>
    <row r="71" spans="1:13" s="62" customFormat="1" ht="21" customHeight="1">
      <c r="A71" s="62">
        <v>47</v>
      </c>
      <c r="B71" s="225" t="s">
        <v>68</v>
      </c>
      <c r="C71" s="226"/>
      <c r="D71" s="244" t="s">
        <v>131</v>
      </c>
      <c r="E71" s="244"/>
      <c r="F71" s="63"/>
      <c r="G71" s="72">
        <v>785088294</v>
      </c>
      <c r="H71" s="33"/>
      <c r="I71" s="31">
        <v>918394284</v>
      </c>
      <c r="J71" s="53"/>
    </row>
    <row r="72" spans="1:13" s="62" customFormat="1" ht="21" customHeight="1">
      <c r="A72" s="62">
        <v>48</v>
      </c>
      <c r="B72" s="225" t="s">
        <v>43</v>
      </c>
      <c r="C72" s="226"/>
      <c r="D72" s="244" t="s">
        <v>16</v>
      </c>
      <c r="E72" s="244"/>
      <c r="F72" s="63"/>
      <c r="G72" s="72">
        <v>40528614452</v>
      </c>
      <c r="H72" s="33"/>
      <c r="I72" s="31">
        <v>39155185232</v>
      </c>
      <c r="J72" s="53"/>
    </row>
    <row r="73" spans="1:13" s="62" customFormat="1" ht="21" customHeight="1">
      <c r="A73" s="62">
        <v>49</v>
      </c>
      <c r="B73" s="225" t="s">
        <v>44</v>
      </c>
      <c r="C73" s="226"/>
      <c r="D73" s="244" t="s">
        <v>186</v>
      </c>
      <c r="E73" s="244"/>
      <c r="F73" s="63"/>
      <c r="G73" s="72">
        <v>292615171825</v>
      </c>
      <c r="H73" s="33"/>
      <c r="I73" s="31">
        <v>244289315506</v>
      </c>
      <c r="J73" s="53"/>
    </row>
    <row r="74" spans="1:13" s="62" customFormat="1" ht="21" customHeight="1">
      <c r="A74" s="62">
        <v>51</v>
      </c>
      <c r="B74" s="225" t="s">
        <v>45</v>
      </c>
      <c r="C74" s="226"/>
      <c r="D74" s="244" t="s">
        <v>315</v>
      </c>
      <c r="E74" s="244"/>
      <c r="F74" s="63"/>
      <c r="G74" s="72">
        <v>3902101183</v>
      </c>
      <c r="H74" s="33"/>
      <c r="I74" s="29">
        <v>41027718</v>
      </c>
      <c r="J74" s="53"/>
    </row>
    <row r="75" spans="1:13" s="62" customFormat="1" ht="21" customHeight="1">
      <c r="A75" s="62">
        <v>75</v>
      </c>
      <c r="B75" s="225" t="s">
        <v>46</v>
      </c>
      <c r="C75" s="226"/>
      <c r="D75" s="244" t="s">
        <v>187</v>
      </c>
      <c r="E75" s="244"/>
      <c r="F75" s="63"/>
      <c r="G75" s="72">
        <v>225700000000</v>
      </c>
      <c r="H75" s="33"/>
      <c r="I75" s="31">
        <v>94968942521</v>
      </c>
      <c r="J75" s="53"/>
    </row>
    <row r="76" spans="1:13" s="62" customFormat="1" ht="21" customHeight="1">
      <c r="A76" s="62">
        <v>52</v>
      </c>
      <c r="B76" s="225" t="s">
        <v>47</v>
      </c>
      <c r="C76" s="226"/>
      <c r="D76" s="244" t="s">
        <v>17</v>
      </c>
      <c r="E76" s="244"/>
      <c r="F76" s="63"/>
      <c r="G76" s="72">
        <v>6301403324</v>
      </c>
      <c r="H76" s="33"/>
      <c r="I76" s="31">
        <v>6051918281</v>
      </c>
      <c r="J76" s="53"/>
    </row>
    <row r="77" spans="1:13" s="62" customFormat="1" ht="21" customHeight="1">
      <c r="A77" s="62">
        <v>53</v>
      </c>
      <c r="B77" s="235" t="s">
        <v>48</v>
      </c>
      <c r="C77" s="226"/>
      <c r="D77" s="244" t="s">
        <v>188</v>
      </c>
      <c r="E77" s="244"/>
      <c r="F77" s="63"/>
      <c r="G77" s="72">
        <v>6631906721</v>
      </c>
      <c r="H77" s="33"/>
      <c r="I77" s="31">
        <v>2547248485</v>
      </c>
      <c r="J77" s="53"/>
    </row>
    <row r="78" spans="1:13" s="62" customFormat="1" ht="21" customHeight="1">
      <c r="A78" s="62">
        <v>54</v>
      </c>
      <c r="B78" s="225" t="s">
        <v>134</v>
      </c>
      <c r="C78" s="226"/>
      <c r="D78" s="244" t="s">
        <v>322</v>
      </c>
      <c r="E78" s="244"/>
      <c r="F78" s="63"/>
      <c r="G78" s="29">
        <v>29663460724</v>
      </c>
      <c r="H78" s="33"/>
      <c r="I78" s="29" t="s">
        <v>321</v>
      </c>
      <c r="J78" s="53"/>
    </row>
    <row r="79" spans="1:13" s="62" customFormat="1" ht="21" customHeight="1">
      <c r="B79" s="64" t="s">
        <v>111</v>
      </c>
      <c r="C79" s="244" t="s">
        <v>122</v>
      </c>
      <c r="D79" s="244"/>
      <c r="E79" s="244"/>
      <c r="F79" s="63"/>
      <c r="G79" s="72"/>
      <c r="H79" s="28">
        <v>2382041255656</v>
      </c>
      <c r="I79" s="27"/>
      <c r="J79" s="50">
        <v>2246110161111</v>
      </c>
    </row>
    <row r="80" spans="1:13" s="62" customFormat="1" ht="21" customHeight="1">
      <c r="A80" s="62">
        <v>55</v>
      </c>
      <c r="B80" s="259" t="s">
        <v>101</v>
      </c>
      <c r="C80" s="260"/>
      <c r="D80" s="244" t="s">
        <v>189</v>
      </c>
      <c r="E80" s="244"/>
      <c r="F80" s="63"/>
      <c r="G80" s="29">
        <v>300000000000</v>
      </c>
      <c r="H80" s="28"/>
      <c r="I80" s="31" t="s">
        <v>321</v>
      </c>
      <c r="J80" s="50"/>
    </row>
    <row r="81" spans="1:10" s="62" customFormat="1" ht="21" customHeight="1">
      <c r="A81" s="62">
        <v>56</v>
      </c>
      <c r="B81" s="64"/>
      <c r="C81" s="227"/>
      <c r="D81" s="244" t="s">
        <v>164</v>
      </c>
      <c r="E81" s="244"/>
      <c r="F81" s="63"/>
      <c r="G81" s="72">
        <v>-76123222</v>
      </c>
      <c r="H81" s="28"/>
      <c r="I81" s="57" t="s">
        <v>321</v>
      </c>
      <c r="J81" s="50"/>
    </row>
    <row r="82" spans="1:10" s="62" customFormat="1" ht="21" customHeight="1">
      <c r="A82" s="62">
        <v>57</v>
      </c>
      <c r="B82" s="259" t="s">
        <v>163</v>
      </c>
      <c r="C82" s="260"/>
      <c r="D82" s="244" t="s">
        <v>190</v>
      </c>
      <c r="E82" s="244"/>
      <c r="F82" s="63"/>
      <c r="G82" s="72">
        <v>1275560559000</v>
      </c>
      <c r="H82" s="38"/>
      <c r="I82" s="31">
        <v>1489360559000</v>
      </c>
      <c r="J82" s="55"/>
    </row>
    <row r="83" spans="1:10" s="62" customFormat="1" ht="21" customHeight="1">
      <c r="A83" s="62">
        <v>74</v>
      </c>
      <c r="B83" s="259" t="s">
        <v>34</v>
      </c>
      <c r="C83" s="260"/>
      <c r="D83" s="244" t="s">
        <v>207</v>
      </c>
      <c r="E83" s="244"/>
      <c r="F83" s="63"/>
      <c r="G83" s="72">
        <v>47600000000</v>
      </c>
      <c r="H83" s="38"/>
      <c r="I83" s="29">
        <v>59500000000</v>
      </c>
      <c r="J83" s="55"/>
    </row>
    <row r="84" spans="1:10" s="62" customFormat="1" ht="21" customHeight="1">
      <c r="A84" s="62">
        <v>58</v>
      </c>
      <c r="B84" s="259" t="s">
        <v>43</v>
      </c>
      <c r="C84" s="260"/>
      <c r="D84" s="244" t="s">
        <v>191</v>
      </c>
      <c r="E84" s="244"/>
      <c r="F84" s="63"/>
      <c r="G84" s="72">
        <v>634701939873</v>
      </c>
      <c r="H84" s="32"/>
      <c r="I84" s="31">
        <v>575287646652</v>
      </c>
      <c r="J84" s="52"/>
    </row>
    <row r="85" spans="1:10" s="62" customFormat="1" ht="21" customHeight="1">
      <c r="A85" s="62">
        <v>59</v>
      </c>
      <c r="B85" s="64"/>
      <c r="C85" s="226"/>
      <c r="D85" s="244" t="s">
        <v>123</v>
      </c>
      <c r="E85" s="244"/>
      <c r="F85" s="63"/>
      <c r="G85" s="72">
        <v>-159510470</v>
      </c>
      <c r="H85" s="33"/>
      <c r="I85" s="57">
        <v>-162986670</v>
      </c>
      <c r="J85" s="53"/>
    </row>
    <row r="86" spans="1:10" s="62" customFormat="1" ht="21" customHeight="1">
      <c r="B86" s="259" t="s">
        <v>36</v>
      </c>
      <c r="C86" s="260"/>
      <c r="D86" s="244" t="s">
        <v>219</v>
      </c>
      <c r="E86" s="244"/>
      <c r="F86" s="63"/>
      <c r="G86" s="72">
        <v>9024830448</v>
      </c>
      <c r="H86" s="59"/>
      <c r="I86" s="57">
        <v>6690621241</v>
      </c>
      <c r="J86" s="58"/>
    </row>
    <row r="87" spans="1:10" s="62" customFormat="1" ht="21" customHeight="1">
      <c r="A87" s="62">
        <v>60</v>
      </c>
      <c r="B87" s="259" t="s">
        <v>37</v>
      </c>
      <c r="C87" s="260"/>
      <c r="D87" s="244" t="s">
        <v>165</v>
      </c>
      <c r="E87" s="244"/>
      <c r="F87" s="63"/>
      <c r="G87" s="72">
        <v>56540480673</v>
      </c>
      <c r="H87" s="32"/>
      <c r="I87" s="31">
        <v>62421101718</v>
      </c>
      <c r="J87" s="52"/>
    </row>
    <row r="88" spans="1:10" s="62" customFormat="1" ht="21" customHeight="1">
      <c r="A88" s="62">
        <v>61</v>
      </c>
      <c r="B88" s="259" t="s">
        <v>114</v>
      </c>
      <c r="C88" s="260"/>
      <c r="D88" s="244" t="s">
        <v>124</v>
      </c>
      <c r="E88" s="244"/>
      <c r="F88" s="63"/>
      <c r="G88" s="72">
        <v>58849079354</v>
      </c>
      <c r="H88" s="34"/>
      <c r="I88" s="31">
        <v>53013219170</v>
      </c>
      <c r="J88" s="54"/>
    </row>
    <row r="89" spans="1:10" s="62" customFormat="1" ht="21" customHeight="1" thickBot="1">
      <c r="B89" s="148" t="s">
        <v>97</v>
      </c>
      <c r="C89" s="243" t="s">
        <v>125</v>
      </c>
      <c r="D89" s="243"/>
      <c r="E89" s="243"/>
      <c r="F89" s="149"/>
      <c r="G89" s="150"/>
      <c r="H89" s="151">
        <v>3056772151924</v>
      </c>
      <c r="I89" s="152"/>
      <c r="J89" s="153">
        <v>2953231576858</v>
      </c>
    </row>
    <row r="90" spans="1:10" s="62" customFormat="1" ht="21" customHeight="1" thickTop="1">
      <c r="B90" s="245" t="s">
        <v>126</v>
      </c>
      <c r="C90" s="242"/>
      <c r="D90" s="242"/>
      <c r="E90" s="242"/>
      <c r="F90" s="36"/>
      <c r="G90" s="71"/>
      <c r="H90" s="28"/>
      <c r="I90" s="27"/>
      <c r="J90" s="50"/>
    </row>
    <row r="91" spans="1:10" s="62" customFormat="1" ht="21" customHeight="1">
      <c r="B91" s="64" t="s">
        <v>99</v>
      </c>
      <c r="C91" s="244" t="s">
        <v>192</v>
      </c>
      <c r="D91" s="244"/>
      <c r="E91" s="244"/>
      <c r="F91" s="60"/>
      <c r="G91" s="71"/>
      <c r="H91" s="28">
        <v>8145322726776</v>
      </c>
      <c r="I91" s="27"/>
      <c r="J91" s="50">
        <v>8069773215496</v>
      </c>
    </row>
    <row r="92" spans="1:10" s="62" customFormat="1" ht="21" customHeight="1">
      <c r="A92" s="62">
        <v>62</v>
      </c>
      <c r="B92" s="259" t="s">
        <v>101</v>
      </c>
      <c r="C92" s="260"/>
      <c r="D92" s="244" t="s">
        <v>96</v>
      </c>
      <c r="E92" s="244"/>
      <c r="F92" s="60"/>
      <c r="G92" s="72">
        <v>8145322726776</v>
      </c>
      <c r="H92" s="39"/>
      <c r="I92" s="31">
        <v>8069773215496</v>
      </c>
      <c r="J92" s="56"/>
    </row>
    <row r="93" spans="1:10" s="62" customFormat="1" ht="21" customHeight="1">
      <c r="B93" s="64" t="s">
        <v>170</v>
      </c>
      <c r="C93" s="244" t="s">
        <v>223</v>
      </c>
      <c r="D93" s="244"/>
      <c r="E93" s="244"/>
      <c r="F93" s="60"/>
      <c r="G93" s="73"/>
      <c r="H93" s="40">
        <v>1923247701028</v>
      </c>
      <c r="I93" s="37"/>
      <c r="J93" s="69">
        <v>1923247701028</v>
      </c>
    </row>
    <row r="94" spans="1:10" s="62" customFormat="1" ht="21" customHeight="1">
      <c r="A94" s="62">
        <v>63</v>
      </c>
      <c r="B94" s="259" t="s">
        <v>32</v>
      </c>
      <c r="C94" s="260"/>
      <c r="D94" s="244" t="s">
        <v>222</v>
      </c>
      <c r="E94" s="244"/>
      <c r="F94" s="60"/>
      <c r="G94" s="72">
        <v>1923247701028</v>
      </c>
      <c r="H94" s="40"/>
      <c r="I94" s="31">
        <v>1923247701028</v>
      </c>
      <c r="J94" s="69"/>
    </row>
    <row r="95" spans="1:10" s="62" customFormat="1" ht="21" customHeight="1">
      <c r="B95" s="64" t="s">
        <v>39</v>
      </c>
      <c r="C95" s="244" t="s">
        <v>127</v>
      </c>
      <c r="D95" s="244"/>
      <c r="E95" s="244"/>
      <c r="F95" s="60"/>
      <c r="G95" s="71"/>
      <c r="H95" s="80">
        <v>-6882476774095</v>
      </c>
      <c r="I95" s="27"/>
      <c r="J95" s="66">
        <v>-6739817830022</v>
      </c>
    </row>
    <row r="96" spans="1:10" s="62" customFormat="1" ht="21" customHeight="1">
      <c r="A96" s="62">
        <v>64</v>
      </c>
      <c r="B96" s="259" t="s">
        <v>101</v>
      </c>
      <c r="C96" s="260"/>
      <c r="D96" s="244" t="s">
        <v>174</v>
      </c>
      <c r="E96" s="244"/>
      <c r="F96" s="60"/>
      <c r="G96" s="72">
        <v>-6882476774095</v>
      </c>
      <c r="H96" s="33"/>
      <c r="I96" s="57">
        <v>-6739817830022</v>
      </c>
      <c r="J96" s="53"/>
    </row>
    <row r="97" spans="2:10" s="110" customFormat="1" ht="21" customHeight="1" thickBot="1">
      <c r="B97" s="148" t="s">
        <v>97</v>
      </c>
      <c r="C97" s="243" t="s">
        <v>128</v>
      </c>
      <c r="D97" s="243"/>
      <c r="E97" s="243"/>
      <c r="F97" s="149"/>
      <c r="G97" s="150"/>
      <c r="H97" s="151">
        <v>3186093653709</v>
      </c>
      <c r="I97" s="152"/>
      <c r="J97" s="153">
        <v>3253203086502</v>
      </c>
    </row>
    <row r="98" spans="2:10" s="62" customFormat="1" ht="21" customHeight="1" thickTop="1" thickBot="1">
      <c r="B98" s="154" t="s">
        <v>97</v>
      </c>
      <c r="C98" s="267" t="s">
        <v>129</v>
      </c>
      <c r="D98" s="267"/>
      <c r="E98" s="267"/>
      <c r="F98" s="155"/>
      <c r="G98" s="156"/>
      <c r="H98" s="151">
        <v>6242865805633</v>
      </c>
      <c r="I98" s="157"/>
      <c r="J98" s="153">
        <v>6206434663360</v>
      </c>
    </row>
    <row r="99" spans="2:10" s="5" customFormat="1" ht="21.95" customHeight="1">
      <c r="B99" s="41"/>
      <c r="C99" s="67"/>
      <c r="D99" s="67"/>
      <c r="E99" s="42"/>
      <c r="F99" s="67"/>
      <c r="G99" s="76"/>
      <c r="H99" s="67"/>
      <c r="I99" s="43"/>
      <c r="J99" s="67"/>
    </row>
    <row r="100" spans="2:10" ht="21.95" customHeight="1">
      <c r="H100" s="46"/>
      <c r="J100" s="46"/>
    </row>
    <row r="101" spans="2:10" ht="21.95" customHeight="1">
      <c r="E101" s="47"/>
      <c r="J101" s="68"/>
    </row>
    <row r="102" spans="2:10" ht="21.95" customHeight="1">
      <c r="J102" s="68"/>
    </row>
    <row r="103" spans="2:10" ht="21.95" customHeight="1">
      <c r="J103" s="68"/>
    </row>
    <row r="104" spans="2:10" ht="21.95" customHeight="1">
      <c r="J104" s="68"/>
    </row>
    <row r="105" spans="2:10" ht="21.95" customHeight="1">
      <c r="J105" s="68"/>
    </row>
    <row r="106" spans="2:10" ht="21.95" customHeight="1">
      <c r="J106" s="68"/>
    </row>
    <row r="107" spans="2:10" ht="21.95" customHeight="1">
      <c r="J107" s="68"/>
    </row>
    <row r="108" spans="2:10" ht="21.95" customHeight="1">
      <c r="J108" s="68"/>
    </row>
    <row r="109" spans="2:10" ht="21.95" customHeight="1">
      <c r="B109" s="45"/>
      <c r="I109" s="45"/>
      <c r="J109" s="68"/>
    </row>
    <row r="110" spans="2:10" ht="21.95" customHeight="1">
      <c r="B110" s="45"/>
      <c r="I110" s="45"/>
      <c r="J110" s="68"/>
    </row>
    <row r="111" spans="2:10" ht="21.95" customHeight="1">
      <c r="B111" s="45"/>
      <c r="I111" s="45"/>
      <c r="J111" s="68"/>
    </row>
    <row r="112" spans="2:10" ht="21.95" customHeight="1">
      <c r="B112" s="45"/>
      <c r="I112" s="45"/>
      <c r="J112" s="68"/>
    </row>
    <row r="113" spans="2:10" ht="21.95" customHeight="1">
      <c r="B113" s="45"/>
      <c r="I113" s="45"/>
      <c r="J113" s="68"/>
    </row>
    <row r="114" spans="2:10" ht="21.95" customHeight="1">
      <c r="B114" s="45"/>
      <c r="I114" s="45"/>
      <c r="J114" s="68"/>
    </row>
    <row r="115" spans="2:10" ht="21.95" customHeight="1">
      <c r="B115" s="45"/>
      <c r="I115" s="45"/>
      <c r="J115" s="68"/>
    </row>
    <row r="116" spans="2:10" ht="21.95" customHeight="1">
      <c r="B116" s="45"/>
      <c r="I116" s="45"/>
      <c r="J116" s="68"/>
    </row>
    <row r="117" spans="2:10" ht="21.95" customHeight="1">
      <c r="B117" s="45"/>
      <c r="I117" s="45"/>
      <c r="J117" s="68"/>
    </row>
    <row r="118" spans="2:10" ht="21.95" customHeight="1">
      <c r="B118" s="45"/>
      <c r="I118" s="45"/>
      <c r="J118" s="68"/>
    </row>
    <row r="119" spans="2:10" ht="21.95" customHeight="1">
      <c r="B119" s="45"/>
      <c r="I119" s="45"/>
      <c r="J119" s="68"/>
    </row>
    <row r="120" spans="2:10" ht="21.95" customHeight="1">
      <c r="B120" s="45"/>
      <c r="I120" s="45"/>
      <c r="J120" s="68"/>
    </row>
    <row r="121" spans="2:10" ht="21.95" customHeight="1">
      <c r="B121" s="45"/>
      <c r="I121" s="45"/>
      <c r="J121" s="68"/>
    </row>
    <row r="122" spans="2:10" ht="21.95" customHeight="1">
      <c r="B122" s="45"/>
      <c r="I122" s="45"/>
      <c r="J122" s="68"/>
    </row>
    <row r="123" spans="2:10" ht="21.95" customHeight="1">
      <c r="B123" s="45"/>
      <c r="I123" s="45"/>
      <c r="J123" s="68"/>
    </row>
    <row r="124" spans="2:10" ht="21.95" customHeight="1">
      <c r="B124" s="45"/>
      <c r="I124" s="45"/>
      <c r="J124" s="68"/>
    </row>
    <row r="125" spans="2:10" ht="21.95" customHeight="1">
      <c r="B125" s="45"/>
      <c r="I125" s="45"/>
      <c r="J125" s="68"/>
    </row>
    <row r="126" spans="2:10" ht="21.95" customHeight="1">
      <c r="B126" s="45"/>
      <c r="I126" s="45"/>
      <c r="J126" s="68"/>
    </row>
    <row r="127" spans="2:10" ht="21.95" customHeight="1">
      <c r="B127" s="45"/>
      <c r="I127" s="45"/>
      <c r="J127" s="68"/>
    </row>
    <row r="128" spans="2:10" ht="21.95" customHeight="1">
      <c r="B128" s="45"/>
      <c r="I128" s="45"/>
      <c r="J128" s="68"/>
    </row>
    <row r="129" spans="2:10" ht="21.95" customHeight="1">
      <c r="B129" s="45"/>
      <c r="I129" s="45"/>
      <c r="J129" s="68"/>
    </row>
    <row r="130" spans="2:10" ht="21.95" customHeight="1">
      <c r="B130" s="45"/>
      <c r="I130" s="45"/>
      <c r="J130" s="68"/>
    </row>
    <row r="131" spans="2:10" ht="21.95" customHeight="1">
      <c r="B131" s="45"/>
      <c r="I131" s="45"/>
      <c r="J131" s="68"/>
    </row>
    <row r="132" spans="2:10" ht="21.95" customHeight="1">
      <c r="B132" s="45"/>
      <c r="I132" s="45"/>
      <c r="J132" s="68"/>
    </row>
    <row r="133" spans="2:10" ht="21.95" customHeight="1">
      <c r="B133" s="45"/>
      <c r="I133" s="45"/>
      <c r="J133" s="68"/>
    </row>
    <row r="134" spans="2:10" ht="21.95" customHeight="1">
      <c r="B134" s="45"/>
      <c r="I134" s="45"/>
      <c r="J134" s="68"/>
    </row>
    <row r="135" spans="2:10" ht="21.95" customHeight="1">
      <c r="B135" s="45"/>
      <c r="I135" s="45"/>
      <c r="J135" s="68"/>
    </row>
    <row r="136" spans="2:10" ht="21.95" customHeight="1">
      <c r="B136" s="45"/>
      <c r="I136" s="45"/>
      <c r="J136" s="68"/>
    </row>
    <row r="137" spans="2:10" ht="21.95" customHeight="1">
      <c r="B137" s="45"/>
      <c r="I137" s="45"/>
      <c r="J137" s="68"/>
    </row>
    <row r="138" spans="2:10" ht="21.95" customHeight="1">
      <c r="B138" s="45"/>
      <c r="I138" s="45"/>
      <c r="J138" s="68"/>
    </row>
    <row r="139" spans="2:10" ht="21.95" customHeight="1">
      <c r="B139" s="45"/>
      <c r="I139" s="45"/>
      <c r="J139" s="68"/>
    </row>
    <row r="140" spans="2:10" ht="21.95" customHeight="1">
      <c r="B140" s="45"/>
      <c r="I140" s="45"/>
      <c r="J140" s="68"/>
    </row>
    <row r="141" spans="2:10" ht="21.95" customHeight="1">
      <c r="B141" s="45"/>
      <c r="I141" s="45"/>
      <c r="J141" s="68"/>
    </row>
    <row r="142" spans="2:10" ht="21.95" customHeight="1">
      <c r="B142" s="45"/>
      <c r="I142" s="45"/>
      <c r="J142" s="68"/>
    </row>
    <row r="143" spans="2:10" ht="21.95" customHeight="1">
      <c r="B143" s="45"/>
      <c r="I143" s="45"/>
      <c r="J143" s="68"/>
    </row>
    <row r="144" spans="2:10" ht="21.95" customHeight="1">
      <c r="B144" s="45"/>
      <c r="I144" s="45"/>
      <c r="J144" s="68"/>
    </row>
    <row r="145" spans="2:10" ht="21.95" customHeight="1">
      <c r="B145" s="45"/>
      <c r="I145" s="45"/>
      <c r="J145" s="68"/>
    </row>
    <row r="146" spans="2:10" ht="21.95" customHeight="1">
      <c r="B146" s="45"/>
      <c r="I146" s="45"/>
      <c r="J146" s="68"/>
    </row>
    <row r="147" spans="2:10" ht="21.95" customHeight="1">
      <c r="B147" s="45"/>
      <c r="I147" s="45"/>
      <c r="J147" s="68"/>
    </row>
    <row r="148" spans="2:10" ht="21.95" customHeight="1">
      <c r="B148" s="45"/>
      <c r="I148" s="45"/>
      <c r="J148" s="68"/>
    </row>
    <row r="149" spans="2:10" ht="21.95" customHeight="1">
      <c r="B149" s="45"/>
      <c r="I149" s="45"/>
      <c r="J149" s="68"/>
    </row>
    <row r="150" spans="2:10" ht="21.95" customHeight="1">
      <c r="B150" s="45"/>
      <c r="I150" s="45"/>
      <c r="J150" s="68"/>
    </row>
    <row r="151" spans="2:10" ht="21.95" customHeight="1">
      <c r="B151" s="45"/>
      <c r="I151" s="45"/>
      <c r="J151" s="68"/>
    </row>
    <row r="152" spans="2:10" ht="21.95" customHeight="1">
      <c r="B152" s="45"/>
      <c r="I152" s="45"/>
      <c r="J152" s="68"/>
    </row>
    <row r="153" spans="2:10" ht="21.95" customHeight="1">
      <c r="B153" s="45"/>
      <c r="I153" s="45"/>
      <c r="J153" s="68"/>
    </row>
    <row r="154" spans="2:10" ht="21.95" customHeight="1">
      <c r="B154" s="45"/>
      <c r="I154" s="45"/>
      <c r="J154" s="68"/>
    </row>
    <row r="155" spans="2:10" ht="21.95" customHeight="1">
      <c r="B155" s="45"/>
      <c r="I155" s="45"/>
      <c r="J155" s="68"/>
    </row>
    <row r="156" spans="2:10" ht="21.95" customHeight="1">
      <c r="B156" s="45"/>
      <c r="I156" s="45"/>
      <c r="J156" s="68"/>
    </row>
    <row r="157" spans="2:10" ht="21.95" customHeight="1">
      <c r="B157" s="45"/>
      <c r="I157" s="45"/>
      <c r="J157" s="68"/>
    </row>
    <row r="158" spans="2:10" ht="21.95" customHeight="1">
      <c r="B158" s="45"/>
      <c r="I158" s="45"/>
      <c r="J158" s="68"/>
    </row>
    <row r="159" spans="2:10" ht="21.95" customHeight="1">
      <c r="B159" s="45"/>
      <c r="I159" s="45"/>
      <c r="J159" s="68"/>
    </row>
    <row r="160" spans="2:10" ht="21.95" customHeight="1">
      <c r="B160" s="45"/>
      <c r="I160" s="45"/>
      <c r="J160" s="68"/>
    </row>
    <row r="161" spans="2:10" ht="21.95" customHeight="1">
      <c r="B161" s="45"/>
      <c r="I161" s="45"/>
      <c r="J161" s="68"/>
    </row>
    <row r="162" spans="2:10" ht="21.95" customHeight="1">
      <c r="B162" s="45"/>
      <c r="I162" s="45"/>
      <c r="J162" s="68"/>
    </row>
    <row r="163" spans="2:10" ht="21.95" customHeight="1">
      <c r="B163" s="45"/>
      <c r="I163" s="45"/>
      <c r="J163" s="68"/>
    </row>
    <row r="164" spans="2:10" ht="21.95" customHeight="1">
      <c r="B164" s="45"/>
      <c r="I164" s="45"/>
      <c r="J164" s="68"/>
    </row>
    <row r="165" spans="2:10" ht="21.95" customHeight="1">
      <c r="B165" s="45"/>
      <c r="I165" s="45"/>
      <c r="J165" s="68"/>
    </row>
    <row r="166" spans="2:10" ht="21.95" customHeight="1">
      <c r="B166" s="45"/>
      <c r="I166" s="45"/>
      <c r="J166" s="68"/>
    </row>
    <row r="167" spans="2:10" ht="21.95" customHeight="1">
      <c r="B167" s="45"/>
      <c r="I167" s="45"/>
      <c r="J167" s="68"/>
    </row>
    <row r="168" spans="2:10" ht="21.95" customHeight="1">
      <c r="B168" s="45"/>
      <c r="I168" s="45"/>
      <c r="J168" s="68"/>
    </row>
    <row r="169" spans="2:10" ht="21.95" customHeight="1">
      <c r="B169" s="45"/>
      <c r="I169" s="45"/>
      <c r="J169" s="68"/>
    </row>
    <row r="170" spans="2:10" ht="21.95" customHeight="1">
      <c r="B170" s="45"/>
      <c r="I170" s="45"/>
      <c r="J170" s="68"/>
    </row>
    <row r="171" spans="2:10" ht="21.95" customHeight="1">
      <c r="B171" s="45"/>
      <c r="I171" s="45"/>
      <c r="J171" s="68"/>
    </row>
    <row r="172" spans="2:10" ht="21.95" customHeight="1">
      <c r="B172" s="45"/>
      <c r="I172" s="45"/>
      <c r="J172" s="68"/>
    </row>
    <row r="173" spans="2:10" ht="21.95" customHeight="1">
      <c r="B173" s="45"/>
      <c r="I173" s="45"/>
      <c r="J173" s="68"/>
    </row>
    <row r="174" spans="2:10" ht="21.95" customHeight="1">
      <c r="B174" s="45"/>
      <c r="I174" s="45"/>
      <c r="J174" s="68"/>
    </row>
    <row r="175" spans="2:10" ht="21.95" customHeight="1">
      <c r="B175" s="45"/>
      <c r="I175" s="45"/>
      <c r="J175" s="68"/>
    </row>
    <row r="176" spans="2:10" ht="21.95" customHeight="1">
      <c r="B176" s="45"/>
      <c r="I176" s="45"/>
      <c r="J176" s="68"/>
    </row>
  </sheetData>
  <mergeCells count="98">
    <mergeCell ref="C28:D28"/>
    <mergeCell ref="B86:C86"/>
    <mergeCell ref="D86:E86"/>
    <mergeCell ref="B90:E90"/>
    <mergeCell ref="C60:D60"/>
    <mergeCell ref="C64:D64"/>
    <mergeCell ref="D73:E73"/>
    <mergeCell ref="D71:E71"/>
    <mergeCell ref="C12:D12"/>
    <mergeCell ref="B96:C96"/>
    <mergeCell ref="B80:C80"/>
    <mergeCell ref="D80:E80"/>
    <mergeCell ref="B94:C94"/>
    <mergeCell ref="D94:E94"/>
    <mergeCell ref="C91:E91"/>
    <mergeCell ref="D85:E85"/>
    <mergeCell ref="D82:E82"/>
    <mergeCell ref="D84:E84"/>
    <mergeCell ref="B84:C84"/>
    <mergeCell ref="B88:C88"/>
    <mergeCell ref="D87:E87"/>
    <mergeCell ref="C98:E98"/>
    <mergeCell ref="D92:E92"/>
    <mergeCell ref="C95:E95"/>
    <mergeCell ref="D96:E96"/>
    <mergeCell ref="C97:E97"/>
    <mergeCell ref="C93:E93"/>
    <mergeCell ref="C58:D58"/>
    <mergeCell ref="B63:C63"/>
    <mergeCell ref="D63:E63"/>
    <mergeCell ref="B6:E6"/>
    <mergeCell ref="B2:J2"/>
    <mergeCell ref="D8:E8"/>
    <mergeCell ref="C37:D37"/>
    <mergeCell ref="C51:D51"/>
    <mergeCell ref="C52:D52"/>
    <mergeCell ref="D57:E57"/>
    <mergeCell ref="B57:C57"/>
    <mergeCell ref="C40:D40"/>
    <mergeCell ref="C43:D43"/>
    <mergeCell ref="C59:D59"/>
    <mergeCell ref="C9:D9"/>
    <mergeCell ref="C11:D11"/>
    <mergeCell ref="B87:C87"/>
    <mergeCell ref="D75:E75"/>
    <mergeCell ref="D77:E77"/>
    <mergeCell ref="D76:E76"/>
    <mergeCell ref="D74:E74"/>
    <mergeCell ref="D81:E81"/>
    <mergeCell ref="D78:E78"/>
    <mergeCell ref="D83:E83"/>
    <mergeCell ref="B83:C83"/>
    <mergeCell ref="B82:C82"/>
    <mergeCell ref="C32:D32"/>
    <mergeCell ref="C15:D15"/>
    <mergeCell ref="B92:C92"/>
    <mergeCell ref="C50:D50"/>
    <mergeCell ref="C35:D35"/>
    <mergeCell ref="B30:C30"/>
    <mergeCell ref="D22:E22"/>
    <mergeCell ref="C20:D20"/>
    <mergeCell ref="C21:D21"/>
    <mergeCell ref="B22:C22"/>
    <mergeCell ref="D30:E30"/>
    <mergeCell ref="C79:E79"/>
    <mergeCell ref="C54:D54"/>
    <mergeCell ref="C61:D61"/>
    <mergeCell ref="D88:E88"/>
    <mergeCell ref="C89:E89"/>
    <mergeCell ref="C25:E25"/>
    <mergeCell ref="D26:E26"/>
    <mergeCell ref="C27:D27"/>
    <mergeCell ref="C17:D17"/>
    <mergeCell ref="C14:D14"/>
    <mergeCell ref="C18:D18"/>
    <mergeCell ref="C19:D19"/>
    <mergeCell ref="C23:D23"/>
    <mergeCell ref="D72:E72"/>
    <mergeCell ref="D69:E69"/>
    <mergeCell ref="B1:J1"/>
    <mergeCell ref="B3:J3"/>
    <mergeCell ref="I5:J5"/>
    <mergeCell ref="C5:E5"/>
    <mergeCell ref="B4:E4"/>
    <mergeCell ref="G5:H5"/>
    <mergeCell ref="C31:D31"/>
    <mergeCell ref="C47:D47"/>
    <mergeCell ref="C45:D45"/>
    <mergeCell ref="B8:C8"/>
    <mergeCell ref="C7:E7"/>
    <mergeCell ref="C24:D24"/>
    <mergeCell ref="B26:C26"/>
    <mergeCell ref="C29:D29"/>
    <mergeCell ref="C65:D65"/>
    <mergeCell ref="C66:E66"/>
    <mergeCell ref="D70:E70"/>
    <mergeCell ref="B67:E67"/>
    <mergeCell ref="C68:E68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6" min="1" max="9" man="1"/>
    <brk id="73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71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5" customWidth="1"/>
    <col min="3" max="3" width="0.6640625" style="123" customWidth="1"/>
    <col min="4" max="4" width="4.33203125" style="126" customWidth="1"/>
    <col min="5" max="5" width="14.77734375" style="123" customWidth="1"/>
    <col min="6" max="6" width="0.6640625" style="126" customWidth="1"/>
    <col min="7" max="7" width="17.44140625" style="127" customWidth="1"/>
    <col min="8" max="8" width="17.33203125" style="126" customWidth="1"/>
    <col min="9" max="9" width="16.6640625" style="129" bestFit="1" customWidth="1"/>
    <col min="10" max="10" width="16" style="129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73" t="s">
        <v>130</v>
      </c>
      <c r="C1" s="274"/>
      <c r="D1" s="274"/>
      <c r="E1" s="274"/>
      <c r="F1" s="274"/>
      <c r="G1" s="274"/>
      <c r="H1" s="274"/>
      <c r="I1" s="274"/>
      <c r="J1" s="275"/>
    </row>
    <row r="2" spans="1:11" ht="20.100000000000001" customHeight="1">
      <c r="B2" s="276" t="s">
        <v>326</v>
      </c>
      <c r="C2" s="277"/>
      <c r="D2" s="277"/>
      <c r="E2" s="277"/>
      <c r="F2" s="277"/>
      <c r="G2" s="277"/>
      <c r="H2" s="277"/>
      <c r="I2" s="277"/>
      <c r="J2" s="278"/>
    </row>
    <row r="3" spans="1:11" ht="20.100000000000001" customHeight="1">
      <c r="B3" s="276" t="s">
        <v>313</v>
      </c>
      <c r="C3" s="277"/>
      <c r="D3" s="277"/>
      <c r="E3" s="277"/>
      <c r="F3" s="277"/>
      <c r="G3" s="277"/>
      <c r="H3" s="277"/>
      <c r="I3" s="277"/>
      <c r="J3" s="278"/>
    </row>
    <row r="4" spans="1:11" ht="20.100000000000001" customHeight="1">
      <c r="B4" s="279" t="s">
        <v>157</v>
      </c>
      <c r="C4" s="280"/>
      <c r="D4" s="280"/>
      <c r="E4" s="280"/>
      <c r="F4" s="23"/>
      <c r="G4" s="185"/>
      <c r="H4" s="24"/>
      <c r="I4" s="68"/>
      <c r="J4" s="48" t="s">
        <v>30</v>
      </c>
    </row>
    <row r="5" spans="1:11" ht="21" customHeight="1">
      <c r="B5" s="284" t="s">
        <v>19</v>
      </c>
      <c r="C5" s="285"/>
      <c r="D5" s="285"/>
      <c r="E5" s="285"/>
      <c r="F5" s="130"/>
      <c r="G5" s="281" t="str">
        <f>재무상태표!G5</f>
        <v>제35(당)기</v>
      </c>
      <c r="H5" s="283"/>
      <c r="I5" s="281" t="s">
        <v>325</v>
      </c>
      <c r="J5" s="282"/>
    </row>
    <row r="6" spans="1:11" s="3" customFormat="1" ht="21.95" customHeight="1">
      <c r="B6" s="147" t="s">
        <v>38</v>
      </c>
      <c r="C6" s="243" t="s">
        <v>193</v>
      </c>
      <c r="D6" s="243"/>
      <c r="E6" s="243"/>
      <c r="F6" s="142"/>
      <c r="G6" s="143"/>
      <c r="H6" s="146">
        <f>SUM(G7:G10)</f>
        <v>1182708364501</v>
      </c>
      <c r="I6" s="146"/>
      <c r="J6" s="146">
        <f>SUM(I7:I10)</f>
        <v>1114767263318</v>
      </c>
    </row>
    <row r="7" spans="1:11" s="3" customFormat="1" ht="21.95" customHeight="1">
      <c r="B7" s="259" t="s">
        <v>208</v>
      </c>
      <c r="C7" s="260"/>
      <c r="D7" s="244" t="s">
        <v>305</v>
      </c>
      <c r="E7" s="244"/>
      <c r="F7" s="112"/>
      <c r="G7" s="113">
        <v>974182926592</v>
      </c>
      <c r="H7" s="114"/>
      <c r="I7" s="114">
        <v>925741319689</v>
      </c>
      <c r="J7" s="69"/>
    </row>
    <row r="8" spans="1:11" s="3" customFormat="1" ht="21" customHeight="1">
      <c r="A8" s="3">
        <v>1</v>
      </c>
      <c r="B8" s="259" t="s">
        <v>67</v>
      </c>
      <c r="C8" s="260"/>
      <c r="D8" s="244" t="s">
        <v>20</v>
      </c>
      <c r="E8" s="244"/>
      <c r="F8" s="112"/>
      <c r="G8" s="113">
        <v>130067129946</v>
      </c>
      <c r="H8" s="115"/>
      <c r="I8" s="116">
        <v>122682060656</v>
      </c>
      <c r="J8" s="117"/>
    </row>
    <row r="9" spans="1:11" s="3" customFormat="1" ht="21" customHeight="1">
      <c r="A9" s="3">
        <v>2</v>
      </c>
      <c r="B9" s="259" t="s">
        <v>68</v>
      </c>
      <c r="C9" s="260"/>
      <c r="D9" s="244" t="s">
        <v>21</v>
      </c>
      <c r="E9" s="244"/>
      <c r="F9" s="112"/>
      <c r="G9" s="113">
        <v>68420096493</v>
      </c>
      <c r="H9" s="115"/>
      <c r="I9" s="116">
        <v>66173670130</v>
      </c>
      <c r="J9" s="117"/>
    </row>
    <row r="10" spans="1:11" s="3" customFormat="1" ht="21" customHeight="1">
      <c r="A10" s="3">
        <v>3</v>
      </c>
      <c r="B10" s="259" t="s">
        <v>43</v>
      </c>
      <c r="C10" s="260"/>
      <c r="D10" s="244" t="s">
        <v>209</v>
      </c>
      <c r="E10" s="244"/>
      <c r="F10" s="112"/>
      <c r="G10" s="113">
        <v>10038211470</v>
      </c>
      <c r="H10" s="115"/>
      <c r="I10" s="116">
        <v>170212843</v>
      </c>
      <c r="J10" s="117"/>
    </row>
    <row r="11" spans="1:11" s="3" customFormat="1" ht="21.95" customHeight="1">
      <c r="B11" s="147" t="s">
        <v>39</v>
      </c>
      <c r="C11" s="243" t="s">
        <v>194</v>
      </c>
      <c r="D11" s="243"/>
      <c r="E11" s="243"/>
      <c r="F11" s="142"/>
      <c r="G11" s="143"/>
      <c r="H11" s="146">
        <f>SUM(G12:G13)</f>
        <v>1211392317700</v>
      </c>
      <c r="I11" s="146"/>
      <c r="J11" s="146">
        <f>SUM(I12:I13)</f>
        <v>1188909032035</v>
      </c>
    </row>
    <row r="12" spans="1:11" s="3" customFormat="1" ht="21" customHeight="1">
      <c r="A12" s="3">
        <v>4</v>
      </c>
      <c r="B12" s="259" t="s">
        <v>32</v>
      </c>
      <c r="C12" s="260"/>
      <c r="D12" s="244" t="s">
        <v>22</v>
      </c>
      <c r="E12" s="244"/>
      <c r="F12" s="112"/>
      <c r="G12" s="113">
        <v>1201354106230</v>
      </c>
      <c r="H12" s="115"/>
      <c r="I12" s="116">
        <v>1188748825953</v>
      </c>
      <c r="J12" s="117"/>
    </row>
    <row r="13" spans="1:11" s="3" customFormat="1" ht="21" customHeight="1">
      <c r="A13" s="3">
        <v>57</v>
      </c>
      <c r="B13" s="259" t="s">
        <v>33</v>
      </c>
      <c r="C13" s="260"/>
      <c r="D13" s="244" t="s">
        <v>210</v>
      </c>
      <c r="E13" s="244"/>
      <c r="F13" s="112"/>
      <c r="G13" s="113">
        <v>10038211470</v>
      </c>
      <c r="H13" s="115"/>
      <c r="I13" s="116">
        <v>160206082</v>
      </c>
      <c r="J13" s="117"/>
    </row>
    <row r="14" spans="1:11" s="3" customFormat="1" ht="21.95" customHeight="1">
      <c r="B14" s="141" t="s">
        <v>40</v>
      </c>
      <c r="C14" s="243" t="s">
        <v>221</v>
      </c>
      <c r="D14" s="243"/>
      <c r="E14" s="243"/>
      <c r="F14" s="142"/>
      <c r="G14" s="143"/>
      <c r="H14" s="144">
        <f>H6-H11</f>
        <v>-28683953199</v>
      </c>
      <c r="I14" s="146"/>
      <c r="J14" s="144">
        <f>J6-J11</f>
        <v>-74141768717</v>
      </c>
    </row>
    <row r="15" spans="1:11" s="3" customFormat="1" ht="21.95" customHeight="1">
      <c r="B15" s="141" t="s">
        <v>41</v>
      </c>
      <c r="C15" s="243" t="s">
        <v>23</v>
      </c>
      <c r="D15" s="243"/>
      <c r="E15" s="243"/>
      <c r="F15" s="142"/>
      <c r="G15" s="143"/>
      <c r="H15" s="146">
        <f>SUM(G16:G43)</f>
        <v>64574280714</v>
      </c>
      <c r="I15" s="146"/>
      <c r="J15" s="146">
        <f>SUM(I16:I43)</f>
        <v>80046380511</v>
      </c>
      <c r="K15" s="22"/>
    </row>
    <row r="16" spans="1:11" s="4" customFormat="1" ht="21" customHeight="1">
      <c r="A16" s="4">
        <v>5</v>
      </c>
      <c r="B16" s="259" t="s">
        <v>32</v>
      </c>
      <c r="C16" s="260"/>
      <c r="D16" s="244" t="s">
        <v>24</v>
      </c>
      <c r="E16" s="244"/>
      <c r="F16" s="112"/>
      <c r="G16" s="113">
        <v>37874929410</v>
      </c>
      <c r="H16" s="118"/>
      <c r="I16" s="116">
        <v>42702304410</v>
      </c>
      <c r="J16" s="119"/>
    </row>
    <row r="17" spans="1:10" s="4" customFormat="1" ht="21" customHeight="1">
      <c r="A17" s="4">
        <v>6</v>
      </c>
      <c r="B17" s="259" t="s">
        <v>33</v>
      </c>
      <c r="C17" s="260"/>
      <c r="D17" s="244" t="s">
        <v>143</v>
      </c>
      <c r="E17" s="244"/>
      <c r="F17" s="112"/>
      <c r="G17" s="113">
        <v>4414055070</v>
      </c>
      <c r="H17" s="118"/>
      <c r="I17" s="116">
        <v>7389950010</v>
      </c>
      <c r="J17" s="119"/>
    </row>
    <row r="18" spans="1:10" s="4" customFormat="1" ht="21" customHeight="1">
      <c r="A18" s="4">
        <v>7</v>
      </c>
      <c r="B18" s="259" t="s">
        <v>34</v>
      </c>
      <c r="C18" s="260"/>
      <c r="D18" s="271" t="s">
        <v>25</v>
      </c>
      <c r="E18" s="271"/>
      <c r="F18" s="112"/>
      <c r="G18" s="113">
        <v>6623684171</v>
      </c>
      <c r="H18" s="118"/>
      <c r="I18" s="116">
        <v>7180156269</v>
      </c>
      <c r="J18" s="119"/>
    </row>
    <row r="19" spans="1:10" s="4" customFormat="1" ht="21" customHeight="1">
      <c r="A19" s="4">
        <v>8</v>
      </c>
      <c r="B19" s="259" t="s">
        <v>43</v>
      </c>
      <c r="C19" s="260"/>
      <c r="D19" s="271" t="s">
        <v>26</v>
      </c>
      <c r="E19" s="271"/>
      <c r="F19" s="112"/>
      <c r="G19" s="113">
        <v>191110339</v>
      </c>
      <c r="H19" s="118"/>
      <c r="I19" s="116">
        <v>209909428</v>
      </c>
      <c r="J19" s="119"/>
    </row>
    <row r="20" spans="1:10" s="4" customFormat="1" ht="21" customHeight="1">
      <c r="A20" s="4">
        <v>9</v>
      </c>
      <c r="B20" s="259" t="s">
        <v>44</v>
      </c>
      <c r="C20" s="260"/>
      <c r="D20" s="271" t="s">
        <v>27</v>
      </c>
      <c r="E20" s="271"/>
      <c r="F20" s="112"/>
      <c r="G20" s="113">
        <v>397625184</v>
      </c>
      <c r="H20" s="118"/>
      <c r="I20" s="116">
        <v>432324948</v>
      </c>
      <c r="J20" s="119"/>
    </row>
    <row r="21" spans="1:10" s="3" customFormat="1" ht="21" customHeight="1">
      <c r="A21" s="4">
        <v>10</v>
      </c>
      <c r="B21" s="259" t="s">
        <v>45</v>
      </c>
      <c r="C21" s="260"/>
      <c r="D21" s="271" t="s">
        <v>70</v>
      </c>
      <c r="E21" s="271"/>
      <c r="F21" s="112"/>
      <c r="G21" s="113">
        <v>205310352</v>
      </c>
      <c r="H21" s="118"/>
      <c r="I21" s="116">
        <v>238127653</v>
      </c>
      <c r="J21" s="119"/>
    </row>
    <row r="22" spans="1:10" s="4" customFormat="1" ht="21" customHeight="1">
      <c r="A22" s="4">
        <v>11</v>
      </c>
      <c r="B22" s="259" t="s">
        <v>46</v>
      </c>
      <c r="C22" s="260"/>
      <c r="D22" s="271" t="s">
        <v>28</v>
      </c>
      <c r="E22" s="271"/>
      <c r="F22" s="112"/>
      <c r="G22" s="113">
        <v>303857290</v>
      </c>
      <c r="H22" s="60"/>
      <c r="I22" s="116">
        <v>324973060</v>
      </c>
      <c r="J22" s="131"/>
    </row>
    <row r="23" spans="1:10" s="4" customFormat="1" ht="21" customHeight="1">
      <c r="A23" s="4">
        <v>12</v>
      </c>
      <c r="B23" s="259" t="s">
        <v>47</v>
      </c>
      <c r="C23" s="260"/>
      <c r="D23" s="271" t="s">
        <v>29</v>
      </c>
      <c r="E23" s="271"/>
      <c r="F23" s="112"/>
      <c r="G23" s="113">
        <v>133930768</v>
      </c>
      <c r="H23" s="118"/>
      <c r="I23" s="116">
        <v>290635000</v>
      </c>
      <c r="J23" s="119"/>
    </row>
    <row r="24" spans="1:10" s="4" customFormat="1" ht="21" customHeight="1">
      <c r="A24" s="4">
        <v>13</v>
      </c>
      <c r="B24" s="259" t="s">
        <v>48</v>
      </c>
      <c r="C24" s="260"/>
      <c r="D24" s="271" t="s">
        <v>75</v>
      </c>
      <c r="E24" s="271"/>
      <c r="F24" s="112"/>
      <c r="G24" s="113">
        <v>196454792</v>
      </c>
      <c r="H24" s="60"/>
      <c r="I24" s="116">
        <v>227751089</v>
      </c>
      <c r="J24" s="131"/>
    </row>
    <row r="25" spans="1:10" s="4" customFormat="1" ht="21" customHeight="1">
      <c r="A25" s="4">
        <v>14</v>
      </c>
      <c r="B25" s="259" t="s">
        <v>49</v>
      </c>
      <c r="C25" s="260"/>
      <c r="D25" s="271" t="s">
        <v>306</v>
      </c>
      <c r="E25" s="271"/>
      <c r="F25" s="112"/>
      <c r="G25" s="113">
        <v>32695219</v>
      </c>
      <c r="H25" s="60"/>
      <c r="I25" s="116">
        <v>85619620</v>
      </c>
      <c r="J25" s="131"/>
    </row>
    <row r="26" spans="1:10" s="4" customFormat="1" ht="21" customHeight="1">
      <c r="A26" s="4">
        <v>15</v>
      </c>
      <c r="B26" s="259" t="s">
        <v>50</v>
      </c>
      <c r="C26" s="260"/>
      <c r="D26" s="271" t="s">
        <v>155</v>
      </c>
      <c r="E26" s="271"/>
      <c r="F26" s="112"/>
      <c r="G26" s="113">
        <v>2896097755</v>
      </c>
      <c r="H26" s="118"/>
      <c r="I26" s="116">
        <v>4706189510</v>
      </c>
      <c r="J26" s="119"/>
    </row>
    <row r="27" spans="1:10" s="4" customFormat="1" ht="21" customHeight="1">
      <c r="A27" s="4">
        <v>16</v>
      </c>
      <c r="B27" s="259" t="s">
        <v>51</v>
      </c>
      <c r="C27" s="260"/>
      <c r="D27" s="271" t="s">
        <v>156</v>
      </c>
      <c r="E27" s="271"/>
      <c r="F27" s="112"/>
      <c r="G27" s="113">
        <v>1248756421</v>
      </c>
      <c r="H27" s="118"/>
      <c r="I27" s="116">
        <v>3388476091</v>
      </c>
      <c r="J27" s="119"/>
    </row>
    <row r="28" spans="1:10" s="4" customFormat="1" ht="21" customHeight="1">
      <c r="A28" s="4">
        <v>17</v>
      </c>
      <c r="B28" s="259" t="s">
        <v>52</v>
      </c>
      <c r="C28" s="260"/>
      <c r="D28" s="271" t="s">
        <v>76</v>
      </c>
      <c r="E28" s="271"/>
      <c r="F28" s="112"/>
      <c r="G28" s="113">
        <v>74330554</v>
      </c>
      <c r="H28" s="118"/>
      <c r="I28" s="116">
        <v>94914558</v>
      </c>
      <c r="J28" s="119"/>
    </row>
    <row r="29" spans="1:10" s="4" customFormat="1" ht="21" customHeight="1">
      <c r="A29" s="4">
        <v>18</v>
      </c>
      <c r="B29" s="259" t="s">
        <v>53</v>
      </c>
      <c r="C29" s="260"/>
      <c r="D29" s="271" t="s">
        <v>77</v>
      </c>
      <c r="E29" s="271"/>
      <c r="F29" s="112"/>
      <c r="G29" s="113">
        <v>18988247</v>
      </c>
      <c r="H29" s="132"/>
      <c r="I29" s="116">
        <v>17190498</v>
      </c>
      <c r="J29" s="133"/>
    </row>
    <row r="30" spans="1:10" s="4" customFormat="1" ht="21" customHeight="1">
      <c r="A30" s="4">
        <v>19</v>
      </c>
      <c r="B30" s="259" t="s">
        <v>54</v>
      </c>
      <c r="C30" s="260"/>
      <c r="D30" s="271" t="s">
        <v>78</v>
      </c>
      <c r="E30" s="271"/>
      <c r="F30" s="112"/>
      <c r="G30" s="113">
        <v>11780968</v>
      </c>
      <c r="H30" s="118"/>
      <c r="I30" s="116">
        <v>15909090</v>
      </c>
      <c r="J30" s="119"/>
    </row>
    <row r="31" spans="1:10" s="4" customFormat="1" ht="21" customHeight="1">
      <c r="A31" s="4">
        <v>20</v>
      </c>
      <c r="B31" s="259" t="s">
        <v>55</v>
      </c>
      <c r="C31" s="260"/>
      <c r="D31" s="271" t="s">
        <v>79</v>
      </c>
      <c r="E31" s="271"/>
      <c r="F31" s="112"/>
      <c r="G31" s="113">
        <v>5720019226</v>
      </c>
      <c r="H31" s="118"/>
      <c r="I31" s="116">
        <v>5650993867</v>
      </c>
      <c r="J31" s="119"/>
    </row>
    <row r="32" spans="1:10" s="4" customFormat="1" ht="21" customHeight="1">
      <c r="A32" s="4">
        <v>21</v>
      </c>
      <c r="B32" s="259" t="s">
        <v>56</v>
      </c>
      <c r="C32" s="260"/>
      <c r="D32" s="271" t="s">
        <v>205</v>
      </c>
      <c r="E32" s="271"/>
      <c r="F32" s="112"/>
      <c r="G32" s="113" t="s">
        <v>321</v>
      </c>
      <c r="H32" s="118"/>
      <c r="I32" s="116">
        <v>871056</v>
      </c>
      <c r="J32" s="119"/>
    </row>
    <row r="33" spans="1:10" s="4" customFormat="1" ht="21" customHeight="1">
      <c r="A33" s="4">
        <v>22</v>
      </c>
      <c r="B33" s="259" t="s">
        <v>57</v>
      </c>
      <c r="C33" s="260"/>
      <c r="D33" s="271" t="s">
        <v>80</v>
      </c>
      <c r="E33" s="271"/>
      <c r="F33" s="112"/>
      <c r="G33" s="113">
        <v>186563114</v>
      </c>
      <c r="H33" s="134"/>
      <c r="I33" s="116">
        <v>119366151</v>
      </c>
      <c r="J33" s="135"/>
    </row>
    <row r="34" spans="1:10" s="4" customFormat="1" ht="21" customHeight="1">
      <c r="A34" s="4">
        <v>23</v>
      </c>
      <c r="B34" s="259" t="s">
        <v>58</v>
      </c>
      <c r="C34" s="260"/>
      <c r="D34" s="271" t="s">
        <v>81</v>
      </c>
      <c r="E34" s="271"/>
      <c r="F34" s="112"/>
      <c r="G34" s="113">
        <v>503439256</v>
      </c>
      <c r="H34" s="118"/>
      <c r="I34" s="116">
        <v>590966720</v>
      </c>
      <c r="J34" s="119"/>
    </row>
    <row r="35" spans="1:10" s="4" customFormat="1" ht="21" customHeight="1">
      <c r="A35" s="4">
        <v>24</v>
      </c>
      <c r="B35" s="259" t="s">
        <v>59</v>
      </c>
      <c r="C35" s="260"/>
      <c r="D35" s="271" t="s">
        <v>82</v>
      </c>
      <c r="E35" s="271"/>
      <c r="F35" s="112"/>
      <c r="G35" s="113">
        <v>1024636702</v>
      </c>
      <c r="H35" s="118"/>
      <c r="I35" s="116">
        <v>1115115151</v>
      </c>
      <c r="J35" s="119"/>
    </row>
    <row r="36" spans="1:10" s="4" customFormat="1" ht="21" customHeight="1">
      <c r="A36" s="4">
        <v>25</v>
      </c>
      <c r="B36" s="259" t="s">
        <v>60</v>
      </c>
      <c r="C36" s="260"/>
      <c r="D36" s="271" t="s">
        <v>83</v>
      </c>
      <c r="E36" s="271"/>
      <c r="F36" s="112"/>
      <c r="G36" s="113">
        <v>323752331</v>
      </c>
      <c r="H36" s="118"/>
      <c r="I36" s="116">
        <v>1582228172</v>
      </c>
      <c r="J36" s="119"/>
    </row>
    <row r="37" spans="1:10" s="4" customFormat="1" ht="21" customHeight="1">
      <c r="A37" s="4">
        <v>26</v>
      </c>
      <c r="B37" s="259" t="s">
        <v>61</v>
      </c>
      <c r="C37" s="260"/>
      <c r="D37" s="271" t="s">
        <v>84</v>
      </c>
      <c r="E37" s="271"/>
      <c r="F37" s="112"/>
      <c r="G37" s="113">
        <v>1127453405</v>
      </c>
      <c r="H37" s="118"/>
      <c r="I37" s="116">
        <v>622439965</v>
      </c>
      <c r="J37" s="119"/>
    </row>
    <row r="38" spans="1:10" s="4" customFormat="1" ht="21" customHeight="1">
      <c r="A38" s="4">
        <v>27</v>
      </c>
      <c r="B38" s="259" t="s">
        <v>62</v>
      </c>
      <c r="C38" s="260"/>
      <c r="D38" s="271" t="s">
        <v>85</v>
      </c>
      <c r="E38" s="271"/>
      <c r="F38" s="112"/>
      <c r="G38" s="113">
        <v>44730000</v>
      </c>
      <c r="H38" s="118"/>
      <c r="I38" s="116">
        <v>49573637</v>
      </c>
      <c r="J38" s="119"/>
    </row>
    <row r="39" spans="1:10" s="4" customFormat="1" ht="21" customHeight="1">
      <c r="A39" s="4">
        <v>28</v>
      </c>
      <c r="B39" s="259" t="s">
        <v>63</v>
      </c>
      <c r="C39" s="260"/>
      <c r="D39" s="271" t="s">
        <v>86</v>
      </c>
      <c r="E39" s="271"/>
      <c r="F39" s="112"/>
      <c r="G39" s="113">
        <v>399055999</v>
      </c>
      <c r="H39" s="118"/>
      <c r="I39" s="116">
        <v>202986241</v>
      </c>
      <c r="J39" s="119"/>
    </row>
    <row r="40" spans="1:10" s="4" customFormat="1" ht="21" customHeight="1">
      <c r="A40" s="4">
        <v>29</v>
      </c>
      <c r="B40" s="259" t="s">
        <v>64</v>
      </c>
      <c r="C40" s="260"/>
      <c r="D40" s="271" t="s">
        <v>307</v>
      </c>
      <c r="E40" s="271"/>
      <c r="F40" s="112"/>
      <c r="G40" s="113">
        <v>14684139</v>
      </c>
      <c r="H40" s="118"/>
      <c r="I40" s="116">
        <v>9448565</v>
      </c>
      <c r="J40" s="119"/>
    </row>
    <row r="41" spans="1:10" s="4" customFormat="1" ht="21" customHeight="1">
      <c r="A41" s="4">
        <v>30</v>
      </c>
      <c r="B41" s="259" t="s">
        <v>65</v>
      </c>
      <c r="C41" s="260"/>
      <c r="D41" s="271" t="s">
        <v>159</v>
      </c>
      <c r="E41" s="271"/>
      <c r="F41" s="112"/>
      <c r="G41" s="113">
        <v>-26893025</v>
      </c>
      <c r="H41" s="118"/>
      <c r="I41" s="113">
        <v>2038569804</v>
      </c>
      <c r="J41" s="119"/>
    </row>
    <row r="42" spans="1:10" s="4" customFormat="1" ht="21" customHeight="1">
      <c r="A42" s="4">
        <v>31</v>
      </c>
      <c r="B42" s="259" t="s">
        <v>66</v>
      </c>
      <c r="C42" s="260"/>
      <c r="D42" s="271" t="s">
        <v>87</v>
      </c>
      <c r="E42" s="271"/>
      <c r="F42" s="112"/>
      <c r="G42" s="113">
        <v>260532097</v>
      </c>
      <c r="H42" s="118"/>
      <c r="I42" s="116">
        <v>394026403</v>
      </c>
      <c r="J42" s="119"/>
    </row>
    <row r="43" spans="1:10" s="4" customFormat="1" ht="21" customHeight="1">
      <c r="A43" s="4">
        <v>32</v>
      </c>
      <c r="B43" s="259" t="s">
        <v>69</v>
      </c>
      <c r="C43" s="260"/>
      <c r="D43" s="271" t="s">
        <v>160</v>
      </c>
      <c r="E43" s="271"/>
      <c r="F43" s="112"/>
      <c r="G43" s="113">
        <v>372700930</v>
      </c>
      <c r="H43" s="118"/>
      <c r="I43" s="116">
        <v>365363545</v>
      </c>
      <c r="J43" s="119"/>
    </row>
    <row r="44" spans="1:10" s="3" customFormat="1" ht="21.95" customHeight="1">
      <c r="B44" s="141" t="s">
        <v>88</v>
      </c>
      <c r="C44" s="243" t="s">
        <v>272</v>
      </c>
      <c r="D44" s="243"/>
      <c r="E44" s="243"/>
      <c r="F44" s="142"/>
      <c r="G44" s="143"/>
      <c r="H44" s="144">
        <f>H14-H15</f>
        <v>-93258233913</v>
      </c>
      <c r="I44" s="146"/>
      <c r="J44" s="144">
        <f>J14-J15</f>
        <v>-154188149228</v>
      </c>
    </row>
    <row r="45" spans="1:10" s="3" customFormat="1" ht="21.95" customHeight="1">
      <c r="B45" s="141" t="s">
        <v>89</v>
      </c>
      <c r="C45" s="243" t="s">
        <v>90</v>
      </c>
      <c r="D45" s="243"/>
      <c r="E45" s="243"/>
      <c r="F45" s="142"/>
      <c r="G45" s="143"/>
      <c r="H45" s="146">
        <f>SUM(G46:G55)</f>
        <v>33406149133</v>
      </c>
      <c r="I45" s="146"/>
      <c r="J45" s="146">
        <f>SUM(I46:I55)</f>
        <v>55066514622</v>
      </c>
    </row>
    <row r="46" spans="1:10" s="4" customFormat="1" ht="21" customHeight="1">
      <c r="A46" s="4">
        <v>33</v>
      </c>
      <c r="B46" s="268" t="s">
        <v>74</v>
      </c>
      <c r="C46" s="269"/>
      <c r="D46" s="270" t="s">
        <v>91</v>
      </c>
      <c r="E46" s="270"/>
      <c r="F46" s="112"/>
      <c r="G46" s="113">
        <v>6194776911</v>
      </c>
      <c r="H46" s="118"/>
      <c r="I46" s="116">
        <v>5212091282</v>
      </c>
      <c r="J46" s="119"/>
    </row>
    <row r="47" spans="1:10" s="4" customFormat="1" ht="21" customHeight="1">
      <c r="A47" s="4">
        <v>34</v>
      </c>
      <c r="B47" s="268" t="s">
        <v>171</v>
      </c>
      <c r="C47" s="269"/>
      <c r="D47" s="270" t="s">
        <v>145</v>
      </c>
      <c r="E47" s="270"/>
      <c r="F47" s="112"/>
      <c r="G47" s="113">
        <v>229716073</v>
      </c>
      <c r="H47" s="118"/>
      <c r="I47" s="116">
        <v>237697620</v>
      </c>
      <c r="J47" s="119"/>
    </row>
    <row r="48" spans="1:10" s="4" customFormat="1" ht="21" customHeight="1">
      <c r="A48" s="4">
        <v>35</v>
      </c>
      <c r="B48" s="268" t="s">
        <v>172</v>
      </c>
      <c r="C48" s="269"/>
      <c r="D48" s="270" t="s">
        <v>144</v>
      </c>
      <c r="E48" s="270"/>
      <c r="F48" s="112"/>
      <c r="G48" s="116">
        <v>745200</v>
      </c>
      <c r="H48" s="118"/>
      <c r="I48" s="116" t="s">
        <v>321</v>
      </c>
      <c r="J48" s="119"/>
    </row>
    <row r="49" spans="1:10" s="4" customFormat="1" ht="21" customHeight="1">
      <c r="A49" s="4">
        <v>36</v>
      </c>
      <c r="B49" s="268" t="s">
        <v>35</v>
      </c>
      <c r="C49" s="269"/>
      <c r="D49" s="270" t="s">
        <v>146</v>
      </c>
      <c r="E49" s="270"/>
      <c r="F49" s="112"/>
      <c r="G49" s="113">
        <v>900000</v>
      </c>
      <c r="H49" s="118"/>
      <c r="I49" s="116">
        <v>251326444</v>
      </c>
      <c r="J49" s="119"/>
    </row>
    <row r="50" spans="1:10" s="4" customFormat="1" ht="21" customHeight="1">
      <c r="A50" s="4">
        <v>37</v>
      </c>
      <c r="B50" s="268" t="s">
        <v>135</v>
      </c>
      <c r="C50" s="269"/>
      <c r="D50" s="270" t="s">
        <v>147</v>
      </c>
      <c r="E50" s="270"/>
      <c r="F50" s="112"/>
      <c r="G50" s="113">
        <v>1078041925</v>
      </c>
      <c r="H50" s="118"/>
      <c r="I50" s="116">
        <v>3227297661</v>
      </c>
      <c r="J50" s="119"/>
    </row>
    <row r="51" spans="1:10" s="4" customFormat="1" ht="21" customHeight="1">
      <c r="B51" s="268" t="s">
        <v>45</v>
      </c>
      <c r="C51" s="269"/>
      <c r="D51" s="270" t="s">
        <v>317</v>
      </c>
      <c r="E51" s="270"/>
      <c r="F51" s="112"/>
      <c r="G51" s="113" t="s">
        <v>321</v>
      </c>
      <c r="H51" s="118"/>
      <c r="I51" s="210">
        <v>1634668091</v>
      </c>
      <c r="J51" s="119"/>
    </row>
    <row r="52" spans="1:10" s="4" customFormat="1" ht="21" customHeight="1">
      <c r="A52" s="4">
        <v>40</v>
      </c>
      <c r="B52" s="268" t="s">
        <v>46</v>
      </c>
      <c r="C52" s="269"/>
      <c r="D52" s="270" t="s">
        <v>148</v>
      </c>
      <c r="E52" s="270"/>
      <c r="F52" s="112"/>
      <c r="G52" s="113">
        <v>1490635344</v>
      </c>
      <c r="H52" s="118"/>
      <c r="I52" s="116">
        <v>1560909098</v>
      </c>
      <c r="J52" s="119"/>
    </row>
    <row r="53" spans="1:10" s="4" customFormat="1" ht="21" customHeight="1">
      <c r="A53" s="4">
        <v>41</v>
      </c>
      <c r="B53" s="268" t="s">
        <v>47</v>
      </c>
      <c r="C53" s="269"/>
      <c r="D53" s="270" t="s">
        <v>92</v>
      </c>
      <c r="E53" s="270"/>
      <c r="F53" s="112"/>
      <c r="G53" s="113">
        <v>8477468428</v>
      </c>
      <c r="H53" s="118"/>
      <c r="I53" s="116">
        <v>16473775980</v>
      </c>
      <c r="J53" s="119"/>
    </row>
    <row r="54" spans="1:10" s="4" customFormat="1" ht="21" customHeight="1">
      <c r="A54" s="4">
        <v>42</v>
      </c>
      <c r="B54" s="268" t="s">
        <v>48</v>
      </c>
      <c r="C54" s="269"/>
      <c r="D54" s="272" t="s">
        <v>195</v>
      </c>
      <c r="E54" s="272"/>
      <c r="F54" s="112"/>
      <c r="G54" s="113">
        <v>2318417925</v>
      </c>
      <c r="H54" s="118"/>
      <c r="I54" s="210">
        <v>2609169142</v>
      </c>
      <c r="J54" s="119"/>
    </row>
    <row r="55" spans="1:10" s="4" customFormat="1" ht="21" customHeight="1">
      <c r="A55" s="4">
        <v>43</v>
      </c>
      <c r="B55" s="268" t="s">
        <v>49</v>
      </c>
      <c r="C55" s="269"/>
      <c r="D55" s="270" t="s">
        <v>196</v>
      </c>
      <c r="E55" s="270"/>
      <c r="F55" s="112"/>
      <c r="G55" s="113">
        <v>13615447327</v>
      </c>
      <c r="H55" s="118"/>
      <c r="I55" s="210">
        <v>23859579304</v>
      </c>
      <c r="J55" s="119"/>
    </row>
    <row r="56" spans="1:10" s="3" customFormat="1" ht="21.95" customHeight="1">
      <c r="B56" s="141" t="s">
        <v>93</v>
      </c>
      <c r="C56" s="243" t="s">
        <v>94</v>
      </c>
      <c r="D56" s="243"/>
      <c r="E56" s="243"/>
      <c r="F56" s="142"/>
      <c r="G56" s="143"/>
      <c r="H56" s="146">
        <f>SUM(G57:G64)</f>
        <v>82806859293</v>
      </c>
      <c r="I56" s="146"/>
      <c r="J56" s="146">
        <f>SUM(I57:I64)</f>
        <v>59572605277</v>
      </c>
    </row>
    <row r="57" spans="1:10" s="4" customFormat="1" ht="21" customHeight="1">
      <c r="A57" s="4">
        <v>44</v>
      </c>
      <c r="B57" s="268" t="s">
        <v>74</v>
      </c>
      <c r="C57" s="269"/>
      <c r="D57" s="270" t="s">
        <v>197</v>
      </c>
      <c r="E57" s="270"/>
      <c r="F57" s="112"/>
      <c r="G57" s="113">
        <v>48224908480</v>
      </c>
      <c r="H57" s="118"/>
      <c r="I57" s="116">
        <v>57327366880</v>
      </c>
      <c r="J57" s="119"/>
    </row>
    <row r="58" spans="1:10" s="4" customFormat="1" ht="21" customHeight="1">
      <c r="A58" s="4">
        <v>45</v>
      </c>
      <c r="B58" s="268" t="s">
        <v>33</v>
      </c>
      <c r="C58" s="269"/>
      <c r="D58" s="270" t="s">
        <v>149</v>
      </c>
      <c r="E58" s="270"/>
      <c r="F58" s="112"/>
      <c r="G58" s="210">
        <v>9963840</v>
      </c>
      <c r="H58" s="118"/>
      <c r="I58" s="116">
        <v>3749687</v>
      </c>
      <c r="J58" s="119"/>
    </row>
    <row r="59" spans="1:10" s="4" customFormat="1" ht="21" customHeight="1">
      <c r="A59" s="4">
        <v>46</v>
      </c>
      <c r="B59" s="268" t="s">
        <v>136</v>
      </c>
      <c r="C59" s="269"/>
      <c r="D59" s="270" t="s">
        <v>150</v>
      </c>
      <c r="E59" s="270"/>
      <c r="F59" s="112"/>
      <c r="G59" s="210">
        <v>156153948</v>
      </c>
      <c r="H59" s="118"/>
      <c r="I59" s="116">
        <v>15800090</v>
      </c>
      <c r="J59" s="119"/>
    </row>
    <row r="60" spans="1:10" s="4" customFormat="1" ht="21" customHeight="1">
      <c r="A60" s="4">
        <v>47</v>
      </c>
      <c r="B60" s="268" t="s">
        <v>43</v>
      </c>
      <c r="C60" s="269"/>
      <c r="D60" s="270" t="s">
        <v>153</v>
      </c>
      <c r="E60" s="270"/>
      <c r="F60" s="112"/>
      <c r="G60" s="113">
        <v>255125000</v>
      </c>
      <c r="H60" s="118"/>
      <c r="I60" s="116">
        <v>293772000</v>
      </c>
      <c r="J60" s="119"/>
    </row>
    <row r="61" spans="1:10" s="4" customFormat="1" ht="21" customHeight="1">
      <c r="A61" s="4">
        <v>48</v>
      </c>
      <c r="B61" s="268" t="s">
        <v>44</v>
      </c>
      <c r="C61" s="269"/>
      <c r="D61" s="270" t="s">
        <v>152</v>
      </c>
      <c r="E61" s="270"/>
      <c r="F61" s="112"/>
      <c r="G61" s="113">
        <v>50580308</v>
      </c>
      <c r="H61" s="118"/>
      <c r="I61" s="116">
        <v>156542996</v>
      </c>
      <c r="J61" s="119"/>
    </row>
    <row r="62" spans="1:10" s="4" customFormat="1" ht="21" customHeight="1">
      <c r="A62" s="4">
        <v>49</v>
      </c>
      <c r="B62" s="268" t="s">
        <v>45</v>
      </c>
      <c r="C62" s="269"/>
      <c r="D62" s="270" t="s">
        <v>151</v>
      </c>
      <c r="E62" s="270"/>
      <c r="F62" s="112"/>
      <c r="G62" s="113">
        <v>2324677111</v>
      </c>
      <c r="H62" s="118"/>
      <c r="I62" s="116">
        <v>1520089199</v>
      </c>
      <c r="J62" s="119"/>
    </row>
    <row r="63" spans="1:10" s="4" customFormat="1" ht="21" customHeight="1">
      <c r="A63" s="4">
        <v>50</v>
      </c>
      <c r="B63" s="268" t="s">
        <v>46</v>
      </c>
      <c r="C63" s="269"/>
      <c r="D63" s="270" t="s">
        <v>206</v>
      </c>
      <c r="E63" s="270"/>
      <c r="F63" s="112"/>
      <c r="G63" s="113">
        <v>165514052</v>
      </c>
      <c r="H63" s="118"/>
      <c r="I63" s="116">
        <v>1552182</v>
      </c>
      <c r="J63" s="119"/>
    </row>
    <row r="64" spans="1:10" s="4" customFormat="1" ht="21" customHeight="1">
      <c r="A64" s="4">
        <v>53</v>
      </c>
      <c r="B64" s="268" t="s">
        <v>50</v>
      </c>
      <c r="C64" s="269"/>
      <c r="D64" s="270" t="s">
        <v>154</v>
      </c>
      <c r="E64" s="270"/>
      <c r="F64" s="112"/>
      <c r="G64" s="113">
        <v>31619936554</v>
      </c>
      <c r="H64" s="118"/>
      <c r="I64" s="116">
        <v>253732243</v>
      </c>
      <c r="J64" s="119"/>
    </row>
    <row r="65" spans="2:11" s="3" customFormat="1" ht="21" customHeight="1">
      <c r="B65" s="141" t="s">
        <v>71</v>
      </c>
      <c r="C65" s="243" t="s">
        <v>271</v>
      </c>
      <c r="D65" s="243"/>
      <c r="E65" s="243"/>
      <c r="F65" s="142"/>
      <c r="G65" s="143"/>
      <c r="H65" s="144">
        <f>SUM(H44+H45-H56)</f>
        <v>-142658944073</v>
      </c>
      <c r="I65" s="145"/>
      <c r="J65" s="144">
        <f>SUM(J44+J45-J56)</f>
        <v>-158694239883</v>
      </c>
    </row>
    <row r="66" spans="2:11" s="3" customFormat="1" ht="21" customHeight="1">
      <c r="B66" s="106" t="s">
        <v>72</v>
      </c>
      <c r="C66" s="244" t="s">
        <v>198</v>
      </c>
      <c r="D66" s="244"/>
      <c r="E66" s="244"/>
      <c r="F66" s="112"/>
      <c r="G66" s="113"/>
      <c r="H66" s="114">
        <v>0</v>
      </c>
      <c r="I66" s="116"/>
      <c r="J66" s="69">
        <v>0</v>
      </c>
    </row>
    <row r="67" spans="2:11" s="3" customFormat="1" ht="21.95" customHeight="1" thickBot="1">
      <c r="B67" s="140" t="s">
        <v>73</v>
      </c>
      <c r="C67" s="267" t="s">
        <v>224</v>
      </c>
      <c r="D67" s="267"/>
      <c r="E67" s="267"/>
      <c r="F67" s="136"/>
      <c r="G67" s="137"/>
      <c r="H67" s="138">
        <f>H65</f>
        <v>-142658944073</v>
      </c>
      <c r="I67" s="139"/>
      <c r="J67" s="138">
        <f>J65</f>
        <v>-158694239883</v>
      </c>
    </row>
    <row r="68" spans="2:11" s="3" customFormat="1" ht="52.5" customHeight="1">
      <c r="B68" s="107"/>
      <c r="C68" s="105"/>
      <c r="D68" s="105"/>
      <c r="E68" s="105"/>
      <c r="F68" s="60"/>
      <c r="G68" s="120"/>
      <c r="H68" s="121"/>
      <c r="I68" s="122"/>
      <c r="J68" s="121"/>
    </row>
    <row r="69" spans="2:11" ht="52.5" customHeight="1">
      <c r="B69" s="123"/>
      <c r="D69" s="123"/>
      <c r="F69" s="123"/>
      <c r="G69" s="111"/>
      <c r="H69" s="124"/>
      <c r="I69" s="124"/>
      <c r="J69" s="124"/>
      <c r="K69" s="21"/>
    </row>
    <row r="70" spans="2:11" ht="21.95" customHeight="1">
      <c r="G70" s="111"/>
      <c r="H70" s="124"/>
      <c r="I70" s="124"/>
      <c r="J70" s="124"/>
      <c r="K70" s="21"/>
    </row>
    <row r="71" spans="2:11" ht="21.95" customHeight="1">
      <c r="H71" s="128"/>
      <c r="J71" s="128"/>
      <c r="K71" s="21"/>
    </row>
  </sheetData>
  <mergeCells count="121">
    <mergeCell ref="D57:E57"/>
    <mergeCell ref="D52:E52"/>
    <mergeCell ref="B57:C57"/>
    <mergeCell ref="C56:E56"/>
    <mergeCell ref="C67:E67"/>
    <mergeCell ref="D58:E58"/>
    <mergeCell ref="B58:C58"/>
    <mergeCell ref="B60:C60"/>
    <mergeCell ref="D60:E60"/>
    <mergeCell ref="B63:C63"/>
    <mergeCell ref="D63:E63"/>
    <mergeCell ref="B62:C62"/>
    <mergeCell ref="D62:E62"/>
    <mergeCell ref="D61:E61"/>
    <mergeCell ref="B61:C61"/>
    <mergeCell ref="D64:E64"/>
    <mergeCell ref="B64:C64"/>
    <mergeCell ref="D59:E59"/>
    <mergeCell ref="B59:C59"/>
    <mergeCell ref="C65:E65"/>
    <mergeCell ref="C66:E66"/>
    <mergeCell ref="D55:E55"/>
    <mergeCell ref="B55:C55"/>
    <mergeCell ref="B1:J1"/>
    <mergeCell ref="B2:J2"/>
    <mergeCell ref="B3:J3"/>
    <mergeCell ref="B4:E4"/>
    <mergeCell ref="B30:C30"/>
    <mergeCell ref="B12:C12"/>
    <mergeCell ref="B19:C19"/>
    <mergeCell ref="B16:C16"/>
    <mergeCell ref="B23:C23"/>
    <mergeCell ref="B27:C27"/>
    <mergeCell ref="B25:C25"/>
    <mergeCell ref="I5:J5"/>
    <mergeCell ref="G5:H5"/>
    <mergeCell ref="D20:E20"/>
    <mergeCell ref="D21:E21"/>
    <mergeCell ref="B5:E5"/>
    <mergeCell ref="D18:E18"/>
    <mergeCell ref="D30:E30"/>
    <mergeCell ref="D12:E12"/>
    <mergeCell ref="C14:E14"/>
    <mergeCell ref="C15:E15"/>
    <mergeCell ref="D16:E16"/>
    <mergeCell ref="C6:E6"/>
    <mergeCell ref="D8:E8"/>
    <mergeCell ref="D50:E50"/>
    <mergeCell ref="B42:C42"/>
    <mergeCell ref="B47:C47"/>
    <mergeCell ref="B49:C49"/>
    <mergeCell ref="B52:C52"/>
    <mergeCell ref="C45:E45"/>
    <mergeCell ref="D49:E49"/>
    <mergeCell ref="D54:E54"/>
    <mergeCell ref="B54:C54"/>
    <mergeCell ref="B43:C43"/>
    <mergeCell ref="C44:E44"/>
    <mergeCell ref="D43:E43"/>
    <mergeCell ref="D53:E53"/>
    <mergeCell ref="B53:C53"/>
    <mergeCell ref="B50:C50"/>
    <mergeCell ref="D46:E46"/>
    <mergeCell ref="D48:E48"/>
    <mergeCell ref="D47:E47"/>
    <mergeCell ref="B46:C46"/>
    <mergeCell ref="B48:C48"/>
    <mergeCell ref="B51:C51"/>
    <mergeCell ref="B17:C17"/>
    <mergeCell ref="B18:C18"/>
    <mergeCell ref="D24:E24"/>
    <mergeCell ref="D26:E26"/>
    <mergeCell ref="D29:E29"/>
    <mergeCell ref="D31:E31"/>
    <mergeCell ref="D28:E28"/>
    <mergeCell ref="D23:E23"/>
    <mergeCell ref="D22:E22"/>
    <mergeCell ref="B20:C20"/>
    <mergeCell ref="B24:C24"/>
    <mergeCell ref="D17:E17"/>
    <mergeCell ref="D19:E19"/>
    <mergeCell ref="D27:E27"/>
    <mergeCell ref="B26:C26"/>
    <mergeCell ref="B21:C21"/>
    <mergeCell ref="B22:C22"/>
    <mergeCell ref="D25:E25"/>
    <mergeCell ref="B28:C28"/>
    <mergeCell ref="D42:E42"/>
    <mergeCell ref="B41:C41"/>
    <mergeCell ref="B35:C35"/>
    <mergeCell ref="B36:C36"/>
    <mergeCell ref="D39:E39"/>
    <mergeCell ref="D40:E40"/>
    <mergeCell ref="D35:E35"/>
    <mergeCell ref="D36:E36"/>
    <mergeCell ref="D38:E38"/>
    <mergeCell ref="D41:E41"/>
    <mergeCell ref="D37:E37"/>
    <mergeCell ref="B32:C32"/>
    <mergeCell ref="D32:E32"/>
    <mergeCell ref="D33:E33"/>
    <mergeCell ref="B38:C38"/>
    <mergeCell ref="D34:E34"/>
    <mergeCell ref="B37:C37"/>
    <mergeCell ref="D51:E51"/>
    <mergeCell ref="B7:C7"/>
    <mergeCell ref="D7:E7"/>
    <mergeCell ref="B13:C13"/>
    <mergeCell ref="D13:E13"/>
    <mergeCell ref="B8:C8"/>
    <mergeCell ref="B9:C9"/>
    <mergeCell ref="B10:C10"/>
    <mergeCell ref="C11:E11"/>
    <mergeCell ref="D10:E10"/>
    <mergeCell ref="D9:E9"/>
    <mergeCell ref="B40:C40"/>
    <mergeCell ref="B31:C31"/>
    <mergeCell ref="B33:C33"/>
    <mergeCell ref="B34:C34"/>
    <mergeCell ref="B39:C39"/>
    <mergeCell ref="B29:C29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2" fitToHeight="0" orientation="portrait" r:id="rId1"/>
  <headerFooter alignWithMargins="0"/>
  <rowBreaks count="2" manualBreakCount="2">
    <brk id="34" min="1" max="9" man="1"/>
    <brk id="69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3"/>
  <sheetViews>
    <sheetView view="pageBreakPreview" topLeftCell="B1" zoomScale="85" zoomScaleNormal="100" zoomScaleSheetLayoutView="85" workbookViewId="0">
      <selection activeCell="E16" sqref="E16"/>
    </sheetView>
  </sheetViews>
  <sheetFormatPr defaultRowHeight="21.95" customHeight="1"/>
  <cols>
    <col min="1" max="1" width="2.44140625" style="7" hidden="1" customWidth="1"/>
    <col min="2" max="2" width="4.33203125" style="172" customWidth="1"/>
    <col min="3" max="3" width="24.77734375" style="172" customWidth="1"/>
    <col min="4" max="4" width="1.6640625" style="172" customWidth="1"/>
    <col min="5" max="6" width="25.77734375" style="173" customWidth="1"/>
    <col min="7" max="16384" width="8.88671875" style="7"/>
  </cols>
  <sheetData>
    <row r="1" spans="1:8" ht="28.5" customHeight="1">
      <c r="B1" s="286" t="s">
        <v>31</v>
      </c>
      <c r="C1" s="286"/>
      <c r="D1" s="286"/>
      <c r="E1" s="286"/>
      <c r="F1" s="286"/>
    </row>
    <row r="2" spans="1:8" ht="18" customHeight="1">
      <c r="B2" s="287" t="str">
        <f>손익계산서!B2</f>
        <v>제35기 2015년1월1일부터 2015년 12월31일까지</v>
      </c>
      <c r="C2" s="288"/>
      <c r="D2" s="288"/>
      <c r="E2" s="288"/>
      <c r="F2" s="288"/>
    </row>
    <row r="3" spans="1:8" ht="18" customHeight="1">
      <c r="B3" s="287" t="str">
        <f>손익계산서!B3</f>
        <v>제34기 2014년1월1일부터 2014년 12월31일까지</v>
      </c>
      <c r="C3" s="288"/>
      <c r="D3" s="288"/>
      <c r="E3" s="288"/>
      <c r="F3" s="288"/>
    </row>
    <row r="4" spans="1:8" ht="21.95" customHeight="1" thickBot="1">
      <c r="B4" s="158" t="s">
        <v>157</v>
      </c>
      <c r="C4" s="159"/>
      <c r="D4" s="160"/>
      <c r="E4" s="161"/>
      <c r="F4" s="162" t="s">
        <v>30</v>
      </c>
    </row>
    <row r="5" spans="1:8" s="8" customFormat="1" ht="21" customHeight="1">
      <c r="B5" s="291" t="s">
        <v>42</v>
      </c>
      <c r="C5" s="292"/>
      <c r="D5" s="293"/>
      <c r="E5" s="174" t="str">
        <f>재무상태표!G5</f>
        <v>제35(당)기</v>
      </c>
      <c r="F5" s="174" t="str">
        <f>손익계산서!I5</f>
        <v>제34(전)기</v>
      </c>
    </row>
    <row r="6" spans="1:8" s="9" customFormat="1" ht="20.100000000000001" customHeight="1">
      <c r="A6" s="9">
        <v>1</v>
      </c>
      <c r="B6" s="163" t="s">
        <v>32</v>
      </c>
      <c r="C6" s="164" t="s">
        <v>333</v>
      </c>
      <c r="D6" s="165"/>
      <c r="E6" s="166">
        <v>556049945770</v>
      </c>
      <c r="F6" s="166">
        <v>533493938200</v>
      </c>
      <c r="H6"/>
    </row>
    <row r="7" spans="1:8" s="9" customFormat="1" ht="20.100000000000001" customHeight="1">
      <c r="A7" s="9">
        <v>2</v>
      </c>
      <c r="B7" s="163" t="s">
        <v>33</v>
      </c>
      <c r="C7" s="164" t="s">
        <v>231</v>
      </c>
      <c r="D7" s="165"/>
      <c r="E7" s="166">
        <v>67139714541</v>
      </c>
      <c r="F7" s="166">
        <v>97641148222</v>
      </c>
      <c r="H7"/>
    </row>
    <row r="8" spans="1:8" s="9" customFormat="1" ht="20.100000000000001" customHeight="1">
      <c r="A8" s="9">
        <v>3</v>
      </c>
      <c r="B8" s="163" t="s">
        <v>34</v>
      </c>
      <c r="C8" s="164" t="s">
        <v>334</v>
      </c>
      <c r="D8" s="165"/>
      <c r="E8" s="166">
        <v>82683801487</v>
      </c>
      <c r="F8" s="166">
        <v>74745155329</v>
      </c>
      <c r="H8"/>
    </row>
    <row r="9" spans="1:8" s="9" customFormat="1" ht="20.100000000000001" customHeight="1">
      <c r="A9" s="9">
        <v>4</v>
      </c>
      <c r="B9" s="163" t="s">
        <v>35</v>
      </c>
      <c r="C9" s="167" t="s">
        <v>335</v>
      </c>
      <c r="D9" s="168"/>
      <c r="E9" s="166">
        <v>715415219</v>
      </c>
      <c r="F9" s="166">
        <v>421561393</v>
      </c>
      <c r="H9"/>
    </row>
    <row r="10" spans="1:8" s="9" customFormat="1" ht="20.100000000000001" customHeight="1">
      <c r="A10" s="9">
        <v>5</v>
      </c>
      <c r="B10" s="163" t="s">
        <v>36</v>
      </c>
      <c r="C10" s="167" t="s">
        <v>336</v>
      </c>
      <c r="D10" s="168"/>
      <c r="E10" s="166">
        <v>4116445407</v>
      </c>
      <c r="F10" s="166">
        <v>4095816047</v>
      </c>
      <c r="H10"/>
    </row>
    <row r="11" spans="1:8" s="9" customFormat="1" ht="20.100000000000001" customHeight="1">
      <c r="A11" s="9">
        <v>6</v>
      </c>
      <c r="B11" s="163" t="s">
        <v>37</v>
      </c>
      <c r="C11" s="167" t="s">
        <v>337</v>
      </c>
      <c r="D11" s="168"/>
      <c r="E11" s="166">
        <v>94916638802</v>
      </c>
      <c r="F11" s="166">
        <v>90698965013</v>
      </c>
      <c r="H11"/>
    </row>
    <row r="12" spans="1:8" s="9" customFormat="1" ht="20.100000000000001" customHeight="1">
      <c r="A12" s="9">
        <v>7</v>
      </c>
      <c r="B12" s="163" t="s">
        <v>46</v>
      </c>
      <c r="C12" s="167" t="s">
        <v>338</v>
      </c>
      <c r="D12" s="168"/>
      <c r="E12" s="166">
        <v>3311045088</v>
      </c>
      <c r="F12" s="166">
        <v>3106691733</v>
      </c>
      <c r="H12"/>
    </row>
    <row r="13" spans="1:8" s="9" customFormat="1" ht="20.100000000000001" customHeight="1">
      <c r="A13" s="9">
        <v>8</v>
      </c>
      <c r="B13" s="163" t="s">
        <v>47</v>
      </c>
      <c r="C13" s="167" t="s">
        <v>339</v>
      </c>
      <c r="D13" s="168"/>
      <c r="E13" s="166">
        <v>2461817476</v>
      </c>
      <c r="F13" s="166">
        <v>2229481511</v>
      </c>
      <c r="H13"/>
    </row>
    <row r="14" spans="1:8" s="9" customFormat="1" ht="20.100000000000001" customHeight="1">
      <c r="A14" s="9">
        <v>10</v>
      </c>
      <c r="B14" s="187" t="s">
        <v>273</v>
      </c>
      <c r="C14" s="167" t="s">
        <v>340</v>
      </c>
      <c r="D14" s="168"/>
      <c r="E14" s="166">
        <v>912668646</v>
      </c>
      <c r="F14" s="166">
        <v>803603236</v>
      </c>
      <c r="H14"/>
    </row>
    <row r="15" spans="1:8" s="9" customFormat="1" ht="20.100000000000001" customHeight="1">
      <c r="A15" s="9">
        <v>11</v>
      </c>
      <c r="B15" s="187" t="s">
        <v>274</v>
      </c>
      <c r="C15" s="234" t="s">
        <v>341</v>
      </c>
      <c r="D15" s="168"/>
      <c r="E15" s="166">
        <v>139621776</v>
      </c>
      <c r="F15" s="166">
        <v>143905082</v>
      </c>
      <c r="H15"/>
    </row>
    <row r="16" spans="1:8" s="9" customFormat="1" ht="20.100000000000001" customHeight="1">
      <c r="A16" s="9">
        <v>12</v>
      </c>
      <c r="B16" s="187" t="s">
        <v>275</v>
      </c>
      <c r="C16" s="167" t="s">
        <v>342</v>
      </c>
      <c r="D16" s="168"/>
      <c r="E16" s="166">
        <v>182426723182</v>
      </c>
      <c r="F16" s="166">
        <v>181345173238</v>
      </c>
      <c r="H16"/>
    </row>
    <row r="17" spans="1:8" s="9" customFormat="1" ht="20.100000000000001" customHeight="1">
      <c r="A17" s="9">
        <v>13</v>
      </c>
      <c r="B17" s="187" t="s">
        <v>276</v>
      </c>
      <c r="C17" s="167" t="s">
        <v>232</v>
      </c>
      <c r="D17" s="168"/>
      <c r="E17" s="166">
        <v>141745545</v>
      </c>
      <c r="F17" s="166">
        <v>958063301</v>
      </c>
      <c r="H17"/>
    </row>
    <row r="18" spans="1:8" s="9" customFormat="1" ht="20.100000000000001" customHeight="1">
      <c r="A18" s="9">
        <v>14</v>
      </c>
      <c r="B18" s="187" t="s">
        <v>277</v>
      </c>
      <c r="C18" s="167" t="s">
        <v>343</v>
      </c>
      <c r="D18" s="168"/>
      <c r="E18" s="166">
        <v>19738286463</v>
      </c>
      <c r="F18" s="166">
        <v>18793395565</v>
      </c>
      <c r="H18"/>
    </row>
    <row r="19" spans="1:8" s="9" customFormat="1" ht="20.100000000000001" customHeight="1">
      <c r="A19" s="9">
        <v>15</v>
      </c>
      <c r="B19" s="187" t="s">
        <v>278</v>
      </c>
      <c r="C19" s="167" t="s">
        <v>344</v>
      </c>
      <c r="D19" s="168"/>
      <c r="E19" s="166">
        <v>223468949</v>
      </c>
      <c r="F19" s="166">
        <v>242872852</v>
      </c>
      <c r="H19"/>
    </row>
    <row r="20" spans="1:8" s="9" customFormat="1" ht="20.100000000000001" customHeight="1">
      <c r="A20" s="9">
        <v>16</v>
      </c>
      <c r="B20" s="187" t="s">
        <v>279</v>
      </c>
      <c r="C20" s="167" t="s">
        <v>345</v>
      </c>
      <c r="D20" s="168"/>
      <c r="E20" s="166">
        <v>523244126</v>
      </c>
      <c r="F20" s="166">
        <v>469983645</v>
      </c>
      <c r="H20"/>
    </row>
    <row r="21" spans="1:8" s="9" customFormat="1" ht="20.100000000000001" customHeight="1">
      <c r="A21" s="9">
        <v>17</v>
      </c>
      <c r="B21" s="187" t="s">
        <v>280</v>
      </c>
      <c r="C21" s="167" t="s">
        <v>346</v>
      </c>
      <c r="D21" s="168"/>
      <c r="E21" s="166">
        <v>147810164894</v>
      </c>
      <c r="F21" s="166">
        <v>147310739202</v>
      </c>
      <c r="H21"/>
    </row>
    <row r="22" spans="1:8" s="10" customFormat="1" ht="20.100000000000001" customHeight="1">
      <c r="A22" s="9">
        <v>18</v>
      </c>
      <c r="B22" s="187" t="s">
        <v>281</v>
      </c>
      <c r="C22" s="167" t="s">
        <v>347</v>
      </c>
      <c r="D22" s="168"/>
      <c r="E22" s="166">
        <v>23829100</v>
      </c>
      <c r="F22" s="169">
        <v>24849977</v>
      </c>
      <c r="H22"/>
    </row>
    <row r="23" spans="1:8" s="10" customFormat="1" ht="20.100000000000001" customHeight="1">
      <c r="A23" s="9">
        <v>20</v>
      </c>
      <c r="B23" s="187" t="s">
        <v>282</v>
      </c>
      <c r="C23" s="167" t="s">
        <v>348</v>
      </c>
      <c r="D23" s="168"/>
      <c r="E23" s="169">
        <v>534870</v>
      </c>
      <c r="F23" s="166" t="s">
        <v>321</v>
      </c>
      <c r="H23"/>
    </row>
    <row r="24" spans="1:8" s="10" customFormat="1" ht="20.100000000000001" customHeight="1">
      <c r="A24" s="9">
        <v>21</v>
      </c>
      <c r="B24" s="187" t="s">
        <v>283</v>
      </c>
      <c r="C24" s="167" t="s">
        <v>349</v>
      </c>
      <c r="D24" s="168"/>
      <c r="E24" s="166">
        <v>2739726505</v>
      </c>
      <c r="F24" s="166">
        <v>2357264925</v>
      </c>
      <c r="H24"/>
    </row>
    <row r="25" spans="1:8" s="10" customFormat="1" ht="20.100000000000001" customHeight="1">
      <c r="A25" s="9">
        <v>22</v>
      </c>
      <c r="B25" s="187" t="s">
        <v>284</v>
      </c>
      <c r="C25" s="167" t="s">
        <v>350</v>
      </c>
      <c r="D25" s="168"/>
      <c r="E25" s="166">
        <v>144718310</v>
      </c>
      <c r="F25" s="166">
        <v>128266500</v>
      </c>
      <c r="H25"/>
    </row>
    <row r="26" spans="1:8" s="10" customFormat="1" ht="20.100000000000001" customHeight="1">
      <c r="A26" s="9">
        <v>24</v>
      </c>
      <c r="B26" s="187" t="s">
        <v>285</v>
      </c>
      <c r="C26" s="167" t="s">
        <v>351</v>
      </c>
      <c r="D26" s="168"/>
      <c r="E26" s="166">
        <v>65781232</v>
      </c>
      <c r="F26" s="166">
        <v>32280628</v>
      </c>
      <c r="H26"/>
    </row>
    <row r="27" spans="1:8" s="10" customFormat="1" ht="20.100000000000001" customHeight="1">
      <c r="A27" s="9">
        <v>25</v>
      </c>
      <c r="B27" s="187" t="s">
        <v>286</v>
      </c>
      <c r="C27" s="167" t="s">
        <v>352</v>
      </c>
      <c r="D27" s="168"/>
      <c r="E27" s="166">
        <v>32412062</v>
      </c>
      <c r="F27" s="166">
        <v>62467653</v>
      </c>
      <c r="H27"/>
    </row>
    <row r="28" spans="1:8" s="10" customFormat="1" ht="20.100000000000001" customHeight="1">
      <c r="A28" s="9">
        <v>26</v>
      </c>
      <c r="B28" s="187" t="s">
        <v>287</v>
      </c>
      <c r="C28" s="167" t="s">
        <v>353</v>
      </c>
      <c r="D28" s="168"/>
      <c r="E28" s="166">
        <v>3478373399</v>
      </c>
      <c r="F28" s="166">
        <v>3326775182</v>
      </c>
      <c r="H28"/>
    </row>
    <row r="29" spans="1:8" s="10" customFormat="1" ht="20.100000000000001" customHeight="1">
      <c r="A29" s="9">
        <v>27</v>
      </c>
      <c r="B29" s="187" t="s">
        <v>288</v>
      </c>
      <c r="C29" s="167" t="s">
        <v>354</v>
      </c>
      <c r="D29" s="168"/>
      <c r="E29" s="166">
        <v>27036536942</v>
      </c>
      <c r="F29" s="166">
        <v>22652846395</v>
      </c>
      <c r="H29"/>
    </row>
    <row r="30" spans="1:8" s="10" customFormat="1" ht="20.100000000000001" customHeight="1">
      <c r="A30" s="9">
        <v>28</v>
      </c>
      <c r="B30" s="187" t="s">
        <v>289</v>
      </c>
      <c r="C30" s="167" t="s">
        <v>234</v>
      </c>
      <c r="D30" s="168"/>
      <c r="E30" s="166">
        <v>994030262</v>
      </c>
      <c r="F30" s="166">
        <v>670114706</v>
      </c>
      <c r="H30"/>
    </row>
    <row r="31" spans="1:8" s="10" customFormat="1" ht="20.100000000000001" customHeight="1">
      <c r="A31" s="9">
        <v>30</v>
      </c>
      <c r="B31" s="187" t="s">
        <v>290</v>
      </c>
      <c r="C31" s="167" t="s">
        <v>355</v>
      </c>
      <c r="D31" s="168"/>
      <c r="E31" s="166">
        <v>2719484665</v>
      </c>
      <c r="F31" s="166">
        <v>2386308305</v>
      </c>
      <c r="H31"/>
    </row>
    <row r="32" spans="1:8" s="10" customFormat="1" ht="20.100000000000001" customHeight="1">
      <c r="A32" s="9">
        <v>31</v>
      </c>
      <c r="B32" s="187" t="s">
        <v>291</v>
      </c>
      <c r="C32" s="167" t="s">
        <v>356</v>
      </c>
      <c r="D32" s="168"/>
      <c r="E32" s="166">
        <v>807931512</v>
      </c>
      <c r="F32" s="166">
        <v>607158113</v>
      </c>
      <c r="H32"/>
    </row>
    <row r="33" spans="2:6" ht="21.95" customHeight="1">
      <c r="B33" s="289" t="s">
        <v>95</v>
      </c>
      <c r="C33" s="290"/>
      <c r="D33" s="170"/>
      <c r="E33" s="171">
        <f>SUM(E6:E32)</f>
        <v>1201354106230</v>
      </c>
      <c r="F33" s="171">
        <f>SUM(F6:F32)</f>
        <v>1188748825953</v>
      </c>
    </row>
  </sheetData>
  <mergeCells count="5">
    <mergeCell ref="B1:F1"/>
    <mergeCell ref="B2:F2"/>
    <mergeCell ref="B3:F3"/>
    <mergeCell ref="B33:C33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87"/>
  <sheetViews>
    <sheetView view="pageBreakPreview" zoomScale="85" zoomScaleNormal="85" zoomScaleSheetLayoutView="85" workbookViewId="0">
      <selection sqref="A1:G1"/>
    </sheetView>
  </sheetViews>
  <sheetFormatPr defaultRowHeight="13.5"/>
  <cols>
    <col min="2" max="2" width="4.21875" customWidth="1"/>
    <col min="3" max="3" width="22.88671875" customWidth="1"/>
    <col min="4" max="5" width="14.5546875" style="78" customWidth="1"/>
    <col min="6" max="7" width="16.44140625" style="78" bestFit="1" customWidth="1"/>
  </cols>
  <sheetData>
    <row r="1" spans="1:7" ht="33" customHeight="1">
      <c r="A1" s="295" t="s">
        <v>292</v>
      </c>
      <c r="B1" s="295"/>
      <c r="C1" s="295"/>
      <c r="D1" s="295"/>
      <c r="E1" s="295"/>
      <c r="F1" s="295"/>
      <c r="G1" s="295"/>
    </row>
    <row r="2" spans="1:7">
      <c r="A2" s="296" t="s">
        <v>327</v>
      </c>
      <c r="B2" s="296"/>
      <c r="C2" s="296"/>
      <c r="D2" s="296"/>
      <c r="E2" s="296"/>
      <c r="F2" s="296"/>
      <c r="G2" s="296"/>
    </row>
    <row r="3" spans="1:7">
      <c r="A3" s="296" t="s">
        <v>314</v>
      </c>
      <c r="B3" s="296"/>
      <c r="C3" s="296"/>
      <c r="D3" s="296"/>
      <c r="E3" s="296"/>
      <c r="F3" s="296"/>
      <c r="G3" s="296"/>
    </row>
    <row r="4" spans="1:7">
      <c r="A4" s="95" t="s">
        <v>225</v>
      </c>
      <c r="B4" s="95"/>
      <c r="C4" s="93"/>
      <c r="D4" s="94"/>
      <c r="E4" s="94"/>
      <c r="G4" s="104" t="s">
        <v>226</v>
      </c>
    </row>
    <row r="5" spans="1:7" ht="15.75" customHeight="1">
      <c r="A5" s="297" t="s">
        <v>227</v>
      </c>
      <c r="B5" s="298"/>
      <c r="C5" s="298"/>
      <c r="D5" s="299" t="s">
        <v>328</v>
      </c>
      <c r="E5" s="300"/>
      <c r="F5" s="301" t="s">
        <v>325</v>
      </c>
      <c r="G5" s="302"/>
    </row>
    <row r="6" spans="1:7" s="186" customFormat="1">
      <c r="A6" s="188" t="s">
        <v>228</v>
      </c>
      <c r="B6" s="189"/>
      <c r="C6" s="190"/>
      <c r="D6" s="217"/>
      <c r="E6" s="217">
        <v>175911820969</v>
      </c>
      <c r="F6" s="217"/>
      <c r="G6" s="217">
        <v>123047172114</v>
      </c>
    </row>
    <row r="7" spans="1:7">
      <c r="A7" s="96"/>
      <c r="B7" s="294" t="s">
        <v>229</v>
      </c>
      <c r="C7" s="294"/>
      <c r="D7" s="217">
        <v>-142658944073</v>
      </c>
      <c r="E7" s="217"/>
      <c r="F7" s="217">
        <v>-158694239883</v>
      </c>
      <c r="G7" s="217"/>
    </row>
    <row r="8" spans="1:7">
      <c r="A8" s="96"/>
      <c r="B8" s="294" t="s">
        <v>230</v>
      </c>
      <c r="C8" s="294"/>
      <c r="D8" s="217">
        <v>292031950215</v>
      </c>
      <c r="E8" s="217"/>
      <c r="F8" s="217">
        <v>300098361924</v>
      </c>
      <c r="G8" s="217"/>
    </row>
    <row r="9" spans="1:7">
      <c r="A9" s="96"/>
      <c r="B9" s="97"/>
      <c r="C9" s="200" t="s">
        <v>231</v>
      </c>
      <c r="D9" s="214">
        <v>71553769611</v>
      </c>
      <c r="E9" s="214"/>
      <c r="F9" s="214">
        <v>105031098232</v>
      </c>
      <c r="G9" s="214"/>
    </row>
    <row r="10" spans="1:7">
      <c r="A10" s="96"/>
      <c r="B10" s="97"/>
      <c r="C10" s="200" t="s">
        <v>357</v>
      </c>
      <c r="D10" s="214">
        <v>-26893025</v>
      </c>
      <c r="E10" s="214"/>
      <c r="F10" s="214">
        <v>2038569804</v>
      </c>
      <c r="G10" s="214"/>
    </row>
    <row r="11" spans="1:7">
      <c r="A11" s="96"/>
      <c r="B11" s="97"/>
      <c r="C11" s="200" t="s">
        <v>342</v>
      </c>
      <c r="D11" s="214">
        <v>185322820937</v>
      </c>
      <c r="E11" s="214"/>
      <c r="F11" s="214">
        <v>186051362748</v>
      </c>
      <c r="G11" s="214"/>
    </row>
    <row r="12" spans="1:7">
      <c r="A12" s="96"/>
      <c r="B12" s="97"/>
      <c r="C12" s="200" t="s">
        <v>232</v>
      </c>
      <c r="D12" s="214">
        <v>1390501966</v>
      </c>
      <c r="E12" s="214"/>
      <c r="F12" s="214">
        <v>4346539392</v>
      </c>
      <c r="G12" s="214"/>
    </row>
    <row r="13" spans="1:7">
      <c r="A13" s="96"/>
      <c r="B13" s="97"/>
      <c r="C13" s="200" t="s">
        <v>233</v>
      </c>
      <c r="D13" s="214">
        <v>437334321</v>
      </c>
      <c r="E13" s="214"/>
      <c r="F13" s="214">
        <v>266692575</v>
      </c>
      <c r="G13" s="214"/>
    </row>
    <row r="14" spans="1:7" s="209" customFormat="1">
      <c r="A14" s="96"/>
      <c r="B14" s="97"/>
      <c r="C14" s="200" t="s">
        <v>234</v>
      </c>
      <c r="D14" s="232">
        <v>994030262</v>
      </c>
      <c r="E14" s="214"/>
      <c r="F14" s="214">
        <v>670114706</v>
      </c>
      <c r="G14" s="214"/>
    </row>
    <row r="15" spans="1:7">
      <c r="A15" s="96"/>
      <c r="B15" s="97"/>
      <c r="C15" s="200" t="s">
        <v>235</v>
      </c>
      <c r="D15" s="214">
        <v>156153948</v>
      </c>
      <c r="E15" s="214"/>
      <c r="F15" s="214">
        <v>15800090</v>
      </c>
      <c r="G15" s="214"/>
    </row>
    <row r="16" spans="1:7">
      <c r="A16" s="96"/>
      <c r="B16" s="97"/>
      <c r="C16" s="200" t="s">
        <v>236</v>
      </c>
      <c r="D16" s="214">
        <v>2324677111</v>
      </c>
      <c r="E16" s="214"/>
      <c r="F16" s="214">
        <v>1520089199</v>
      </c>
      <c r="G16" s="214"/>
    </row>
    <row r="17" spans="1:7">
      <c r="A17" s="96"/>
      <c r="B17" s="97"/>
      <c r="C17" s="200" t="s">
        <v>237</v>
      </c>
      <c r="D17" s="214">
        <v>50580308</v>
      </c>
      <c r="E17" s="214"/>
      <c r="F17" s="214">
        <v>156542996</v>
      </c>
      <c r="G17" s="214"/>
    </row>
    <row r="18" spans="1:7">
      <c r="A18" s="96"/>
      <c r="B18" s="97"/>
      <c r="C18" s="200" t="s">
        <v>238</v>
      </c>
      <c r="D18" s="214">
        <v>165514052</v>
      </c>
      <c r="E18" s="214"/>
      <c r="F18" s="214">
        <v>1552182</v>
      </c>
      <c r="G18" s="214"/>
    </row>
    <row r="19" spans="1:7" s="209" customFormat="1">
      <c r="A19" s="96"/>
      <c r="B19" s="97"/>
      <c r="C19" s="200" t="s">
        <v>358</v>
      </c>
      <c r="D19" s="232">
        <v>29663460724</v>
      </c>
      <c r="E19" s="214"/>
      <c r="F19" s="214" t="s">
        <v>321</v>
      </c>
      <c r="G19" s="214"/>
    </row>
    <row r="20" spans="1:7">
      <c r="A20" s="96"/>
      <c r="B20" s="294" t="s">
        <v>239</v>
      </c>
      <c r="C20" s="294"/>
      <c r="D20" s="217">
        <v>-12530573443</v>
      </c>
      <c r="E20" s="217"/>
      <c r="F20" s="217">
        <v>-22529848755</v>
      </c>
      <c r="G20" s="217"/>
    </row>
    <row r="21" spans="1:7" s="209" customFormat="1">
      <c r="A21" s="96"/>
      <c r="B21" s="237"/>
      <c r="C21" s="200" t="s">
        <v>240</v>
      </c>
      <c r="D21" s="232">
        <v>8477468428</v>
      </c>
      <c r="E21" s="217"/>
      <c r="F21" s="214">
        <v>16473775980</v>
      </c>
      <c r="G21" s="217"/>
    </row>
    <row r="22" spans="1:7">
      <c r="A22" s="96"/>
      <c r="B22" s="97"/>
      <c r="C22" s="200" t="s">
        <v>241</v>
      </c>
      <c r="D22" s="214">
        <v>900000</v>
      </c>
      <c r="E22" s="214"/>
      <c r="F22" s="214">
        <v>251326444</v>
      </c>
      <c r="G22" s="214"/>
    </row>
    <row r="23" spans="1:7">
      <c r="A23" s="96"/>
      <c r="B23" s="97"/>
      <c r="C23" s="200" t="s">
        <v>242</v>
      </c>
      <c r="D23" s="214">
        <v>1490635344</v>
      </c>
      <c r="E23" s="214"/>
      <c r="F23" s="214">
        <v>1560909098</v>
      </c>
      <c r="G23" s="214"/>
    </row>
    <row r="24" spans="1:7">
      <c r="A24" s="96"/>
      <c r="B24" s="98"/>
      <c r="C24" s="200" t="s">
        <v>243</v>
      </c>
      <c r="D24" s="214">
        <v>2318417925</v>
      </c>
      <c r="E24" s="214"/>
      <c r="F24" s="214">
        <v>2609169142</v>
      </c>
      <c r="G24" s="214"/>
    </row>
    <row r="25" spans="1:7">
      <c r="A25" s="96"/>
      <c r="B25" s="97"/>
      <c r="C25" s="200" t="s">
        <v>359</v>
      </c>
      <c r="D25" s="214" t="s">
        <v>321</v>
      </c>
      <c r="E25" s="214"/>
      <c r="F25" s="214">
        <v>1634668091</v>
      </c>
      <c r="G25" s="214"/>
    </row>
    <row r="26" spans="1:7">
      <c r="A26" s="96"/>
      <c r="B26" s="97"/>
      <c r="C26" s="200" t="s">
        <v>360</v>
      </c>
      <c r="D26" s="214">
        <v>243151746</v>
      </c>
      <c r="E26" s="214"/>
      <c r="F26" s="232" t="s">
        <v>321</v>
      </c>
      <c r="G26" s="214"/>
    </row>
    <row r="27" spans="1:7">
      <c r="A27" s="96"/>
      <c r="B27" s="294" t="s">
        <v>244</v>
      </c>
      <c r="C27" s="294"/>
      <c r="D27" s="217">
        <v>39069388270</v>
      </c>
      <c r="E27" s="204"/>
      <c r="F27" s="217">
        <v>4172898828</v>
      </c>
      <c r="G27" s="217"/>
    </row>
    <row r="28" spans="1:7">
      <c r="A28" s="96"/>
      <c r="B28" s="99"/>
      <c r="C28" s="200" t="s">
        <v>245</v>
      </c>
      <c r="D28" s="214">
        <v>32850585</v>
      </c>
      <c r="E28" s="201"/>
      <c r="F28" s="214">
        <v>-19102134802</v>
      </c>
      <c r="G28" s="214"/>
    </row>
    <row r="29" spans="1:7">
      <c r="A29" s="96"/>
      <c r="B29" s="99"/>
      <c r="C29" s="200" t="s">
        <v>246</v>
      </c>
      <c r="D29" s="214">
        <v>-616911827</v>
      </c>
      <c r="E29" s="201"/>
      <c r="F29" s="214">
        <v>45946829505</v>
      </c>
      <c r="G29" s="214"/>
    </row>
    <row r="30" spans="1:7">
      <c r="A30" s="96"/>
      <c r="B30" s="99"/>
      <c r="C30" s="200" t="s">
        <v>247</v>
      </c>
      <c r="D30" s="214">
        <v>106287278</v>
      </c>
      <c r="E30" s="201"/>
      <c r="F30" s="214">
        <v>1047633079</v>
      </c>
      <c r="G30" s="214"/>
    </row>
    <row r="31" spans="1:7">
      <c r="A31" s="96"/>
      <c r="B31" s="99"/>
      <c r="C31" s="200" t="s">
        <v>2</v>
      </c>
      <c r="D31" s="214">
        <v>38499999</v>
      </c>
      <c r="E31" s="201"/>
      <c r="F31" s="214">
        <v>1397235421</v>
      </c>
      <c r="G31" s="214"/>
    </row>
    <row r="32" spans="1:7">
      <c r="A32" s="96"/>
      <c r="B32" s="99"/>
      <c r="C32" s="200" t="s">
        <v>3</v>
      </c>
      <c r="D32" s="214">
        <v>145474647</v>
      </c>
      <c r="E32" s="201"/>
      <c r="F32" s="214">
        <v>-205994562</v>
      </c>
      <c r="G32" s="214"/>
    </row>
    <row r="33" spans="1:7" s="209" customFormat="1">
      <c r="A33" s="96"/>
      <c r="B33" s="99"/>
      <c r="C33" s="200" t="s">
        <v>361</v>
      </c>
      <c r="D33" s="214" t="s">
        <v>321</v>
      </c>
      <c r="E33" s="214"/>
      <c r="F33" s="214">
        <v>4400</v>
      </c>
      <c r="G33" s="214"/>
    </row>
    <row r="34" spans="1:7">
      <c r="A34" s="96"/>
      <c r="B34" s="99"/>
      <c r="C34" s="200" t="s">
        <v>248</v>
      </c>
      <c r="D34" s="214">
        <v>-1318500000</v>
      </c>
      <c r="E34" s="201"/>
      <c r="F34" s="232">
        <v>-32700000</v>
      </c>
      <c r="G34" s="214"/>
    </row>
    <row r="35" spans="1:7">
      <c r="A35" s="96"/>
      <c r="B35" s="99"/>
      <c r="C35" s="200" t="s">
        <v>249</v>
      </c>
      <c r="D35" s="214">
        <v>315528173</v>
      </c>
      <c r="E35" s="201"/>
      <c r="F35" s="214">
        <v>-280221706</v>
      </c>
      <c r="G35" s="214"/>
    </row>
    <row r="36" spans="1:7">
      <c r="A36" s="96"/>
      <c r="B36" s="99"/>
      <c r="C36" s="200" t="s">
        <v>250</v>
      </c>
      <c r="D36" s="214">
        <v>-1480108493</v>
      </c>
      <c r="E36" s="201"/>
      <c r="F36" s="214">
        <v>872221605</v>
      </c>
      <c r="G36" s="214"/>
    </row>
    <row r="37" spans="1:7">
      <c r="A37" s="96"/>
      <c r="B37" s="99"/>
      <c r="C37" s="200" t="s">
        <v>4</v>
      </c>
      <c r="D37" s="214">
        <v>51240303</v>
      </c>
      <c r="E37" s="201"/>
      <c r="F37" s="214">
        <v>434293613</v>
      </c>
      <c r="G37" s="214"/>
    </row>
    <row r="38" spans="1:7">
      <c r="A38" s="96"/>
      <c r="B38" s="99"/>
      <c r="C38" s="200" t="s">
        <v>251</v>
      </c>
      <c r="D38" s="214">
        <v>2050452547</v>
      </c>
      <c r="E38" s="201"/>
      <c r="F38" s="214">
        <v>894374400</v>
      </c>
      <c r="G38" s="214"/>
    </row>
    <row r="39" spans="1:7">
      <c r="A39" s="96"/>
      <c r="B39" s="99"/>
      <c r="C39" s="200" t="s">
        <v>252</v>
      </c>
      <c r="D39" s="214">
        <v>-133305990</v>
      </c>
      <c r="E39" s="201"/>
      <c r="F39" s="214">
        <v>-1020730196</v>
      </c>
      <c r="G39" s="214"/>
    </row>
    <row r="40" spans="1:7">
      <c r="A40" s="96"/>
      <c r="B40" s="99"/>
      <c r="C40" s="200" t="s">
        <v>16</v>
      </c>
      <c r="D40" s="214">
        <v>1373429220</v>
      </c>
      <c r="E40" s="201"/>
      <c r="F40" s="214">
        <v>3914205804</v>
      </c>
      <c r="G40" s="214"/>
    </row>
    <row r="41" spans="1:7">
      <c r="A41" s="96"/>
      <c r="B41" s="99"/>
      <c r="C41" s="200" t="s">
        <v>293</v>
      </c>
      <c r="D41" s="214">
        <v>48325856319</v>
      </c>
      <c r="E41" s="201"/>
      <c r="F41" s="214">
        <v>11607834688</v>
      </c>
      <c r="G41" s="214"/>
    </row>
    <row r="42" spans="1:7">
      <c r="A42" s="96"/>
      <c r="B42" s="199"/>
      <c r="C42" s="200" t="s">
        <v>253</v>
      </c>
      <c r="D42" s="214">
        <v>3861073465</v>
      </c>
      <c r="E42" s="201"/>
      <c r="F42" s="232">
        <v>41027718</v>
      </c>
      <c r="G42" s="214"/>
    </row>
    <row r="43" spans="1:7">
      <c r="A43" s="96"/>
      <c r="B43" s="100"/>
      <c r="C43" s="200" t="s">
        <v>17</v>
      </c>
      <c r="D43" s="214">
        <v>-5631136002</v>
      </c>
      <c r="E43" s="201"/>
      <c r="F43" s="214">
        <v>-7558343554</v>
      </c>
      <c r="G43" s="214"/>
    </row>
    <row r="44" spans="1:7">
      <c r="A44" s="96"/>
      <c r="B44" s="99"/>
      <c r="C44" s="200" t="s">
        <v>254</v>
      </c>
      <c r="D44" s="214">
        <v>4084658236</v>
      </c>
      <c r="E44" s="201"/>
      <c r="F44" s="214">
        <v>1158892815</v>
      </c>
      <c r="G44" s="214"/>
    </row>
    <row r="45" spans="1:7">
      <c r="A45" s="101"/>
      <c r="B45" s="99"/>
      <c r="C45" s="200" t="s">
        <v>362</v>
      </c>
      <c r="D45" s="214" t="s">
        <v>321</v>
      </c>
      <c r="E45" s="201"/>
      <c r="F45" s="214">
        <v>-1764579700</v>
      </c>
      <c r="G45" s="214"/>
    </row>
    <row r="46" spans="1:7">
      <c r="A46" s="101"/>
      <c r="B46" s="99"/>
      <c r="C46" s="200" t="s">
        <v>363</v>
      </c>
      <c r="D46" s="214">
        <v>-12139476390</v>
      </c>
      <c r="E46" s="201"/>
      <c r="F46" s="214">
        <v>-33179979400</v>
      </c>
      <c r="G46" s="214"/>
    </row>
    <row r="47" spans="1:7">
      <c r="A47" s="101"/>
      <c r="B47" s="99"/>
      <c r="C47" s="200" t="s">
        <v>364</v>
      </c>
      <c r="D47" s="214">
        <v>3476200</v>
      </c>
      <c r="E47" s="201"/>
      <c r="F47" s="232">
        <v>3029700</v>
      </c>
      <c r="G47" s="214"/>
    </row>
    <row r="48" spans="1:7" s="186" customFormat="1">
      <c r="A48" s="192" t="s">
        <v>255</v>
      </c>
      <c r="B48" s="190"/>
      <c r="C48" s="190"/>
      <c r="D48" s="218"/>
      <c r="E48" s="221">
        <v>-221603248357</v>
      </c>
      <c r="F48" s="218"/>
      <c r="G48" s="221">
        <v>-37958562158</v>
      </c>
    </row>
    <row r="49" spans="1:7">
      <c r="A49" s="96"/>
      <c r="B49" s="205" t="s">
        <v>256</v>
      </c>
      <c r="C49" s="191"/>
      <c r="D49" s="220">
        <v>122462279810</v>
      </c>
      <c r="E49" s="219"/>
      <c r="F49" s="220">
        <v>74469406331</v>
      </c>
      <c r="G49" s="219"/>
    </row>
    <row r="50" spans="1:7">
      <c r="A50" s="96"/>
      <c r="B50" s="99"/>
      <c r="C50" s="200" t="s">
        <v>257</v>
      </c>
      <c r="D50" s="216">
        <v>120582288551</v>
      </c>
      <c r="E50" s="215"/>
      <c r="F50" s="216">
        <v>64992724441</v>
      </c>
      <c r="G50" s="215"/>
    </row>
    <row r="51" spans="1:7" s="209" customFormat="1">
      <c r="A51" s="96"/>
      <c r="B51" s="99"/>
      <c r="C51" s="200" t="s">
        <v>365</v>
      </c>
      <c r="D51" s="216" t="s">
        <v>321</v>
      </c>
      <c r="E51" s="215"/>
      <c r="F51" s="216">
        <v>2032382100</v>
      </c>
      <c r="G51" s="215"/>
    </row>
    <row r="52" spans="1:7">
      <c r="A52" s="96"/>
      <c r="B52" s="99"/>
      <c r="C52" s="200" t="s">
        <v>258</v>
      </c>
      <c r="D52" s="233">
        <v>1936000</v>
      </c>
      <c r="E52" s="215"/>
      <c r="F52" s="233">
        <v>45000000</v>
      </c>
      <c r="G52" s="215"/>
    </row>
    <row r="53" spans="1:7">
      <c r="A53" s="96"/>
      <c r="B53" s="99"/>
      <c r="C53" s="200" t="s">
        <v>259</v>
      </c>
      <c r="D53" s="216">
        <v>392677327</v>
      </c>
      <c r="E53" s="215"/>
      <c r="F53" s="216">
        <v>1116934277</v>
      </c>
      <c r="G53" s="215"/>
    </row>
    <row r="54" spans="1:7">
      <c r="A54" s="96"/>
      <c r="B54" s="99"/>
      <c r="C54" s="200" t="s">
        <v>260</v>
      </c>
      <c r="D54" s="216">
        <v>1485377932</v>
      </c>
      <c r="E54" s="215"/>
      <c r="F54" s="233">
        <v>6282365513</v>
      </c>
      <c r="G54" s="215"/>
    </row>
    <row r="55" spans="1:7">
      <c r="A55" s="96"/>
      <c r="B55" s="205" t="s">
        <v>261</v>
      </c>
      <c r="C55" s="206"/>
      <c r="D55" s="220">
        <v>-344065528167</v>
      </c>
      <c r="E55" s="219"/>
      <c r="F55" s="220">
        <v>-112427968489</v>
      </c>
      <c r="G55" s="219"/>
    </row>
    <row r="56" spans="1:7">
      <c r="A56" s="96"/>
      <c r="B56" s="99"/>
      <c r="C56" s="200" t="s">
        <v>294</v>
      </c>
      <c r="D56" s="216">
        <v>179667078783</v>
      </c>
      <c r="E56" s="215"/>
      <c r="F56" s="216">
        <v>100000000</v>
      </c>
      <c r="G56" s="215"/>
    </row>
    <row r="57" spans="1:7" ht="15">
      <c r="A57" s="103"/>
      <c r="B57" s="99"/>
      <c r="C57" s="200" t="s">
        <v>295</v>
      </c>
      <c r="D57" s="216">
        <v>7254623120</v>
      </c>
      <c r="E57" s="215"/>
      <c r="F57" s="216">
        <v>7998773770</v>
      </c>
      <c r="G57" s="215"/>
    </row>
    <row r="58" spans="1:7" ht="15">
      <c r="A58" s="103"/>
      <c r="B58" s="99"/>
      <c r="C58" s="200" t="s">
        <v>366</v>
      </c>
      <c r="D58" s="233">
        <v>1661751155</v>
      </c>
      <c r="E58" s="215"/>
      <c r="F58" s="216" t="s">
        <v>321</v>
      </c>
      <c r="G58" s="215"/>
    </row>
    <row r="59" spans="1:7" ht="15">
      <c r="A59" s="103"/>
      <c r="B59" s="99"/>
      <c r="C59" s="200" t="s">
        <v>367</v>
      </c>
      <c r="D59" s="233">
        <v>26368000</v>
      </c>
      <c r="E59" s="215"/>
      <c r="F59" s="216" t="s">
        <v>321</v>
      </c>
      <c r="G59" s="215"/>
    </row>
    <row r="60" spans="1:7" ht="15">
      <c r="A60" s="103"/>
      <c r="B60" s="100"/>
      <c r="C60" s="200" t="s">
        <v>368</v>
      </c>
      <c r="D60" s="216">
        <v>3962939255</v>
      </c>
      <c r="E60" s="215"/>
      <c r="F60" s="216">
        <v>340590678</v>
      </c>
      <c r="G60" s="215"/>
    </row>
    <row r="61" spans="1:7" ht="15">
      <c r="A61" s="103"/>
      <c r="B61" s="99"/>
      <c r="C61" s="200" t="s">
        <v>369</v>
      </c>
      <c r="D61" s="216">
        <v>6921743139</v>
      </c>
      <c r="E61" s="215"/>
      <c r="F61" s="216" t="s">
        <v>321</v>
      </c>
      <c r="G61" s="215"/>
    </row>
    <row r="62" spans="1:7" ht="15">
      <c r="A62" s="103"/>
      <c r="B62" s="99"/>
      <c r="C62" s="200" t="s">
        <v>296</v>
      </c>
      <c r="D62" s="216">
        <v>201757430</v>
      </c>
      <c r="E62" s="215"/>
      <c r="F62" s="216">
        <v>290781711</v>
      </c>
      <c r="G62" s="215"/>
    </row>
    <row r="63" spans="1:7" s="209" customFormat="1" ht="15">
      <c r="A63" s="103"/>
      <c r="B63" s="99"/>
      <c r="C63" s="200" t="s">
        <v>297</v>
      </c>
      <c r="D63" s="216">
        <v>124127260774</v>
      </c>
      <c r="E63" s="215"/>
      <c r="F63" s="216">
        <v>103140723707</v>
      </c>
      <c r="G63" s="215"/>
    </row>
    <row r="64" spans="1:7" s="209" customFormat="1" ht="15">
      <c r="A64" s="103"/>
      <c r="B64" s="99"/>
      <c r="C64" s="200" t="s">
        <v>370</v>
      </c>
      <c r="D64" s="216">
        <v>45177260</v>
      </c>
      <c r="E64" s="215"/>
      <c r="F64" s="216" t="s">
        <v>321</v>
      </c>
      <c r="G64" s="215"/>
    </row>
    <row r="65" spans="1:7" s="209" customFormat="1" ht="15">
      <c r="A65" s="103"/>
      <c r="B65" s="99"/>
      <c r="C65" s="200" t="s">
        <v>298</v>
      </c>
      <c r="D65" s="216">
        <v>5000000000</v>
      </c>
      <c r="E65" s="215"/>
      <c r="F65" s="216" t="s">
        <v>321</v>
      </c>
      <c r="G65" s="215"/>
    </row>
    <row r="66" spans="1:7" ht="15">
      <c r="A66" s="103"/>
      <c r="B66" s="99"/>
      <c r="C66" s="200" t="s">
        <v>299</v>
      </c>
      <c r="D66" s="233">
        <v>717402645</v>
      </c>
      <c r="E66" s="215"/>
      <c r="F66" s="216">
        <v>92759403</v>
      </c>
      <c r="G66" s="215"/>
    </row>
    <row r="67" spans="1:7" ht="15">
      <c r="A67" s="103"/>
      <c r="B67" s="99"/>
      <c r="C67" s="200" t="s">
        <v>262</v>
      </c>
      <c r="D67" s="216" t="s">
        <v>321</v>
      </c>
      <c r="E67" s="215"/>
      <c r="F67" s="233">
        <v>35000000</v>
      </c>
      <c r="G67" s="215"/>
    </row>
    <row r="68" spans="1:7" ht="15">
      <c r="A68" s="103"/>
      <c r="B68" s="99"/>
      <c r="C68" s="200" t="s">
        <v>263</v>
      </c>
      <c r="D68" s="216">
        <v>413171400</v>
      </c>
      <c r="E68" s="215"/>
      <c r="F68" s="233">
        <v>429339220</v>
      </c>
      <c r="G68" s="215"/>
    </row>
    <row r="69" spans="1:7" ht="15">
      <c r="A69" s="103"/>
      <c r="B69" s="99"/>
      <c r="C69" s="200" t="s">
        <v>371</v>
      </c>
      <c r="D69" s="216">
        <v>14066255206</v>
      </c>
      <c r="E69" s="215"/>
      <c r="F69" s="233" t="s">
        <v>321</v>
      </c>
      <c r="G69" s="215"/>
    </row>
    <row r="70" spans="1:7" s="186" customFormat="1" ht="15">
      <c r="A70" s="192" t="s">
        <v>264</v>
      </c>
      <c r="B70" s="193"/>
      <c r="C70" s="202"/>
      <c r="D70" s="218"/>
      <c r="E70" s="221">
        <v>77198539988</v>
      </c>
      <c r="F70" s="218"/>
      <c r="G70" s="221">
        <v>-84737044465</v>
      </c>
    </row>
    <row r="71" spans="1:7" ht="15">
      <c r="A71" s="103"/>
      <c r="B71" s="205" t="s">
        <v>265</v>
      </c>
      <c r="C71" s="203"/>
      <c r="D71" s="220">
        <v>422167482509</v>
      </c>
      <c r="E71" s="219"/>
      <c r="F71" s="220">
        <v>486885705268</v>
      </c>
      <c r="G71" s="219"/>
    </row>
    <row r="72" spans="1:7" ht="15">
      <c r="A72" s="103"/>
      <c r="B72" s="199"/>
      <c r="C72" s="200" t="s">
        <v>300</v>
      </c>
      <c r="D72" s="216" t="s">
        <v>321</v>
      </c>
      <c r="E72" s="215"/>
      <c r="F72" s="233">
        <v>204600000000</v>
      </c>
      <c r="G72" s="215"/>
    </row>
    <row r="73" spans="1:7" ht="15">
      <c r="A73" s="103"/>
      <c r="B73" s="102"/>
      <c r="C73" s="200" t="s">
        <v>301</v>
      </c>
      <c r="D73" s="216">
        <v>40157000000</v>
      </c>
      <c r="E73" s="215"/>
      <c r="F73" s="216">
        <v>568806811</v>
      </c>
      <c r="G73" s="215"/>
    </row>
    <row r="74" spans="1:7" s="209" customFormat="1" ht="15">
      <c r="A74" s="103"/>
      <c r="B74" s="102"/>
      <c r="C74" s="200" t="s">
        <v>266</v>
      </c>
      <c r="D74" s="216">
        <v>75549511280</v>
      </c>
      <c r="E74" s="215"/>
      <c r="F74" s="216">
        <v>29786071620</v>
      </c>
      <c r="G74" s="215"/>
    </row>
    <row r="75" spans="1:7" s="209" customFormat="1" ht="15">
      <c r="A75" s="103"/>
      <c r="B75" s="102"/>
      <c r="C75" s="200" t="s">
        <v>302</v>
      </c>
      <c r="D75" s="216">
        <v>5835860184</v>
      </c>
      <c r="E75" s="215"/>
      <c r="F75" s="216">
        <v>1930826837</v>
      </c>
      <c r="G75" s="215"/>
    </row>
    <row r="76" spans="1:7" ht="15">
      <c r="A76" s="103"/>
      <c r="B76" s="102"/>
      <c r="C76" s="200" t="s">
        <v>372</v>
      </c>
      <c r="D76" s="216" t="s">
        <v>321</v>
      </c>
      <c r="E76" s="215"/>
      <c r="F76" s="216">
        <v>250000000000</v>
      </c>
      <c r="G76" s="215"/>
    </row>
    <row r="77" spans="1:7" ht="15">
      <c r="A77" s="103"/>
      <c r="B77" s="102"/>
      <c r="C77" s="200" t="s">
        <v>373</v>
      </c>
      <c r="D77" s="216">
        <v>299907708400</v>
      </c>
      <c r="E77" s="215"/>
      <c r="F77" s="216" t="s">
        <v>321</v>
      </c>
      <c r="G77" s="215"/>
    </row>
    <row r="78" spans="1:7" ht="15">
      <c r="A78" s="103"/>
      <c r="B78" s="102"/>
      <c r="C78" s="200" t="s">
        <v>374</v>
      </c>
      <c r="D78" s="216">
        <v>717402645</v>
      </c>
      <c r="E78" s="215"/>
      <c r="F78" s="233" t="s">
        <v>321</v>
      </c>
      <c r="G78" s="215"/>
    </row>
    <row r="79" spans="1:7" ht="15">
      <c r="A79" s="103"/>
      <c r="B79" s="205" t="s">
        <v>267</v>
      </c>
      <c r="C79" s="203"/>
      <c r="D79" s="220">
        <v>-344968942521</v>
      </c>
      <c r="E79" s="219"/>
      <c r="F79" s="220">
        <v>-571622749733</v>
      </c>
      <c r="G79" s="219"/>
    </row>
    <row r="80" spans="1:7" ht="15">
      <c r="A80" s="103"/>
      <c r="B80" s="102"/>
      <c r="C80" s="200" t="s">
        <v>375</v>
      </c>
      <c r="D80" s="233" t="s">
        <v>321</v>
      </c>
      <c r="E80" s="215"/>
      <c r="F80" s="216" t="s">
        <v>321</v>
      </c>
      <c r="G80" s="215"/>
    </row>
    <row r="81" spans="1:7" s="209" customFormat="1" ht="15">
      <c r="A81" s="103"/>
      <c r="B81" s="102"/>
      <c r="C81" s="200" t="s">
        <v>376</v>
      </c>
      <c r="D81" s="216" t="s">
        <v>321</v>
      </c>
      <c r="E81" s="215"/>
      <c r="F81" s="233">
        <v>5115269784</v>
      </c>
      <c r="G81" s="215"/>
    </row>
    <row r="82" spans="1:7" s="209" customFormat="1" ht="15">
      <c r="A82" s="103"/>
      <c r="B82" s="102"/>
      <c r="C82" s="200" t="s">
        <v>377</v>
      </c>
      <c r="D82" s="216" t="s">
        <v>321</v>
      </c>
      <c r="E82" s="215"/>
      <c r="F82" s="233">
        <v>176507479949</v>
      </c>
      <c r="G82" s="215"/>
    </row>
    <row r="83" spans="1:7" s="209" customFormat="1" ht="15">
      <c r="A83" s="103"/>
      <c r="B83" s="102"/>
      <c r="C83" s="200" t="s">
        <v>378</v>
      </c>
      <c r="D83" s="216">
        <v>250000000000</v>
      </c>
      <c r="E83" s="215"/>
      <c r="F83" s="233" t="s">
        <v>321</v>
      </c>
      <c r="G83" s="215"/>
    </row>
    <row r="84" spans="1:7" ht="15">
      <c r="A84" s="103"/>
      <c r="B84" s="102"/>
      <c r="C84" s="200" t="s">
        <v>379</v>
      </c>
      <c r="D84" s="216">
        <v>94968942521</v>
      </c>
      <c r="E84" s="215"/>
      <c r="F84" s="233">
        <v>390000000000</v>
      </c>
      <c r="G84" s="215"/>
    </row>
    <row r="85" spans="1:7" s="186" customFormat="1" ht="15">
      <c r="A85" s="194"/>
      <c r="B85" s="191"/>
      <c r="C85" s="195" t="s">
        <v>268</v>
      </c>
      <c r="D85" s="216"/>
      <c r="E85" s="219">
        <v>31507112600</v>
      </c>
      <c r="F85" s="220"/>
      <c r="G85" s="219">
        <v>351565491</v>
      </c>
    </row>
    <row r="86" spans="1:7" s="186" customFormat="1" ht="15">
      <c r="A86" s="194"/>
      <c r="B86" s="191"/>
      <c r="C86" s="195" t="s">
        <v>310</v>
      </c>
      <c r="D86" s="216"/>
      <c r="E86" s="219">
        <v>99514763518</v>
      </c>
      <c r="F86" s="220"/>
      <c r="G86" s="219">
        <v>99163198027</v>
      </c>
    </row>
    <row r="87" spans="1:7" s="186" customFormat="1" ht="15">
      <c r="A87" s="196"/>
      <c r="B87" s="197"/>
      <c r="C87" s="198" t="s">
        <v>311</v>
      </c>
      <c r="D87" s="222"/>
      <c r="E87" s="305">
        <v>131021876118</v>
      </c>
      <c r="F87" s="306"/>
      <c r="G87" s="305">
        <v>99514763518</v>
      </c>
    </row>
  </sheetData>
  <mergeCells count="10">
    <mergeCell ref="B20:C20"/>
    <mergeCell ref="B27:C27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18"/>
  <sheetViews>
    <sheetView view="pageBreakPreview" zoomScale="85" zoomScaleNormal="100" zoomScaleSheetLayoutView="85" workbookViewId="0">
      <selection sqref="A1:E1"/>
    </sheetView>
  </sheetViews>
  <sheetFormatPr defaultRowHeight="14.25"/>
  <cols>
    <col min="1" max="1" width="21.33203125" style="11" customWidth="1"/>
    <col min="2" max="2" width="15.6640625" style="11" customWidth="1"/>
    <col min="3" max="4" width="16.88671875" style="11" customWidth="1"/>
    <col min="5" max="5" width="15.5546875" style="11" customWidth="1"/>
  </cols>
  <sheetData>
    <row r="1" spans="1:10" ht="33.75" customHeight="1">
      <c r="A1" s="303" t="s">
        <v>270</v>
      </c>
      <c r="B1" s="303"/>
      <c r="C1" s="303"/>
      <c r="D1" s="303"/>
      <c r="E1" s="303"/>
      <c r="G1" s="12"/>
      <c r="H1" s="12"/>
      <c r="I1" s="12"/>
      <c r="J1" s="12"/>
    </row>
    <row r="2" spans="1:10" s="178" customFormat="1" ht="14.25" customHeight="1">
      <c r="A2" s="250" t="str">
        <f>손익계산서!B2</f>
        <v>제35기 2015년1월1일부터 2015년 12월31일까지</v>
      </c>
      <c r="B2" s="250"/>
      <c r="C2" s="250"/>
      <c r="D2" s="250"/>
      <c r="E2" s="250"/>
      <c r="G2" s="179"/>
      <c r="H2" s="179"/>
      <c r="I2" s="179"/>
      <c r="J2" s="179"/>
    </row>
    <row r="3" spans="1:10" s="178" customFormat="1" ht="14.25" customHeight="1">
      <c r="A3" s="250" t="str">
        <f>손익계산서!B3</f>
        <v>제34기 2014년1월1일부터 2014년 12월31일까지</v>
      </c>
      <c r="B3" s="250"/>
      <c r="C3" s="250"/>
      <c r="D3" s="250"/>
      <c r="E3" s="250"/>
      <c r="G3" s="179"/>
      <c r="H3" s="179"/>
      <c r="I3" s="179"/>
      <c r="J3" s="179"/>
    </row>
    <row r="4" spans="1:10" s="178" customFormat="1" ht="12">
      <c r="A4" s="108"/>
      <c r="B4" s="108"/>
      <c r="C4" s="108"/>
      <c r="D4" s="108"/>
      <c r="E4" s="108"/>
    </row>
    <row r="5" spans="1:10" s="178" customFormat="1" ht="12">
      <c r="A5" s="180" t="s">
        <v>175</v>
      </c>
      <c r="B5" s="180"/>
      <c r="C5" s="180"/>
      <c r="D5" s="180"/>
      <c r="E5" s="181" t="s">
        <v>167</v>
      </c>
    </row>
    <row r="6" spans="1:10" ht="21.75" customHeight="1">
      <c r="A6" s="184" t="s">
        <v>269</v>
      </c>
      <c r="B6" s="182" t="s">
        <v>168</v>
      </c>
      <c r="C6" s="182" t="s">
        <v>200</v>
      </c>
      <c r="D6" s="182" t="s">
        <v>201</v>
      </c>
      <c r="E6" s="182" t="s">
        <v>169</v>
      </c>
    </row>
    <row r="7" spans="1:10" ht="21.75" customHeight="1">
      <c r="A7" s="211" t="s">
        <v>329</v>
      </c>
      <c r="B7" s="176">
        <v>7688421662252</v>
      </c>
      <c r="C7" s="176">
        <v>1924904147019</v>
      </c>
      <c r="D7" s="176">
        <v>-6581123590139</v>
      </c>
      <c r="E7" s="176">
        <f>SUM(B7:D7)</f>
        <v>3032202219132</v>
      </c>
    </row>
    <row r="8" spans="1:10" ht="21.75" customHeight="1">
      <c r="A8" s="175" t="s">
        <v>308</v>
      </c>
      <c r="B8" s="176" t="s">
        <v>321</v>
      </c>
      <c r="C8" s="176" t="s">
        <v>321</v>
      </c>
      <c r="D8" s="176">
        <v>-158694239883</v>
      </c>
      <c r="E8" s="212">
        <f>SUM(B8:D8)</f>
        <v>-158694239883</v>
      </c>
    </row>
    <row r="9" spans="1:10" s="209" customFormat="1" ht="21.75" customHeight="1">
      <c r="A9" s="211" t="s">
        <v>319</v>
      </c>
      <c r="B9" s="212">
        <v>29786071620</v>
      </c>
      <c r="C9" s="212" t="s">
        <v>321</v>
      </c>
      <c r="D9" s="212" t="s">
        <v>321</v>
      </c>
      <c r="E9" s="212">
        <f>SUM(B9:D9)</f>
        <v>29786071620</v>
      </c>
    </row>
    <row r="10" spans="1:10" s="209" customFormat="1" ht="21.75" customHeight="1">
      <c r="A10" s="211" t="s">
        <v>380</v>
      </c>
      <c r="B10" s="212">
        <v>351565481624</v>
      </c>
      <c r="C10" s="212" t="s">
        <v>321</v>
      </c>
      <c r="D10" s="212" t="s">
        <v>321</v>
      </c>
      <c r="E10" s="212">
        <f>SUM(B10:D10)</f>
        <v>351565481624</v>
      </c>
    </row>
    <row r="11" spans="1:10" ht="21.75" customHeight="1">
      <c r="A11" s="175" t="s">
        <v>318</v>
      </c>
      <c r="B11" s="176" t="s">
        <v>321</v>
      </c>
      <c r="C11" s="176">
        <v>-1656445991</v>
      </c>
      <c r="D11" s="176" t="s">
        <v>321</v>
      </c>
      <c r="E11" s="212">
        <f>SUM(B11:D11)</f>
        <v>-1656445991</v>
      </c>
    </row>
    <row r="12" spans="1:10" ht="21.75" customHeight="1">
      <c r="A12" s="184" t="s">
        <v>330</v>
      </c>
      <c r="B12" s="213">
        <f>SUM(B7:B11)</f>
        <v>8069773215496</v>
      </c>
      <c r="C12" s="213">
        <f t="shared" ref="C12:D12" si="0">SUM(C7:C11)</f>
        <v>1923247701028</v>
      </c>
      <c r="D12" s="213">
        <f t="shared" si="0"/>
        <v>-6739817830022</v>
      </c>
      <c r="E12" s="183">
        <f t="shared" ref="E12:E16" si="1">SUM(B12:D12)</f>
        <v>3253203086502</v>
      </c>
    </row>
    <row r="13" spans="1:10" ht="21.75" customHeight="1">
      <c r="A13" s="211" t="s">
        <v>331</v>
      </c>
      <c r="B13" s="176">
        <f>B12</f>
        <v>8069773215496</v>
      </c>
      <c r="C13" s="212">
        <f t="shared" ref="C13:D13" si="2">C12</f>
        <v>1923247701028</v>
      </c>
      <c r="D13" s="212">
        <f t="shared" si="2"/>
        <v>-6739817830022</v>
      </c>
      <c r="E13" s="212">
        <f t="shared" si="1"/>
        <v>3253203086502</v>
      </c>
    </row>
    <row r="14" spans="1:10" ht="21.75" customHeight="1">
      <c r="A14" s="175" t="s">
        <v>308</v>
      </c>
      <c r="B14" s="176" t="s">
        <v>321</v>
      </c>
      <c r="C14" s="176" t="s">
        <v>321</v>
      </c>
      <c r="D14" s="176">
        <v>-142658944073</v>
      </c>
      <c r="E14" s="212">
        <f t="shared" si="1"/>
        <v>-142658944073</v>
      </c>
    </row>
    <row r="15" spans="1:10" ht="21.75" customHeight="1">
      <c r="A15" s="175" t="s">
        <v>309</v>
      </c>
      <c r="B15" s="177">
        <v>75549511280</v>
      </c>
      <c r="C15" s="176" t="s">
        <v>321</v>
      </c>
      <c r="D15" s="176" t="s">
        <v>321</v>
      </c>
      <c r="E15" s="212">
        <f t="shared" si="1"/>
        <v>75549511280</v>
      </c>
    </row>
    <row r="16" spans="1:10" ht="21.75" customHeight="1">
      <c r="A16" s="184" t="s">
        <v>332</v>
      </c>
      <c r="B16" s="183">
        <f>SUM(B13:B15)</f>
        <v>8145322726776</v>
      </c>
      <c r="C16" s="213">
        <f>SUM(C13:C15)</f>
        <v>1923247701028</v>
      </c>
      <c r="D16" s="213">
        <f>SUM(D13:D15)</f>
        <v>-6882476774095</v>
      </c>
      <c r="E16" s="223">
        <f t="shared" si="1"/>
        <v>3186093653709</v>
      </c>
      <c r="F16" s="224"/>
    </row>
    <row r="18" spans="1:5" s="20" customFormat="1" ht="11.25">
      <c r="A18" s="19"/>
      <c r="B18" s="19"/>
      <c r="C18" s="19"/>
      <c r="D18" s="19"/>
      <c r="E18" s="19"/>
    </row>
  </sheetData>
  <mergeCells count="3">
    <mergeCell ref="A1:E1"/>
    <mergeCell ref="A2:E2"/>
    <mergeCell ref="A3:E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2017-06-25T07:23:13Z</dcterms:modified>
</cp:coreProperties>
</file>