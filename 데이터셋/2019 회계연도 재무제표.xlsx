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박진영\1. 결산 완료 자료\1-1. 결산 완료 자료(2016~2020)\결산 완료 자료(2019년)\2019 회계연도 기말 결산\17. 홈페이지 게시사항\미디어실 문서 송부\"/>
    </mc:Choice>
  </mc:AlternateContent>
  <bookViews>
    <workbookView xWindow="2580" yWindow="30" windowWidth="13935" windowHeight="10200"/>
  </bookViews>
  <sheets>
    <sheet name="#1. 재무상태표" sheetId="13" r:id="rId1"/>
    <sheet name="#2. 손익계산서" sheetId="8" r:id="rId2"/>
    <sheet name="#3. 운영사업원가명세서" sheetId="22" r:id="rId3"/>
    <sheet name="#4. 수탁사업원가명세서" sheetId="23" r:id="rId4"/>
    <sheet name="#5. 영업비용명세서" sheetId="28" r:id="rId5"/>
    <sheet name="#6. 자본변동표" sheetId="38" r:id="rId6"/>
    <sheet name="#7. 현금흐름표" sheetId="40" r:id="rId7"/>
    <sheet name="#8. 합계잔액시산표" sheetId="41" r:id="rId8"/>
  </sheets>
  <externalReferences>
    <externalReference r:id="rId9"/>
  </externalReferences>
  <definedNames>
    <definedName name="DATA1" localSheetId="4">#REF!</definedName>
    <definedName name="DATA1">#REF!</definedName>
    <definedName name="DATA10" localSheetId="4">#REF!</definedName>
    <definedName name="DATA10">#REF!</definedName>
    <definedName name="DATA11" localSheetId="4">#REF!</definedName>
    <definedName name="DATA11">#REF!</definedName>
    <definedName name="DATA12" localSheetId="4">#REF!</definedName>
    <definedName name="DATA12">#REF!</definedName>
    <definedName name="DATA13" localSheetId="4">#REF!</definedName>
    <definedName name="DATA13">#REF!</definedName>
    <definedName name="DATA14" localSheetId="4">#REF!</definedName>
    <definedName name="DATA14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 localSheetId="4">#REF!</definedName>
    <definedName name="DATA19">#REF!</definedName>
    <definedName name="DATA2" localSheetId="4">#REF!</definedName>
    <definedName name="DATA2">#REF!</definedName>
    <definedName name="DATA20" localSheetId="4">#REF!</definedName>
    <definedName name="DATA20">#REF!</definedName>
    <definedName name="DATA21" localSheetId="4">#REF!</definedName>
    <definedName name="DATA21">#REF!</definedName>
    <definedName name="DATA22" localSheetId="4">#REF!</definedName>
    <definedName name="DATA22">#REF!</definedName>
    <definedName name="DATA23" localSheetId="4">#REF!</definedName>
    <definedName name="DATA23">#REF!</definedName>
    <definedName name="DATA24" localSheetId="4">#REF!</definedName>
    <definedName name="DATA24">#REF!</definedName>
    <definedName name="DATA25" localSheetId="4">#REF!</definedName>
    <definedName name="DATA25">#REF!</definedName>
    <definedName name="DATA26" localSheetId="4">#REF!</definedName>
    <definedName name="DATA26">#REF!</definedName>
    <definedName name="DATA27" localSheetId="4">#REF!</definedName>
    <definedName name="DATA27">#REF!</definedName>
    <definedName name="DATA28" localSheetId="4">#REF!</definedName>
    <definedName name="DATA28">#REF!</definedName>
    <definedName name="DATA29" localSheetId="4">#REF!</definedName>
    <definedName name="DATA29">#REF!</definedName>
    <definedName name="DATA3" localSheetId="4">#REF!</definedName>
    <definedName name="DATA3">#REF!</definedName>
    <definedName name="DATA30" localSheetId="4">#REF!</definedName>
    <definedName name="DATA30">#REF!</definedName>
    <definedName name="DATA31" localSheetId="4">#REF!</definedName>
    <definedName name="DATA31">#REF!</definedName>
    <definedName name="DATA32" localSheetId="4">#REF!</definedName>
    <definedName name="DATA32">#REF!</definedName>
    <definedName name="DATA33" localSheetId="4">#REF!</definedName>
    <definedName name="DATA33">#REF!</definedName>
    <definedName name="DATA34" localSheetId="4">#REF!</definedName>
    <definedName name="DATA34">#REF!</definedName>
    <definedName name="DATA35" localSheetId="4">#REF!</definedName>
    <definedName name="DATA35">#REF!</definedName>
    <definedName name="DATA36" localSheetId="4">#REF!</definedName>
    <definedName name="DATA36">#REF!</definedName>
    <definedName name="DATA4" localSheetId="4">#REF!</definedName>
    <definedName name="DATA4">#REF!</definedName>
    <definedName name="DATA5" localSheetId="4">#REF!</definedName>
    <definedName name="DATA5">#REF!</definedName>
    <definedName name="DATA6" localSheetId="4">#REF!</definedName>
    <definedName name="DATA6">#REF!</definedName>
    <definedName name="DATA7" localSheetId="4">#REF!</definedName>
    <definedName name="DATA7">#REF!</definedName>
    <definedName name="DATA8" localSheetId="4">#REF!</definedName>
    <definedName name="DATA8">#REF!</definedName>
    <definedName name="DATA9" localSheetId="4">#REF!</definedName>
    <definedName name="DATA9">#REF!</definedName>
    <definedName name="_xlnm.Print_Area" localSheetId="0">'#1. 재무상태표'!$A$1:$I$113</definedName>
    <definedName name="_xlnm.Print_Area" localSheetId="1">'#2. 손익계산서'!$A$1:$I$78</definedName>
    <definedName name="_xlnm.Print_Area" localSheetId="2">'#3. 운영사업원가명세서'!$A$1:$H$33</definedName>
    <definedName name="_xlnm.Print_Area" localSheetId="3">'#4. 수탁사업원가명세서'!$A$1:$H$35</definedName>
    <definedName name="_xlnm.Print_Area" localSheetId="4">'#5. 영업비용명세서'!$A$1:$H$35</definedName>
    <definedName name="_xlnm.Print_Area" localSheetId="7">'#8. 합계잔액시산표'!$A$1:$E$214</definedName>
    <definedName name="_xlnm.Print_Titles" localSheetId="0">'#1. 재무상태표'!$6:$6</definedName>
    <definedName name="TEST1" localSheetId="4">#REF!</definedName>
    <definedName name="TEST1">#REF!</definedName>
    <definedName name="TEST10" localSheetId="4">#REF!</definedName>
    <definedName name="TEST10">#REF!</definedName>
    <definedName name="TEST11" localSheetId="4">#REF!</definedName>
    <definedName name="TEST11">#REF!</definedName>
    <definedName name="TEST12" localSheetId="4">#REF!</definedName>
    <definedName name="TEST12">#REF!</definedName>
    <definedName name="TEST13" localSheetId="4">#REF!</definedName>
    <definedName name="TEST13">#REF!</definedName>
    <definedName name="TEST14" localSheetId="4">#REF!</definedName>
    <definedName name="TEST14">#REF!</definedName>
    <definedName name="TEST15" localSheetId="4">#REF!</definedName>
    <definedName name="TEST15">#REF!</definedName>
    <definedName name="TEST16" localSheetId="4">#REF!</definedName>
    <definedName name="TEST16">#REF!</definedName>
    <definedName name="TEST17" localSheetId="4">#REF!</definedName>
    <definedName name="TEST17">#REF!</definedName>
    <definedName name="TEST18" localSheetId="4">#REF!</definedName>
    <definedName name="TEST18">#REF!</definedName>
    <definedName name="TEST19" localSheetId="4">#REF!</definedName>
    <definedName name="TEST19">#REF!</definedName>
    <definedName name="TEST2" localSheetId="4">#REF!</definedName>
    <definedName name="TEST2">#REF!</definedName>
    <definedName name="TEST20" localSheetId="4">#REF!</definedName>
    <definedName name="TEST20">#REF!</definedName>
    <definedName name="TEST21" localSheetId="4">#REF!</definedName>
    <definedName name="TEST21">#REF!</definedName>
    <definedName name="TEST22" localSheetId="4">#REF!</definedName>
    <definedName name="TEST22">#REF!</definedName>
    <definedName name="TEST23" localSheetId="4">#REF!</definedName>
    <definedName name="TEST23">#REF!</definedName>
    <definedName name="TEST24" localSheetId="4">#REF!</definedName>
    <definedName name="TEST24">#REF!</definedName>
    <definedName name="TEST25" localSheetId="4">#REF!</definedName>
    <definedName name="TEST25">#REF!</definedName>
    <definedName name="TEST26" localSheetId="4">#REF!</definedName>
    <definedName name="TEST26">#REF!</definedName>
    <definedName name="TEST27" localSheetId="4">#REF!</definedName>
    <definedName name="TEST27">#REF!</definedName>
    <definedName name="TEST28" localSheetId="4">#REF!</definedName>
    <definedName name="TEST28">#REF!</definedName>
    <definedName name="TEST29" localSheetId="4">#REF!</definedName>
    <definedName name="TEST29">#REF!</definedName>
    <definedName name="TEST3" localSheetId="4">#REF!</definedName>
    <definedName name="TEST3">#REF!</definedName>
    <definedName name="TEST30" localSheetId="4">#REF!</definedName>
    <definedName name="TEST30">#REF!</definedName>
    <definedName name="TEST31" localSheetId="4">#REF!</definedName>
    <definedName name="TEST31">#REF!</definedName>
    <definedName name="TEST32" localSheetId="4">#REF!</definedName>
    <definedName name="TEST32">#REF!</definedName>
    <definedName name="TEST33" localSheetId="4">#REF!</definedName>
    <definedName name="TEST33">#REF!</definedName>
    <definedName name="TEST34" localSheetId="4">#REF!</definedName>
    <definedName name="TEST34">#REF!</definedName>
    <definedName name="TEST35" localSheetId="4">#REF!</definedName>
    <definedName name="TEST35">#REF!</definedName>
    <definedName name="TEST36" localSheetId="4">#REF!</definedName>
    <definedName name="TEST36">#REF!</definedName>
    <definedName name="TEST37" localSheetId="4">#REF!</definedName>
    <definedName name="TEST37">#REF!</definedName>
    <definedName name="TEST38" localSheetId="4">#REF!</definedName>
    <definedName name="TEST38">#REF!</definedName>
    <definedName name="TEST39" localSheetId="4">#REF!</definedName>
    <definedName name="TEST39">#REF!</definedName>
    <definedName name="TEST4" localSheetId="4">#REF!</definedName>
    <definedName name="TEST4">#REF!</definedName>
    <definedName name="TEST40" localSheetId="4">#REF!</definedName>
    <definedName name="TEST40">#REF!</definedName>
    <definedName name="TEST41" localSheetId="4">#REF!</definedName>
    <definedName name="TEST41">#REF!</definedName>
    <definedName name="TEST42" localSheetId="4">#REF!</definedName>
    <definedName name="TEST42">#REF!</definedName>
    <definedName name="TEST43" localSheetId="4">#REF!</definedName>
    <definedName name="TEST43">#REF!</definedName>
    <definedName name="TEST44" localSheetId="4">#REF!</definedName>
    <definedName name="TEST44">#REF!</definedName>
    <definedName name="TEST45" localSheetId="4">#REF!</definedName>
    <definedName name="TEST45">#REF!</definedName>
    <definedName name="TEST46" localSheetId="4">#REF!</definedName>
    <definedName name="TEST46">#REF!</definedName>
    <definedName name="TEST47" localSheetId="4">#REF!</definedName>
    <definedName name="TEST47">#REF!</definedName>
    <definedName name="TEST48" localSheetId="4">#REF!</definedName>
    <definedName name="TEST48">#REF!</definedName>
    <definedName name="TEST49" localSheetId="4">#REF!</definedName>
    <definedName name="TEST49">#REF!</definedName>
    <definedName name="TEST5" localSheetId="4">#REF!</definedName>
    <definedName name="TEST5">#REF!</definedName>
    <definedName name="TEST50" localSheetId="4">#REF!</definedName>
    <definedName name="TEST50">#REF!</definedName>
    <definedName name="TEST51" localSheetId="4">#REF!</definedName>
    <definedName name="TEST51">#REF!</definedName>
    <definedName name="TEST52" localSheetId="4">#REF!</definedName>
    <definedName name="TEST52">#REF!</definedName>
    <definedName name="TEST53" localSheetId="4">#REF!</definedName>
    <definedName name="TEST53">#REF!</definedName>
    <definedName name="TEST54" localSheetId="4">#REF!</definedName>
    <definedName name="TEST54">#REF!</definedName>
    <definedName name="TEST55" localSheetId="4">#REF!</definedName>
    <definedName name="TEST55">#REF!</definedName>
    <definedName name="TEST56" localSheetId="4">#REF!</definedName>
    <definedName name="TEST56">#REF!</definedName>
    <definedName name="TEST57" localSheetId="4">#REF!</definedName>
    <definedName name="TEST57">#REF!</definedName>
    <definedName name="TEST6" localSheetId="4">#REF!</definedName>
    <definedName name="TEST6">#REF!</definedName>
    <definedName name="TEST7" localSheetId="4">#REF!</definedName>
    <definedName name="TEST7">#REF!</definedName>
    <definedName name="TEST8" localSheetId="4">#REF!</definedName>
    <definedName name="TEST8">#REF!</definedName>
    <definedName name="TEST9" localSheetId="4">#REF!</definedName>
    <definedName name="TEST9">#REF!</definedName>
    <definedName name="TESTHKEY" localSheetId="4">#REF!</definedName>
    <definedName name="TESTHKEY">#REF!</definedName>
    <definedName name="TESTKEYS" localSheetId="4">#REF!</definedName>
    <definedName name="TESTKEYS">#REF!</definedName>
    <definedName name="TESTVKEY" localSheetId="4">#REF!</definedName>
    <definedName name="TESTVKEY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8" i="13" l="1"/>
  <c r="H38" i="28" l="1"/>
  <c r="H36" i="23"/>
  <c r="H38" i="23"/>
  <c r="H34" i="22"/>
  <c r="H36" i="22"/>
  <c r="H36" i="28" l="1"/>
  <c r="K10" i="13" l="1"/>
  <c r="K11" i="13"/>
  <c r="K12" i="13"/>
  <c r="J13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J25" i="13"/>
  <c r="K26" i="13"/>
  <c r="K27" i="13"/>
  <c r="J28" i="13"/>
  <c r="J29" i="13"/>
  <c r="K30" i="13"/>
  <c r="K31" i="13"/>
  <c r="K32" i="13"/>
  <c r="J33" i="13"/>
  <c r="K33" i="13"/>
  <c r="J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3" i="13"/>
  <c r="K54" i="13"/>
  <c r="K55" i="13"/>
  <c r="K56" i="13"/>
  <c r="K57" i="13"/>
  <c r="K58" i="13"/>
  <c r="K59" i="13"/>
  <c r="K60" i="13"/>
  <c r="K61" i="13"/>
  <c r="K62" i="13"/>
  <c r="J63" i="13"/>
  <c r="K64" i="13"/>
  <c r="K65" i="13"/>
  <c r="K66" i="13"/>
  <c r="K67" i="13"/>
  <c r="K68" i="13"/>
  <c r="K69" i="13"/>
  <c r="J70" i="13"/>
  <c r="K71" i="13"/>
  <c r="K72" i="13"/>
  <c r="K73" i="13"/>
  <c r="K74" i="13"/>
  <c r="J75" i="13"/>
  <c r="J76" i="13"/>
  <c r="K76" i="13"/>
  <c r="J77" i="13"/>
  <c r="K79" i="13"/>
  <c r="K80" i="13"/>
  <c r="K81" i="13"/>
  <c r="K82" i="13"/>
  <c r="K83" i="13"/>
  <c r="K84" i="13"/>
  <c r="K85" i="13"/>
  <c r="K86" i="13"/>
  <c r="K87" i="13"/>
  <c r="K88" i="13"/>
  <c r="J89" i="13"/>
  <c r="K90" i="13"/>
  <c r="K91" i="13"/>
  <c r="K92" i="13"/>
  <c r="K93" i="13"/>
  <c r="K94" i="13"/>
  <c r="K95" i="13"/>
  <c r="K96" i="13"/>
  <c r="K97" i="13"/>
  <c r="K98" i="13"/>
  <c r="K99" i="13"/>
  <c r="K100" i="13"/>
  <c r="J101" i="13"/>
  <c r="K101" i="13"/>
  <c r="J102" i="13"/>
  <c r="J103" i="13"/>
  <c r="K103" i="13"/>
  <c r="J104" i="13"/>
  <c r="K105" i="13"/>
  <c r="K106" i="13"/>
  <c r="J107" i="13"/>
  <c r="K108" i="13"/>
  <c r="K109" i="13"/>
  <c r="J110" i="13"/>
  <c r="K111" i="13"/>
  <c r="J112" i="13"/>
  <c r="J113" i="13"/>
  <c r="J106" i="13"/>
  <c r="J99" i="13"/>
  <c r="J98" i="13"/>
  <c r="J93" i="13"/>
  <c r="J92" i="13"/>
  <c r="J91" i="13"/>
  <c r="J87" i="13"/>
  <c r="J78" i="13"/>
  <c r="J73" i="13"/>
  <c r="J68" i="13"/>
  <c r="J66" i="13"/>
  <c r="J65" i="13"/>
  <c r="J57" i="13"/>
  <c r="J54" i="13"/>
  <c r="J50" i="13"/>
  <c r="J45" i="13"/>
  <c r="J42" i="13"/>
  <c r="J40" i="13"/>
  <c r="J39" i="13"/>
  <c r="J37" i="13"/>
  <c r="J35" i="13"/>
  <c r="J32" i="13"/>
  <c r="J31" i="13"/>
  <c r="J27" i="13"/>
  <c r="J19" i="13"/>
  <c r="J18" i="13"/>
  <c r="J16" i="13"/>
  <c r="J14" i="13"/>
  <c r="J11" i="13"/>
  <c r="J109" i="13" l="1"/>
  <c r="J49" i="13"/>
  <c r="J94" i="13"/>
  <c r="J100" i="13"/>
  <c r="J96" i="13"/>
  <c r="J95" i="13"/>
  <c r="J88" i="13"/>
  <c r="J85" i="13"/>
  <c r="J82" i="13"/>
  <c r="J81" i="13"/>
  <c r="J48" i="13"/>
  <c r="J74" i="13"/>
  <c r="J22" i="13"/>
  <c r="K104" i="13"/>
  <c r="J20" i="13"/>
  <c r="J23" i="13"/>
  <c r="J30" i="13"/>
  <c r="J72" i="13"/>
  <c r="K107" i="13"/>
  <c r="J24" i="13"/>
  <c r="J26" i="13"/>
  <c r="J41" i="13"/>
  <c r="J90" i="13"/>
  <c r="J56" i="13"/>
  <c r="J53" i="13"/>
  <c r="J61" i="13"/>
  <c r="J64" i="13"/>
  <c r="J69" i="13"/>
  <c r="J83" i="13"/>
  <c r="J105" i="13"/>
  <c r="J36" i="13"/>
  <c r="J21" i="13"/>
  <c r="J44" i="13"/>
  <c r="J62" i="13"/>
  <c r="J17" i="13"/>
  <c r="J15" i="13"/>
  <c r="J12" i="13"/>
  <c r="J60" i="13" l="1"/>
  <c r="J43" i="13"/>
  <c r="J59" i="13"/>
  <c r="J67" i="13"/>
  <c r="J38" i="13"/>
  <c r="J55" i="13"/>
  <c r="J46" i="13"/>
  <c r="J108" i="13"/>
  <c r="K29" i="13"/>
  <c r="J86" i="13"/>
  <c r="J84" i="13"/>
  <c r="J80" i="13"/>
  <c r="J79" i="13"/>
  <c r="K25" i="13"/>
  <c r="K9" i="13"/>
  <c r="J58" i="13"/>
  <c r="K77" i="13"/>
  <c r="K63" i="13"/>
  <c r="J47" i="13"/>
  <c r="J10" i="13" l="1"/>
  <c r="J97" i="13"/>
  <c r="J71" i="13"/>
  <c r="K70" i="13"/>
  <c r="K8" i="13"/>
  <c r="K89" i="13" l="1"/>
  <c r="K102" i="13"/>
  <c r="K34" i="13"/>
  <c r="K28" i="13"/>
  <c r="K75" i="13" l="1"/>
  <c r="F36" i="23" l="1"/>
  <c r="F38" i="23"/>
  <c r="F34" i="22" l="1"/>
  <c r="F38" i="28"/>
  <c r="F36" i="22" l="1"/>
  <c r="F36" i="28"/>
  <c r="J111" i="13" l="1"/>
  <c r="K110" i="13" l="1"/>
  <c r="K112" i="13" l="1"/>
  <c r="K113" i="13" l="1"/>
  <c r="G115" i="13"/>
</calcChain>
</file>

<file path=xl/sharedStrings.xml><?xml version="1.0" encoding="utf-8"?>
<sst xmlns="http://schemas.openxmlformats.org/spreadsheetml/2006/main" count="737" uniqueCount="545">
  <si>
    <t>퇴직급여</t>
    <phoneticPr fontId="2" type="noConversion"/>
  </si>
  <si>
    <t>복리후생비</t>
    <phoneticPr fontId="2" type="noConversion"/>
  </si>
  <si>
    <t>여비교통비</t>
    <phoneticPr fontId="2" type="noConversion"/>
  </si>
  <si>
    <t>공공요금및제세</t>
    <phoneticPr fontId="2" type="noConversion"/>
  </si>
  <si>
    <t>수도광열비</t>
    <phoneticPr fontId="2" type="noConversion"/>
  </si>
  <si>
    <t>소모품비</t>
    <phoneticPr fontId="2" type="noConversion"/>
  </si>
  <si>
    <t>잡비</t>
    <phoneticPr fontId="2" type="noConversion"/>
  </si>
  <si>
    <t>차량유지비</t>
    <phoneticPr fontId="2" type="noConversion"/>
  </si>
  <si>
    <t>경상연구개발비</t>
    <phoneticPr fontId="2" type="noConversion"/>
  </si>
  <si>
    <t>기타의대손상각비</t>
    <phoneticPr fontId="2" type="noConversion"/>
  </si>
  <si>
    <t>매출원가</t>
  </si>
  <si>
    <t>손  익  계  산  서</t>
    <phoneticPr fontId="2" type="noConversion"/>
  </si>
  <si>
    <t>서울교통공사</t>
    <phoneticPr fontId="2" type="noConversion"/>
  </si>
  <si>
    <t>(단위 : 원)</t>
  </si>
  <si>
    <t xml:space="preserve"> </t>
  </si>
  <si>
    <t>과        목</t>
  </si>
  <si>
    <t>제 3 기</t>
    <phoneticPr fontId="2" type="noConversion"/>
  </si>
  <si>
    <t>제 2 기</t>
    <phoneticPr fontId="2" type="noConversion"/>
  </si>
  <si>
    <t>Ⅰ.</t>
  </si>
  <si>
    <t>매출액</t>
    <phoneticPr fontId="2" type="noConversion"/>
  </si>
  <si>
    <t>1.</t>
    <phoneticPr fontId="2" type="noConversion"/>
  </si>
  <si>
    <t>운영사업수익</t>
    <phoneticPr fontId="2" type="noConversion"/>
  </si>
  <si>
    <t>(1)</t>
    <phoneticPr fontId="2" type="noConversion"/>
  </si>
  <si>
    <t>운수사업수익</t>
    <phoneticPr fontId="2" type="noConversion"/>
  </si>
  <si>
    <t>(2)</t>
  </si>
  <si>
    <t>부대사업수익</t>
    <phoneticPr fontId="2" type="noConversion"/>
  </si>
  <si>
    <t>(3)</t>
  </si>
  <si>
    <t>기타사업수익</t>
    <phoneticPr fontId="2" type="noConversion"/>
  </si>
  <si>
    <t>2.</t>
    <phoneticPr fontId="2" type="noConversion"/>
  </si>
  <si>
    <t>수탁사업수익</t>
    <phoneticPr fontId="2" type="noConversion"/>
  </si>
  <si>
    <t>(1)</t>
    <phoneticPr fontId="2" type="noConversion"/>
  </si>
  <si>
    <t>운수사업수익</t>
    <phoneticPr fontId="2" type="noConversion"/>
  </si>
  <si>
    <t>부대사업수익</t>
    <phoneticPr fontId="2" type="noConversion"/>
  </si>
  <si>
    <t>기타사업수익</t>
    <phoneticPr fontId="2" type="noConversion"/>
  </si>
  <si>
    <t>(4)</t>
  </si>
  <si>
    <t>대행사업수익</t>
    <phoneticPr fontId="2" type="noConversion"/>
  </si>
  <si>
    <t>Ⅱ.</t>
  </si>
  <si>
    <t>매출원가</t>
    <phoneticPr fontId="2" type="noConversion"/>
  </si>
  <si>
    <t>1.</t>
    <phoneticPr fontId="2" type="noConversion"/>
  </si>
  <si>
    <t>운영사업원가</t>
    <phoneticPr fontId="2" type="noConversion"/>
  </si>
  <si>
    <t>2.</t>
    <phoneticPr fontId="2" type="noConversion"/>
  </si>
  <si>
    <t>수탁사업원가</t>
    <phoneticPr fontId="2" type="noConversion"/>
  </si>
  <si>
    <t>III.</t>
    <phoneticPr fontId="2" type="noConversion"/>
  </si>
  <si>
    <t>매출총이익(손실)</t>
    <phoneticPr fontId="2" type="noConversion"/>
  </si>
  <si>
    <t>IV.</t>
    <phoneticPr fontId="2" type="noConversion"/>
  </si>
  <si>
    <t>판매비와관리비</t>
    <phoneticPr fontId="2" type="noConversion"/>
  </si>
  <si>
    <t>급여</t>
    <phoneticPr fontId="2" type="noConversion"/>
  </si>
  <si>
    <t>퇴직급여</t>
    <phoneticPr fontId="2" type="noConversion"/>
  </si>
  <si>
    <t>복리후생비</t>
    <phoneticPr fontId="2" type="noConversion"/>
  </si>
  <si>
    <t>여비교통비</t>
    <phoneticPr fontId="2" type="noConversion"/>
  </si>
  <si>
    <t>소모품비</t>
    <phoneticPr fontId="2" type="noConversion"/>
  </si>
  <si>
    <t>도서인쇄비</t>
    <phoneticPr fontId="2" type="noConversion"/>
  </si>
  <si>
    <t>임차료</t>
    <phoneticPr fontId="2" type="noConversion"/>
  </si>
  <si>
    <t>감가상각비</t>
    <phoneticPr fontId="2" type="noConversion"/>
  </si>
  <si>
    <t>무형자산상각비</t>
    <phoneticPr fontId="2" type="noConversion"/>
  </si>
  <si>
    <t>수선유지비</t>
    <phoneticPr fontId="2" type="noConversion"/>
  </si>
  <si>
    <t>차량유지비</t>
    <phoneticPr fontId="2" type="noConversion"/>
  </si>
  <si>
    <t>보험료</t>
    <phoneticPr fontId="2" type="noConversion"/>
  </si>
  <si>
    <t>지급수수료</t>
    <phoneticPr fontId="2" type="noConversion"/>
  </si>
  <si>
    <t>업무추진비</t>
    <phoneticPr fontId="2" type="noConversion"/>
  </si>
  <si>
    <t>광고선전비</t>
    <phoneticPr fontId="2" type="noConversion"/>
  </si>
  <si>
    <t>교육훈련비</t>
    <phoneticPr fontId="2" type="noConversion"/>
  </si>
  <si>
    <t>포상비</t>
    <phoneticPr fontId="2" type="noConversion"/>
  </si>
  <si>
    <t>등기소송비</t>
    <phoneticPr fontId="2" type="noConversion"/>
  </si>
  <si>
    <t>피해보상비</t>
    <phoneticPr fontId="2" type="noConversion"/>
  </si>
  <si>
    <t>경상연구개발비</t>
    <phoneticPr fontId="2" type="noConversion"/>
  </si>
  <si>
    <t>V.</t>
    <phoneticPr fontId="2" type="noConversion"/>
  </si>
  <si>
    <t>영업이익(손실)</t>
    <phoneticPr fontId="2" type="noConversion"/>
  </si>
  <si>
    <t>VI.</t>
    <phoneticPr fontId="2" type="noConversion"/>
  </si>
  <si>
    <t>영업외수익</t>
    <phoneticPr fontId="2" type="noConversion"/>
  </si>
  <si>
    <t>이자수익</t>
    <phoneticPr fontId="2" type="noConversion"/>
  </si>
  <si>
    <t>외환차익</t>
    <phoneticPr fontId="2" type="noConversion"/>
  </si>
  <si>
    <t>유형자산처분이익</t>
    <phoneticPr fontId="2" type="noConversion"/>
  </si>
  <si>
    <t>VII.</t>
    <phoneticPr fontId="2" type="noConversion"/>
  </si>
  <si>
    <t>영업외비용</t>
    <phoneticPr fontId="2" type="noConversion"/>
  </si>
  <si>
    <t>이자비용</t>
    <phoneticPr fontId="2" type="noConversion"/>
  </si>
  <si>
    <t>VIII.</t>
    <phoneticPr fontId="2" type="noConversion"/>
  </si>
  <si>
    <t>법인세비용차감전순이익(손실)</t>
    <phoneticPr fontId="2" type="noConversion"/>
  </si>
  <si>
    <t>IX.</t>
    <phoneticPr fontId="2" type="noConversion"/>
  </si>
  <si>
    <t>법인세비용</t>
    <phoneticPr fontId="2" type="noConversion"/>
  </si>
  <si>
    <t>X.</t>
    <phoneticPr fontId="2" type="noConversion"/>
  </si>
  <si>
    <t>당기순이익(손실)</t>
    <phoneticPr fontId="2" type="noConversion"/>
  </si>
  <si>
    <t>수도광열비</t>
    <phoneticPr fontId="2" type="noConversion"/>
  </si>
  <si>
    <t>대손상각비(환입)</t>
  </si>
  <si>
    <t>폐품매각수익</t>
    <phoneticPr fontId="2" type="noConversion"/>
  </si>
  <si>
    <t>수입위약배상금</t>
    <phoneticPr fontId="2" type="noConversion"/>
  </si>
  <si>
    <t>기타의대손상각비환입</t>
    <phoneticPr fontId="2" type="noConversion"/>
  </si>
  <si>
    <t>투자자산처분이익</t>
    <phoneticPr fontId="2" type="noConversion"/>
  </si>
  <si>
    <t>채무면제이익</t>
    <phoneticPr fontId="2" type="noConversion"/>
  </si>
  <si>
    <t>자산수증이익</t>
    <phoneticPr fontId="2" type="noConversion"/>
  </si>
  <si>
    <t>재평가이익</t>
    <phoneticPr fontId="2" type="noConversion"/>
  </si>
  <si>
    <t>지분법평가이익</t>
    <phoneticPr fontId="2" type="noConversion"/>
  </si>
  <si>
    <t>잡이익</t>
    <phoneticPr fontId="2" type="noConversion"/>
  </si>
  <si>
    <t>투자자산처분손실</t>
    <phoneticPr fontId="2" type="noConversion"/>
  </si>
  <si>
    <t>재고자산폐기손실</t>
    <phoneticPr fontId="2" type="noConversion"/>
  </si>
  <si>
    <t>기부금</t>
    <phoneticPr fontId="2" type="noConversion"/>
  </si>
  <si>
    <t>유형자산처분손실</t>
    <phoneticPr fontId="2" type="noConversion"/>
  </si>
  <si>
    <t>유형자산손상차손</t>
    <phoneticPr fontId="2" type="noConversion"/>
  </si>
  <si>
    <t>유형자산폐기손실</t>
    <phoneticPr fontId="2" type="noConversion"/>
  </si>
  <si>
    <t>무형자산손상차손</t>
    <phoneticPr fontId="2" type="noConversion"/>
  </si>
  <si>
    <t>지분법평가손실</t>
    <phoneticPr fontId="2" type="noConversion"/>
  </si>
  <si>
    <t>재평가손실</t>
    <phoneticPr fontId="2" type="noConversion"/>
  </si>
  <si>
    <t>잡손실</t>
    <phoneticPr fontId="2" type="noConversion"/>
  </si>
  <si>
    <t>선급금</t>
  </si>
  <si>
    <t>공기구비품</t>
  </si>
  <si>
    <t>　          선급금</t>
  </si>
  <si>
    <t>　          토지</t>
  </si>
  <si>
    <t>　          건물</t>
  </si>
  <si>
    <t>　          감가상각누계액</t>
  </si>
  <si>
    <t>　          국고보조금</t>
  </si>
  <si>
    <t>　          국고/감가상각누계액</t>
  </si>
  <si>
    <t>　          기계장치</t>
  </si>
  <si>
    <t>　          선로설비</t>
  </si>
  <si>
    <t>　          전로설비</t>
  </si>
  <si>
    <t>　          공기구비품</t>
  </si>
  <si>
    <t>　          기타의유형자산</t>
  </si>
  <si>
    <t>　          건설중인자산</t>
  </si>
  <si>
    <t>　          기계장치수탁자산</t>
  </si>
  <si>
    <t>　          선로설비수탁자산</t>
  </si>
  <si>
    <t>　          전로설비수탁자산</t>
  </si>
  <si>
    <t>　          전동차량수탁자산</t>
  </si>
  <si>
    <t>　          차량운반구수탁자산</t>
  </si>
  <si>
    <t>　          공기구비품수탁자산</t>
  </si>
  <si>
    <t>　          기계장치수탁자산감가상각누계액</t>
  </si>
  <si>
    <t>　          선로설비수탁자산감가상각누계액</t>
  </si>
  <si>
    <t>　          전로설비수탁자산감가상각누계액</t>
  </si>
  <si>
    <t>　          전동차량수탁자산감가상각누계액</t>
  </si>
  <si>
    <t>　          차량운반구수탁자산감가상각누계액</t>
  </si>
  <si>
    <t>　          공기구비품수탁자산감가상각누계액</t>
  </si>
  <si>
    <t>　          기계장치수탁자산취득보조금</t>
  </si>
  <si>
    <t>　          선로설비수탁자산취득보조금</t>
  </si>
  <si>
    <t>　          전로설비수탁자산취득보조금</t>
  </si>
  <si>
    <t>　          전동차량수탁자산취득보조금</t>
  </si>
  <si>
    <t>　          차량운반구수탁자산취득보조금</t>
  </si>
  <si>
    <t>　          공기구비품수탁자산취득보조금</t>
  </si>
  <si>
    <t>　          특허권</t>
  </si>
  <si>
    <t>　          실용신안권</t>
  </si>
  <si>
    <t>　          의장권</t>
  </si>
  <si>
    <t>　          상표권</t>
  </si>
  <si>
    <t>　          수탁자산소프트웨어</t>
  </si>
  <si>
    <t>　          수탁자산소프트웨어감가상각누계액</t>
  </si>
  <si>
    <t>　          수탁자산소프트웨어취득보조금</t>
  </si>
  <si>
    <t>　          예수부가세</t>
  </si>
  <si>
    <t>　          사채</t>
  </si>
  <si>
    <t>　          사채발행차금</t>
  </si>
  <si>
    <t>　          장기미지급비용</t>
  </si>
  <si>
    <t>　          국민연금전환금</t>
  </si>
  <si>
    <t>　          장기선수수익</t>
  </si>
  <si>
    <t>부채및자본총계</t>
  </si>
  <si>
    <t>자본총계</t>
  </si>
  <si>
    <t>미처리결손금</t>
    <phoneticPr fontId="2" type="noConversion"/>
  </si>
  <si>
    <t>결손금</t>
  </si>
  <si>
    <t>재평가잉여금</t>
  </si>
  <si>
    <t>기타포괄손익누계액</t>
  </si>
  <si>
    <t>출자준비금</t>
    <phoneticPr fontId="2" type="noConversion"/>
  </si>
  <si>
    <t>자본금　　　　　　　　　　　　　　</t>
  </si>
  <si>
    <t>자                          본</t>
  </si>
  <si>
    <t>부채총계</t>
  </si>
  <si>
    <t>이연법인세부채</t>
    <phoneticPr fontId="2" type="noConversion"/>
  </si>
  <si>
    <t>9.</t>
  </si>
  <si>
    <t>기타의비유동부채</t>
    <phoneticPr fontId="2" type="noConversion"/>
  </si>
  <si>
    <t>장기선수수익</t>
    <phoneticPr fontId="2" type="noConversion"/>
  </si>
  <si>
    <t>(국민연금전환금)</t>
    <phoneticPr fontId="2" type="noConversion"/>
  </si>
  <si>
    <t>퇴직급여충당부채</t>
    <phoneticPr fontId="2" type="noConversion"/>
  </si>
  <si>
    <t>장기미지급비용</t>
    <phoneticPr fontId="2" type="noConversion"/>
  </si>
  <si>
    <t>(현재가치할인차금)</t>
    <phoneticPr fontId="2" type="noConversion"/>
  </si>
  <si>
    <t>장기미지급금</t>
    <phoneticPr fontId="2" type="noConversion"/>
  </si>
  <si>
    <t>장기차입금</t>
    <phoneticPr fontId="2" type="noConversion"/>
  </si>
  <si>
    <t>공채</t>
    <phoneticPr fontId="2" type="noConversion"/>
  </si>
  <si>
    <t>(사채할인발행차금)</t>
    <phoneticPr fontId="2" type="noConversion"/>
  </si>
  <si>
    <t>사채</t>
    <phoneticPr fontId="2" type="noConversion"/>
  </si>
  <si>
    <t>비유동부채</t>
  </si>
  <si>
    <t>기타의유동부채</t>
    <phoneticPr fontId="2" type="noConversion"/>
  </si>
  <si>
    <t>소송충당부채</t>
    <phoneticPr fontId="2" type="noConversion"/>
  </si>
  <si>
    <t>예수보증금</t>
    <phoneticPr fontId="2" type="noConversion"/>
  </si>
  <si>
    <t>선수수익</t>
    <phoneticPr fontId="2" type="noConversion"/>
  </si>
  <si>
    <t>예수부가세</t>
    <phoneticPr fontId="2" type="noConversion"/>
  </si>
  <si>
    <t>유동성장기부채</t>
    <phoneticPr fontId="2" type="noConversion"/>
  </si>
  <si>
    <t>예수금</t>
    <phoneticPr fontId="2" type="noConversion"/>
  </si>
  <si>
    <t>선수금</t>
    <phoneticPr fontId="2" type="noConversion"/>
  </si>
  <si>
    <t>미지급비용</t>
    <phoneticPr fontId="2" type="noConversion"/>
  </si>
  <si>
    <t>미지급금</t>
    <phoneticPr fontId="2" type="noConversion"/>
  </si>
  <si>
    <t>단기차입금</t>
    <phoneticPr fontId="2" type="noConversion"/>
  </si>
  <si>
    <t>유동부채</t>
  </si>
  <si>
    <t>부                          채</t>
  </si>
  <si>
    <t>자산총계</t>
  </si>
  <si>
    <t>기타의비유동자산</t>
    <phoneticPr fontId="2" type="noConversion"/>
  </si>
  <si>
    <t>(대손충당금)</t>
    <phoneticPr fontId="2" type="noConversion"/>
  </si>
  <si>
    <t>장기미수금</t>
    <phoneticPr fontId="2" type="noConversion"/>
  </si>
  <si>
    <t>보증금</t>
    <phoneticPr fontId="2" type="noConversion"/>
  </si>
  <si>
    <t>기타비유동자산</t>
  </si>
  <si>
    <t>(수탁자산보조금)</t>
  </si>
  <si>
    <t>(감가상각누계액)</t>
  </si>
  <si>
    <t>무형자산수탁자산</t>
    <phoneticPr fontId="2" type="noConversion"/>
  </si>
  <si>
    <t>4.</t>
  </si>
  <si>
    <t>소프트웨어</t>
    <phoneticPr fontId="2" type="noConversion"/>
  </si>
  <si>
    <t>차지권</t>
    <phoneticPr fontId="2" type="noConversion"/>
  </si>
  <si>
    <t>산업재산권</t>
  </si>
  <si>
    <t>무형자산</t>
  </si>
  <si>
    <t>유형자산수탁자산</t>
    <phoneticPr fontId="2" type="noConversion"/>
  </si>
  <si>
    <t>(정부보조금)</t>
  </si>
  <si>
    <t>건설중인자산</t>
  </si>
  <si>
    <t>기타의유형자산</t>
    <phoneticPr fontId="2" type="noConversion"/>
  </si>
  <si>
    <t>차량운반구</t>
    <phoneticPr fontId="2" type="noConversion"/>
  </si>
  <si>
    <t>전동차량</t>
  </si>
  <si>
    <t>전로설비</t>
  </si>
  <si>
    <t>선로설비</t>
  </si>
  <si>
    <t>기계장치</t>
  </si>
  <si>
    <t>건물</t>
  </si>
  <si>
    <t>토지</t>
  </si>
  <si>
    <t>유형자산</t>
    <phoneticPr fontId="2" type="noConversion"/>
  </si>
  <si>
    <t>(2)</t>
    <phoneticPr fontId="2" type="noConversion"/>
  </si>
  <si>
    <t>장기금융상품</t>
    <phoneticPr fontId="2" type="noConversion"/>
  </si>
  <si>
    <t>지분법적용투자주식</t>
    <phoneticPr fontId="2" type="noConversion"/>
  </si>
  <si>
    <t>장기대여금</t>
    <phoneticPr fontId="2" type="noConversion"/>
  </si>
  <si>
    <t>매도가능증권</t>
    <phoneticPr fontId="2" type="noConversion"/>
  </si>
  <si>
    <t>투자자산</t>
  </si>
  <si>
    <t>(1)</t>
  </si>
  <si>
    <t>비유동자산</t>
  </si>
  <si>
    <t>미착품</t>
  </si>
  <si>
    <t>저장품</t>
  </si>
  <si>
    <t>재고자산</t>
  </si>
  <si>
    <t>기타의당좌자산</t>
    <phoneticPr fontId="2" type="noConversion"/>
  </si>
  <si>
    <t>선급부가세</t>
    <phoneticPr fontId="2" type="noConversion"/>
  </si>
  <si>
    <t>당기법인세자산</t>
    <phoneticPr fontId="2" type="noConversion"/>
  </si>
  <si>
    <t>선급비용</t>
  </si>
  <si>
    <t>미수수익</t>
  </si>
  <si>
    <t>(대손충당금)</t>
  </si>
  <si>
    <t>미수금</t>
  </si>
  <si>
    <t>매출채권</t>
    <phoneticPr fontId="2" type="noConversion"/>
  </si>
  <si>
    <t>단기대여금</t>
    <phoneticPr fontId="2" type="noConversion"/>
  </si>
  <si>
    <t>단기금융상품</t>
  </si>
  <si>
    <t>(수탁자산취득보조금)</t>
    <phoneticPr fontId="2" type="noConversion"/>
  </si>
  <si>
    <t>(정부보조금)</t>
    <phoneticPr fontId="2" type="noConversion"/>
  </si>
  <si>
    <t>현금및현금성자산</t>
  </si>
  <si>
    <t>당좌자산</t>
  </si>
  <si>
    <t>유동자산</t>
  </si>
  <si>
    <t>자                          산</t>
  </si>
  <si>
    <t>제 2 기
(2018.12.31.)</t>
    <phoneticPr fontId="2" type="noConversion"/>
  </si>
  <si>
    <t>제 2 기  2018년 12월 31일 현재</t>
    <phoneticPr fontId="2" type="noConversion"/>
  </si>
  <si>
    <t xml:space="preserve"> 재   무   상   태   표</t>
    <phoneticPr fontId="2" type="noConversion"/>
  </si>
  <si>
    <t>총계</t>
    <phoneticPr fontId="2" type="noConversion"/>
  </si>
  <si>
    <t>잡비</t>
    <phoneticPr fontId="2" type="noConversion"/>
  </si>
  <si>
    <t>재료비기타</t>
    <phoneticPr fontId="2" type="noConversion"/>
  </si>
  <si>
    <t>피해보상비</t>
    <phoneticPr fontId="2" type="noConversion"/>
  </si>
  <si>
    <t>등기소송비</t>
    <phoneticPr fontId="2" type="noConversion"/>
  </si>
  <si>
    <t>포상비</t>
    <phoneticPr fontId="2" type="noConversion"/>
  </si>
  <si>
    <t>교육훈련비</t>
    <phoneticPr fontId="2" type="noConversion"/>
  </si>
  <si>
    <t>광고선전비</t>
    <phoneticPr fontId="2" type="noConversion"/>
  </si>
  <si>
    <t>업무추진비</t>
    <phoneticPr fontId="2" type="noConversion"/>
  </si>
  <si>
    <t>지급수수료</t>
    <phoneticPr fontId="2" type="noConversion"/>
  </si>
  <si>
    <t>보험료</t>
    <phoneticPr fontId="2" type="noConversion"/>
  </si>
  <si>
    <t>차량유지비</t>
    <phoneticPr fontId="2" type="noConversion"/>
  </si>
  <si>
    <t>수선유지비</t>
    <phoneticPr fontId="2" type="noConversion"/>
  </si>
  <si>
    <t>무형자산상각비</t>
    <phoneticPr fontId="2" type="noConversion"/>
  </si>
  <si>
    <t>감가상각비</t>
    <phoneticPr fontId="2" type="noConversion"/>
  </si>
  <si>
    <t>임차료</t>
    <phoneticPr fontId="2" type="noConversion"/>
  </si>
  <si>
    <t>도서인쇄비</t>
    <phoneticPr fontId="2" type="noConversion"/>
  </si>
  <si>
    <t>소모품비</t>
    <phoneticPr fontId="2" type="noConversion"/>
  </si>
  <si>
    <t>공공요금및제세</t>
    <phoneticPr fontId="2" type="noConversion"/>
  </si>
  <si>
    <t>수도광열비</t>
    <phoneticPr fontId="2" type="noConversion"/>
  </si>
  <si>
    <t>여비교통비</t>
    <phoneticPr fontId="2" type="noConversion"/>
  </si>
  <si>
    <t>경비</t>
    <phoneticPr fontId="2" type="noConversion"/>
  </si>
  <si>
    <t>급여</t>
    <phoneticPr fontId="2" type="noConversion"/>
  </si>
  <si>
    <t>인건비</t>
    <phoneticPr fontId="2" type="noConversion"/>
  </si>
  <si>
    <t>제 2 기</t>
    <phoneticPr fontId="2" type="noConversion"/>
  </si>
  <si>
    <t>제 3 기</t>
    <phoneticPr fontId="2" type="noConversion"/>
  </si>
  <si>
    <t>과      목</t>
    <phoneticPr fontId="2" type="noConversion"/>
  </si>
  <si>
    <t>서울교통공사</t>
    <phoneticPr fontId="2" type="noConversion"/>
  </si>
  <si>
    <t>운 영 사 업 원 가 명 세 서</t>
    <phoneticPr fontId="2" type="noConversion"/>
  </si>
  <si>
    <t>수 탁 사 업 원 가 명 세 서</t>
    <phoneticPr fontId="2" type="noConversion"/>
  </si>
  <si>
    <t>과     목</t>
    <phoneticPr fontId="2" type="noConversion"/>
  </si>
  <si>
    <t>제 3 기</t>
    <phoneticPr fontId="2" type="noConversion"/>
  </si>
  <si>
    <t>제 2 기</t>
    <phoneticPr fontId="2" type="noConversion"/>
  </si>
  <si>
    <t>인건비</t>
    <phoneticPr fontId="2" type="noConversion"/>
  </si>
  <si>
    <t>급여</t>
    <phoneticPr fontId="2" type="noConversion"/>
  </si>
  <si>
    <t>경비</t>
    <phoneticPr fontId="2" type="noConversion"/>
  </si>
  <si>
    <t>복리후생비</t>
    <phoneticPr fontId="2" type="noConversion"/>
  </si>
  <si>
    <t>여비교통비</t>
    <phoneticPr fontId="2" type="noConversion"/>
  </si>
  <si>
    <t>공공요금및제세</t>
    <phoneticPr fontId="2" type="noConversion"/>
  </si>
  <si>
    <t>임차료</t>
    <phoneticPr fontId="2" type="noConversion"/>
  </si>
  <si>
    <t>감가상각비</t>
    <phoneticPr fontId="2" type="noConversion"/>
  </si>
  <si>
    <t>무형자산상각비</t>
    <phoneticPr fontId="2" type="noConversion"/>
  </si>
  <si>
    <t>수선유지비</t>
    <phoneticPr fontId="2" type="noConversion"/>
  </si>
  <si>
    <t>차량유지비</t>
    <phoneticPr fontId="2" type="noConversion"/>
  </si>
  <si>
    <t>지급수수료</t>
    <phoneticPr fontId="2" type="noConversion"/>
  </si>
  <si>
    <t>업무추진비</t>
    <phoneticPr fontId="2" type="noConversion"/>
  </si>
  <si>
    <t>교육훈련비</t>
    <phoneticPr fontId="2" type="noConversion"/>
  </si>
  <si>
    <t>포상비</t>
    <phoneticPr fontId="2" type="noConversion"/>
  </si>
  <si>
    <t>등기소송비</t>
    <phoneticPr fontId="2" type="noConversion"/>
  </si>
  <si>
    <t>피해보상비</t>
    <phoneticPr fontId="2" type="noConversion"/>
  </si>
  <si>
    <t>경상연구개발비</t>
    <phoneticPr fontId="2" type="noConversion"/>
  </si>
  <si>
    <t>재료비기타</t>
    <phoneticPr fontId="2" type="noConversion"/>
  </si>
  <si>
    <t>일반관리비</t>
    <phoneticPr fontId="2" type="noConversion"/>
  </si>
  <si>
    <t>위탁수수료</t>
    <phoneticPr fontId="2" type="noConversion"/>
  </si>
  <si>
    <t>총계</t>
    <phoneticPr fontId="2" type="noConversion"/>
  </si>
  <si>
    <t>차변</t>
    <phoneticPr fontId="2" type="noConversion"/>
  </si>
  <si>
    <t>대변</t>
    <phoneticPr fontId="2" type="noConversion"/>
  </si>
  <si>
    <t>영 업 비 용 명 세 서</t>
    <phoneticPr fontId="2" type="noConversion"/>
  </si>
  <si>
    <t>수탁사업원가</t>
    <phoneticPr fontId="2" type="noConversion"/>
  </si>
  <si>
    <t>Ⅱ.</t>
    <phoneticPr fontId="2" type="noConversion"/>
  </si>
  <si>
    <t>대손상각비(환입)</t>
    <phoneticPr fontId="2" type="noConversion"/>
  </si>
  <si>
    <t>(지자체보조금)</t>
    <phoneticPr fontId="2" type="noConversion"/>
  </si>
  <si>
    <t>제 3 기  2019년 12월 31일 현재</t>
    <phoneticPr fontId="2" type="noConversion"/>
  </si>
  <si>
    <t>제 3 기
(2019.12.31.)</t>
    <phoneticPr fontId="2" type="noConversion"/>
  </si>
  <si>
    <t>제 3 기  2019년 1월 1일부터 2019년 12월 31일까지</t>
    <phoneticPr fontId="2" type="noConversion"/>
  </si>
  <si>
    <t>제 2 기  2018년 1월 1일부터 2018년 12월 31일까지</t>
    <phoneticPr fontId="2" type="noConversion"/>
  </si>
  <si>
    <t>매도가능증권평가차손익</t>
    <phoneticPr fontId="2" type="noConversion"/>
  </si>
  <si>
    <t>7호선 연장구간</t>
    <phoneticPr fontId="2" type="noConversion"/>
  </si>
  <si>
    <t>9호선 2-3단계 운영</t>
    <phoneticPr fontId="2" type="noConversion"/>
  </si>
  <si>
    <t>잠실광역환승센터</t>
    <phoneticPr fontId="2" type="noConversion"/>
  </si>
  <si>
    <t>서울교통공사</t>
  </si>
  <si>
    <t>과     목</t>
  </si>
  <si>
    <t>자 본 금</t>
  </si>
  <si>
    <t>결 손 금</t>
  </si>
  <si>
    <t>총   계</t>
  </si>
  <si>
    <t>-</t>
  </si>
  <si>
    <t>자 본 변 동 표</t>
    <phoneticPr fontId="2" type="noConversion"/>
  </si>
  <si>
    <t>제 2 기 : 2018년 1월 1일 부터 2018년  12월 31일까지</t>
    <phoneticPr fontId="2" type="noConversion"/>
  </si>
  <si>
    <t>제 3 기 : 2019년 1월 1일 부터 2019년  12월 31일까지</t>
    <phoneticPr fontId="2" type="noConversion"/>
  </si>
  <si>
    <t>  2. 토지의 처분</t>
    <phoneticPr fontId="2" type="noConversion"/>
  </si>
  <si>
    <t>  3. 매도가능증권의 처분</t>
    <phoneticPr fontId="2" type="noConversion"/>
  </si>
  <si>
    <t>  4. 당기순손실</t>
    <phoneticPr fontId="2" type="noConversion"/>
  </si>
  <si>
    <t>III. 2019.01.01(당기초)</t>
    <phoneticPr fontId="2" type="noConversion"/>
  </si>
  <si>
    <t>II. 2018.12.31.(전기말)</t>
    <phoneticPr fontId="2" type="noConversion"/>
  </si>
  <si>
    <t>I. 2018.01.01(전기초)</t>
    <phoneticPr fontId="2" type="noConversion"/>
  </si>
  <si>
    <t>IV. 2019.12.31.(당기말)</t>
    <phoneticPr fontId="2" type="noConversion"/>
  </si>
  <si>
    <t>  1. 자본금의 납입</t>
    <phoneticPr fontId="2" type="noConversion"/>
  </si>
  <si>
    <t>-</t>
    <phoneticPr fontId="2" type="noConversion"/>
  </si>
  <si>
    <t>-</t>
    <phoneticPr fontId="2" type="noConversion"/>
  </si>
  <si>
    <t>현 금 흐 름 표</t>
    <phoneticPr fontId="2" type="noConversion"/>
  </si>
  <si>
    <t>과                        목</t>
  </si>
  <si>
    <t>제 2 기</t>
  </si>
  <si>
    <t>합 계 잔 액 시 산 표</t>
    <phoneticPr fontId="2" type="noConversion"/>
  </si>
  <si>
    <t>서울교통공사</t>
    <phoneticPr fontId="2" type="noConversion"/>
  </si>
  <si>
    <t>(단위:원)</t>
    <phoneticPr fontId="2" type="noConversion"/>
  </si>
  <si>
    <t xml:space="preserve"> 잔액</t>
    <phoneticPr fontId="2" type="noConversion"/>
  </si>
  <si>
    <t>잔액</t>
    <phoneticPr fontId="2" type="noConversion"/>
  </si>
  <si>
    <t>　          현금</t>
  </si>
  <si>
    <t>　          당좌예금</t>
  </si>
  <si>
    <t>　          보통예금</t>
  </si>
  <si>
    <t>　          기업자유예금</t>
  </si>
  <si>
    <t>　          현금성자산</t>
  </si>
  <si>
    <t>　          매도가능증권</t>
  </si>
  <si>
    <t>　          외상매출금</t>
  </si>
  <si>
    <t>　        대손충당금</t>
  </si>
  <si>
    <t>　          단기대여금</t>
  </si>
  <si>
    <t>　          미수금</t>
  </si>
  <si>
    <t>　          미수수익</t>
  </si>
  <si>
    <t>　          저장품</t>
  </si>
  <si>
    <t>　          미착품</t>
  </si>
  <si>
    <t>　          장기대여금</t>
  </si>
  <si>
    <t>　          지분법적용투자주식</t>
  </si>
  <si>
    <t>　          전동차량</t>
  </si>
  <si>
    <t>　          차량운반구</t>
  </si>
  <si>
    <t>　          건설중수탁자산</t>
  </si>
  <si>
    <t>　          건설중수탁자산취득보조금</t>
  </si>
  <si>
    <t>　          단기차입금/어음차입금</t>
  </si>
  <si>
    <t>　          유동성장기부채</t>
  </si>
  <si>
    <t>　          장기미지급금</t>
  </si>
  <si>
    <t>　          현재가치할인차금</t>
  </si>
  <si>
    <t>　          퇴직급여충당부채</t>
  </si>
  <si>
    <t>　         이자수익</t>
  </si>
  <si>
    <t>　         폐품매각수익</t>
  </si>
  <si>
    <t>　         수입위약배상금</t>
  </si>
  <si>
    <t>　         유형자산처분이익</t>
  </si>
  <si>
    <t>　         자산수증이익</t>
  </si>
  <si>
    <t>　         지분법이익</t>
  </si>
  <si>
    <t>　         잡이익</t>
  </si>
  <si>
    <t>　         이자비용</t>
  </si>
  <si>
    <t>　         재고자산폐기손실</t>
  </si>
  <si>
    <t>　         기부금</t>
  </si>
  <si>
    <t>　         투자자산처분손실</t>
  </si>
  <si>
    <t>　         유형자산손상차손</t>
  </si>
  <si>
    <t>　         유형자산폐기손실</t>
  </si>
  <si>
    <t>　         무형자산손상차손</t>
  </si>
  <si>
    <t>　         기타의대손상각비</t>
  </si>
  <si>
    <t>　         지분법손실</t>
  </si>
  <si>
    <t>　         잡손실</t>
  </si>
  <si>
    <t>-</t>
    <phoneticPr fontId="2" type="noConversion"/>
  </si>
  <si>
    <t>계정과목</t>
    <phoneticPr fontId="2" type="noConversion"/>
  </si>
  <si>
    <t>Ⅰ. 영업활동으로인한현금흐름</t>
  </si>
  <si>
    <t> 1. 당기순손실</t>
  </si>
  <si>
    <t> 2. 현금의유출이없는비용등의가산</t>
  </si>
  <si>
    <t>3. 현금의유입이없는수익등의차감</t>
  </si>
  <si>
    <t>4. 영업활동으로인한자산부채의변동</t>
  </si>
  <si>
    <t>Ⅱ. 투자활동으로인한현금흐름</t>
  </si>
  <si>
    <t>1. 투자활동으로인한현금유입액</t>
  </si>
  <si>
    <t>2. 투자활동으로인한현금유출액</t>
  </si>
  <si>
    <t>   가.장기대여금의 증가</t>
  </si>
  <si>
    <t>   나.지분법적용투자주식의 취득</t>
  </si>
  <si>
    <t>   다.토지의 취득</t>
  </si>
  <si>
    <t>   라.건물의 취득</t>
  </si>
  <si>
    <t>   마.선로설비의 취득</t>
  </si>
  <si>
    <t>   바.전로설비의 취득</t>
  </si>
  <si>
    <t>   사.기계장치의 취득</t>
  </si>
  <si>
    <t>   아.전동차량의 취득</t>
  </si>
  <si>
    <t>   자.차량운반구의 취득</t>
  </si>
  <si>
    <t>   차.공기구비품의 취득</t>
  </si>
  <si>
    <t>   카.기타의유형자산의 취득</t>
  </si>
  <si>
    <t>   타.건설중인자산의 증가</t>
  </si>
  <si>
    <t xml:space="preserve">   파.유형수탁자산의 취득</t>
  </si>
  <si>
    <t xml:space="preserve">   하.무형수탁자산의 취득</t>
  </si>
  <si>
    <t>   너.소프트웨어의 취득</t>
  </si>
  <si>
    <t xml:space="preserve">   더. 매도가능금융자산의 취득</t>
  </si>
  <si>
    <t>   러. 보증금의 증가</t>
  </si>
  <si>
    <t>Ⅲ. 재무활동으로인한현금흐름</t>
  </si>
  <si>
    <t> 1. 재무활동으로인한현금유입액</t>
  </si>
  <si>
    <t>   가.공채의 발행</t>
  </si>
  <si>
    <t>   나.사채의 발행</t>
  </si>
  <si>
    <t>   다.장기차입금의 차입</t>
  </si>
  <si>
    <t>   라.기타비유동부채의 증가</t>
  </si>
  <si>
    <t>   마.자본금의 증가</t>
  </si>
  <si>
    <t>   바.정부보조금의 수령</t>
  </si>
  <si>
    <t xml:space="preserve">   사.수탁자산취득보조금의 수령</t>
  </si>
  <si>
    <t> 2. 재무활동으로인한현금유출액</t>
  </si>
  <si>
    <t>   가. 유동성장기부채의 상환</t>
  </si>
  <si>
    <t xml:space="preserve">   나. 기타비유동부채의 감소</t>
  </si>
  <si>
    <t xml:space="preserve">   다. 정부보조금의 상환</t>
  </si>
  <si>
    <t>Ⅳ. 현금의증가(Ⅰ+Ⅱ+Ⅲ)</t>
  </si>
  <si>
    <t>Ⅴ. 기초의현금</t>
  </si>
  <si>
    <t>Ⅵ. 기말의현금</t>
  </si>
  <si>
    <t xml:space="preserve">  가.퇴직급여</t>
    <phoneticPr fontId="2" type="noConversion"/>
  </si>
  <si>
    <t xml:space="preserve">  나.감가상각비</t>
    <phoneticPr fontId="2" type="noConversion"/>
  </si>
  <si>
    <t xml:space="preserve">  다.유형자산처분손실</t>
    <phoneticPr fontId="2" type="noConversion"/>
  </si>
  <si>
    <t xml:space="preserve">  라.무형자산상각비</t>
    <phoneticPr fontId="2" type="noConversion"/>
  </si>
  <si>
    <t xml:space="preserve">  마.대손상각비</t>
    <phoneticPr fontId="2" type="noConversion"/>
  </si>
  <si>
    <t xml:space="preserve">  바.이자비용</t>
    <phoneticPr fontId="2" type="noConversion"/>
  </si>
  <si>
    <t xml:space="preserve">  사.재고자산폐기손실</t>
    <phoneticPr fontId="2" type="noConversion"/>
  </si>
  <si>
    <t xml:space="preserve">  아.재고자산처분손실</t>
    <phoneticPr fontId="2" type="noConversion"/>
  </si>
  <si>
    <t xml:space="preserve">  자.유형자산손상차손</t>
    <phoneticPr fontId="2" type="noConversion"/>
  </si>
  <si>
    <t xml:space="preserve">  차.유형자산폐기손실</t>
    <phoneticPr fontId="2" type="noConversion"/>
  </si>
  <si>
    <t xml:space="preserve">  카.무형자산손상차손</t>
    <phoneticPr fontId="2" type="noConversion"/>
  </si>
  <si>
    <t xml:space="preserve">  타.투자자산처분손실</t>
    <phoneticPr fontId="2" type="noConversion"/>
  </si>
  <si>
    <t xml:space="preserve">  파.기타의대손상각비</t>
    <phoneticPr fontId="2" type="noConversion"/>
  </si>
  <si>
    <t xml:space="preserve">  하.지분법평가손실</t>
    <phoneticPr fontId="2" type="noConversion"/>
  </si>
  <si>
    <t xml:space="preserve">  가.폐품매각수익</t>
    <phoneticPr fontId="2" type="noConversion"/>
  </si>
  <si>
    <t xml:space="preserve">  나.유형자산처분이익</t>
    <phoneticPr fontId="2" type="noConversion"/>
  </si>
  <si>
    <t xml:space="preserve">  다.채무면제이익</t>
    <phoneticPr fontId="2" type="noConversion"/>
  </si>
  <si>
    <t xml:space="preserve">  라.자산수증이익</t>
    <phoneticPr fontId="2" type="noConversion"/>
  </si>
  <si>
    <t xml:space="preserve">  마.지분법평가이익</t>
    <phoneticPr fontId="2" type="noConversion"/>
  </si>
  <si>
    <t xml:space="preserve">    바.기타의대손충당금환입</t>
    <phoneticPr fontId="2" type="noConversion"/>
  </si>
  <si>
    <t xml:space="preserve">  사.잡이익</t>
    <phoneticPr fontId="2" type="noConversion"/>
  </si>
  <si>
    <t xml:space="preserve">  가.매출채권의 감소(증가)</t>
    <phoneticPr fontId="2" type="noConversion"/>
  </si>
  <si>
    <t xml:space="preserve">  나.미수금의 증가</t>
    <phoneticPr fontId="2" type="noConversion"/>
  </si>
  <si>
    <t xml:space="preserve">  다.미수수익의 감소(증가)</t>
    <phoneticPr fontId="2" type="noConversion"/>
  </si>
  <si>
    <t xml:space="preserve">  라.선급금의 증가</t>
    <phoneticPr fontId="2" type="noConversion"/>
  </si>
  <si>
    <t xml:space="preserve">  마.선급비용의 감소</t>
    <phoneticPr fontId="2" type="noConversion"/>
  </si>
  <si>
    <t xml:space="preserve">  바.당기법인세자산의 감소(증가)</t>
    <phoneticPr fontId="2" type="noConversion"/>
  </si>
  <si>
    <t xml:space="preserve">  사.기타의당좌자산의 감소(증가)</t>
    <phoneticPr fontId="2" type="noConversion"/>
  </si>
  <si>
    <t xml:space="preserve">  아.재고자산의 감소</t>
    <phoneticPr fontId="2" type="noConversion"/>
  </si>
  <si>
    <t xml:space="preserve">  자.미지급금의 증가(감소)</t>
    <phoneticPr fontId="2" type="noConversion"/>
  </si>
  <si>
    <t xml:space="preserve">  차.선수금의 증가(감소)</t>
    <phoneticPr fontId="2" type="noConversion"/>
  </si>
  <si>
    <t xml:space="preserve">  카.예수금의 증가</t>
    <phoneticPr fontId="2" type="noConversion"/>
  </si>
  <si>
    <t xml:space="preserve">  타.미지급비용의 증가(감소)</t>
    <phoneticPr fontId="2" type="noConversion"/>
  </si>
  <si>
    <t xml:space="preserve">  파.부가세예수금의 증가</t>
    <phoneticPr fontId="2" type="noConversion"/>
  </si>
  <si>
    <t xml:space="preserve">  하.선수수익의 감소</t>
    <phoneticPr fontId="2" type="noConversion"/>
  </si>
  <si>
    <t xml:space="preserve">  거.소송충당부채의 증가</t>
    <phoneticPr fontId="2" type="noConversion"/>
  </si>
  <si>
    <t xml:space="preserve">  너.예수보증금의 증가(감소)</t>
    <phoneticPr fontId="2" type="noConversion"/>
  </si>
  <si>
    <t xml:space="preserve">  더.기타유동부채의 증가(감소)</t>
    <phoneticPr fontId="2" type="noConversion"/>
  </si>
  <si>
    <t xml:space="preserve">  러.장기미지급금의 감소</t>
    <phoneticPr fontId="2" type="noConversion"/>
  </si>
  <si>
    <t xml:space="preserve">  머.장기미지급비용의 증가(감소)</t>
    <phoneticPr fontId="2" type="noConversion"/>
  </si>
  <si>
    <t xml:space="preserve">    버.퇴직금의 지급</t>
    <phoneticPr fontId="2" type="noConversion"/>
  </si>
  <si>
    <t xml:space="preserve">  서.국민연금전환금의 감소</t>
    <phoneticPr fontId="2" type="noConversion"/>
  </si>
  <si>
    <t xml:space="preserve">  가.매도가능금융자산의 감소</t>
    <phoneticPr fontId="2" type="noConversion"/>
  </si>
  <si>
    <t xml:space="preserve">  나.단기대여금의 감소</t>
    <phoneticPr fontId="2" type="noConversion"/>
  </si>
  <si>
    <t xml:space="preserve">  다.장기대여금의 감소</t>
    <phoneticPr fontId="2" type="noConversion"/>
  </si>
  <si>
    <t xml:space="preserve">  라.지분법적용투자주식의 처분</t>
    <phoneticPr fontId="2" type="noConversion"/>
  </si>
  <si>
    <t xml:space="preserve">  마.토지의 처분</t>
    <phoneticPr fontId="2" type="noConversion"/>
  </si>
  <si>
    <t xml:space="preserve">    바.전로설비의 처분</t>
    <phoneticPr fontId="2" type="noConversion"/>
  </si>
  <si>
    <t xml:space="preserve">  사.보증금의 감소</t>
    <phoneticPr fontId="2" type="noConversion"/>
  </si>
  <si>
    <t xml:space="preserve">  아.기타의비유동자산의 감소</t>
    <phoneticPr fontId="2" type="noConversion"/>
  </si>
  <si>
    <t>       거.산업재산권의 취득</t>
    <phoneticPr fontId="2" type="noConversion"/>
  </si>
  <si>
    <t>　          수탁자산취득보조금</t>
  </si>
  <si>
    <t>　          선급비용</t>
  </si>
  <si>
    <t>　          가지급금</t>
  </si>
  <si>
    <t>　          선급법인세</t>
  </si>
  <si>
    <t>　          선급지방세</t>
  </si>
  <si>
    <t>　          기타의당좌자산</t>
  </si>
  <si>
    <t>　          차량운반구/지방자치단체보조금/감가상각누계액</t>
  </si>
  <si>
    <t>　          차지권</t>
  </si>
  <si>
    <t>　          소프트웨어</t>
  </si>
  <si>
    <t>　          장기미수금</t>
  </si>
  <si>
    <t>　          보증금</t>
  </si>
  <si>
    <t>　          기타의비유동자산</t>
  </si>
  <si>
    <t>　          단기차입금/당좌차월</t>
  </si>
  <si>
    <t>　          미지급금</t>
  </si>
  <si>
    <t>　          선수금</t>
  </si>
  <si>
    <t>　          예수금</t>
  </si>
  <si>
    <t>　          미지급비용</t>
  </si>
  <si>
    <t>　          선수수익</t>
  </si>
  <si>
    <t>　          예수보증금</t>
  </si>
  <si>
    <t>　          소송충당부채</t>
  </si>
  <si>
    <t>　          기타의유동부채</t>
  </si>
  <si>
    <t>　          공채</t>
  </si>
  <si>
    <t>　          장기차입금</t>
  </si>
  <si>
    <t>　          기타의비유동부채</t>
  </si>
  <si>
    <t>　          자본금</t>
  </si>
  <si>
    <t>　          출자준비금</t>
  </si>
  <si>
    <t>　          매도가능증권평가차손익</t>
  </si>
  <si>
    <t>　          재평가잉여금</t>
  </si>
  <si>
    <t>　          미처분이익잉여금(미처리결손금)</t>
  </si>
  <si>
    <t>　          회계변경누적효과</t>
  </si>
  <si>
    <t>　          운수사업수익</t>
  </si>
  <si>
    <t>　          부대사업수익</t>
  </si>
  <si>
    <t>　          기타사업수익</t>
  </si>
  <si>
    <t>　          대행사업수익</t>
  </si>
  <si>
    <t>　          급여</t>
  </si>
  <si>
    <t>　          퇴직급여</t>
  </si>
  <si>
    <t>　          복리후생비</t>
  </si>
  <si>
    <t>　          여비교통비</t>
  </si>
  <si>
    <t>　          수도광열비</t>
  </si>
  <si>
    <t>　          공공요금 및 제세</t>
  </si>
  <si>
    <t>　          소모품비</t>
  </si>
  <si>
    <t>　          도서인쇄비</t>
  </si>
  <si>
    <t>　          임차료</t>
  </si>
  <si>
    <t>　          감가상각비</t>
  </si>
  <si>
    <t>　          무형자산상각비</t>
  </si>
  <si>
    <t>　          수선유지비</t>
  </si>
  <si>
    <t>　          차량유지비</t>
  </si>
  <si>
    <t>　          보험료</t>
  </si>
  <si>
    <t>　          지급수수료</t>
  </si>
  <si>
    <t>　          업무추진비</t>
  </si>
  <si>
    <t>　          광고선전비</t>
  </si>
  <si>
    <t>　          교육훈련비</t>
  </si>
  <si>
    <t>　          피해보상비</t>
  </si>
  <si>
    <t>　          경상연구개발비</t>
  </si>
  <si>
    <t>　          재료비기타</t>
  </si>
  <si>
    <t>　          잡비</t>
  </si>
  <si>
    <t>　          비예산공사비</t>
  </si>
  <si>
    <t>　          자본투자비</t>
  </si>
  <si>
    <t>수탁사업원가</t>
  </si>
  <si>
    <t>　          포상비</t>
  </si>
  <si>
    <t>판매관리비</t>
  </si>
  <si>
    <t>　          등기소송비</t>
  </si>
  <si>
    <t>　          대손상각비</t>
  </si>
  <si>
    <t>　         수입보조금</t>
  </si>
  <si>
    <t>합계</t>
  </si>
  <si>
    <t xml:space="preserve">  1. 자본금의 납입</t>
    <phoneticPr fontId="2" type="noConversion"/>
  </si>
  <si>
    <t xml:space="preserve">  2. 출자전환</t>
    <phoneticPr fontId="2" type="noConversion"/>
  </si>
  <si>
    <t xml:space="preserve">  3. 매도가능증권평가이익</t>
    <phoneticPr fontId="2" type="noConversion"/>
  </si>
  <si>
    <t xml:space="preserve">  4. 당기순손실</t>
    <phoneticPr fontId="2" type="noConversion"/>
  </si>
  <si>
    <t>납입자본금</t>
    <phoneticPr fontId="2" type="noConversion"/>
  </si>
  <si>
    <t>제 3 기  2019년 1월 1일부터 2019년 12월 31일까지</t>
  </si>
  <si>
    <t>제 2 기  2018년 1월 1일부터 2018년 12월 31일까지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</si>
</sst>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#,##0_);[Red]\(#,##0\)"/>
    <numFmt numFmtId="178" formatCode="#,##0_);\(#,##0\)"/>
    <numFmt numFmtId="179" formatCode="###,###\ ;\(###,###\)\ ;\-\ "/>
    <numFmt numFmtId="180" formatCode="#,##0\ ;\(#,##0\)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6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0"/>
      <name val="돋움"/>
      <family val="3"/>
      <charset val="129"/>
    </font>
    <font>
      <sz val="12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name val="돋움"/>
      <family val="3"/>
      <charset val="129"/>
    </font>
    <font>
      <sz val="18"/>
      <color theme="1"/>
      <name val="맑은 고딕"/>
      <family val="2"/>
      <charset val="129"/>
      <scheme val="minor"/>
    </font>
    <font>
      <sz val="15"/>
      <color rgb="FFFF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b/>
      <sz val="26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indexed="64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medium">
        <color indexed="64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64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</cellStyleXfs>
  <cellXfs count="240">
    <xf numFmtId="0" fontId="0" fillId="0" borderId="0" xfId="0">
      <alignment vertical="center"/>
    </xf>
    <xf numFmtId="0" fontId="7" fillId="0" borderId="0" xfId="2" applyFont="1" applyBorder="1" applyAlignment="1">
      <alignment vertical="center" shrinkToFit="1"/>
    </xf>
    <xf numFmtId="38" fontId="7" fillId="0" borderId="0" xfId="2" applyNumberFormat="1" applyFont="1" applyBorder="1" applyAlignment="1">
      <alignment vertical="center" shrinkToFit="1"/>
    </xf>
    <xf numFmtId="41" fontId="7" fillId="0" borderId="0" xfId="3" applyFont="1" applyBorder="1" applyAlignment="1">
      <alignment horizontal="right" vertical="center" shrinkToFit="1"/>
    </xf>
    <xf numFmtId="1" fontId="8" fillId="3" borderId="2" xfId="2" applyNumberFormat="1" applyFont="1" applyFill="1" applyBorder="1" applyAlignment="1">
      <alignment horizontal="center" vertical="center" shrinkToFit="1"/>
    </xf>
    <xf numFmtId="1" fontId="9" fillId="3" borderId="3" xfId="2" applyNumberFormat="1" applyFont="1" applyFill="1" applyBorder="1" applyAlignment="1">
      <alignment horizontal="center" vertical="center" shrinkToFit="1"/>
    </xf>
    <xf numFmtId="0" fontId="9" fillId="4" borderId="5" xfId="2" applyFont="1" applyFill="1" applyBorder="1" applyAlignment="1">
      <alignment horizontal="center" vertical="center" shrinkToFit="1"/>
    </xf>
    <xf numFmtId="0" fontId="9" fillId="4" borderId="0" xfId="2" applyFont="1" applyFill="1" applyBorder="1" applyAlignment="1">
      <alignment vertical="center" shrinkToFit="1"/>
    </xf>
    <xf numFmtId="41" fontId="9" fillId="4" borderId="6" xfId="1" applyFont="1" applyFill="1" applyBorder="1" applyAlignment="1">
      <alignment horizontal="right" vertical="center"/>
    </xf>
    <xf numFmtId="41" fontId="9" fillId="4" borderId="7" xfId="1" applyFont="1" applyFill="1" applyBorder="1" applyAlignment="1">
      <alignment horizontal="right" vertical="center"/>
    </xf>
    <xf numFmtId="176" fontId="9" fillId="4" borderId="6" xfId="2" applyNumberFormat="1" applyFont="1" applyFill="1" applyBorder="1" applyAlignment="1">
      <alignment horizontal="right" vertical="center"/>
    </xf>
    <xf numFmtId="176" fontId="9" fillId="4" borderId="7" xfId="3" applyNumberFormat="1" applyFont="1" applyFill="1" applyBorder="1" applyAlignment="1">
      <alignment horizontal="right" vertical="center"/>
    </xf>
    <xf numFmtId="49" fontId="8" fillId="4" borderId="5" xfId="2" applyNumberFormat="1" applyFont="1" applyFill="1" applyBorder="1" applyAlignment="1">
      <alignment horizontal="center" vertical="center" shrinkToFit="1"/>
    </xf>
    <xf numFmtId="49" fontId="8" fillId="4" borderId="0" xfId="2" applyNumberFormat="1" applyFont="1" applyFill="1" applyBorder="1" applyAlignment="1">
      <alignment horizontal="center" vertical="center" shrinkToFit="1"/>
    </xf>
    <xf numFmtId="1" fontId="8" fillId="4" borderId="0" xfId="2" applyNumberFormat="1" applyFont="1" applyFill="1" applyBorder="1" applyAlignment="1">
      <alignment vertical="center" shrinkToFit="1"/>
    </xf>
    <xf numFmtId="41" fontId="8" fillId="4" borderId="6" xfId="1" applyFont="1" applyFill="1" applyBorder="1" applyAlignment="1">
      <alignment horizontal="right" vertical="center"/>
    </xf>
    <xf numFmtId="41" fontId="8" fillId="4" borderId="7" xfId="1" applyFont="1" applyFill="1" applyBorder="1" applyAlignment="1">
      <alignment horizontal="right" vertical="center"/>
    </xf>
    <xf numFmtId="176" fontId="8" fillId="4" borderId="6" xfId="2" applyNumberFormat="1" applyFont="1" applyFill="1" applyBorder="1" applyAlignment="1">
      <alignment horizontal="right" vertical="center"/>
    </xf>
    <xf numFmtId="176" fontId="8" fillId="4" borderId="7" xfId="3" applyNumberFormat="1" applyFont="1" applyFill="1" applyBorder="1" applyAlignment="1">
      <alignment horizontal="right" vertical="center"/>
    </xf>
    <xf numFmtId="0" fontId="8" fillId="4" borderId="5" xfId="2" applyFont="1" applyFill="1" applyBorder="1" applyAlignment="1">
      <alignment horizontal="center" vertical="center" shrinkToFit="1"/>
    </xf>
    <xf numFmtId="0" fontId="8" fillId="4" borderId="0" xfId="0" applyFont="1" applyFill="1" applyBorder="1" applyAlignment="1">
      <alignment horizontal="center" vertical="center"/>
    </xf>
    <xf numFmtId="49" fontId="8" fillId="4" borderId="0" xfId="2" applyNumberFormat="1" applyFont="1" applyFill="1" applyBorder="1" applyAlignment="1">
      <alignment horizontal="distributed" vertical="center" shrinkToFit="1"/>
    </xf>
    <xf numFmtId="41" fontId="8" fillId="4" borderId="8" xfId="1" applyFont="1" applyFill="1" applyBorder="1" applyAlignment="1">
      <alignment horizontal="right" vertical="center" shrinkToFit="1"/>
    </xf>
    <xf numFmtId="176" fontId="8" fillId="4" borderId="6" xfId="1" applyNumberFormat="1" applyFont="1" applyFill="1" applyBorder="1" applyAlignment="1">
      <alignment horizontal="right" vertical="center"/>
    </xf>
    <xf numFmtId="176" fontId="8" fillId="4" borderId="8" xfId="2" applyNumberFormat="1" applyFont="1" applyFill="1" applyBorder="1" applyAlignment="1">
      <alignment horizontal="right" vertical="center" shrinkToFit="1"/>
    </xf>
    <xf numFmtId="0" fontId="8" fillId="4" borderId="0" xfId="2" applyFont="1" applyFill="1" applyBorder="1" applyAlignment="1">
      <alignment vertical="center" shrinkToFit="1"/>
    </xf>
    <xf numFmtId="41" fontId="8" fillId="4" borderId="8" xfId="1" applyFont="1" applyFill="1" applyBorder="1" applyAlignment="1">
      <alignment horizontal="right" vertical="center"/>
    </xf>
    <xf numFmtId="176" fontId="8" fillId="4" borderId="8" xfId="2" applyNumberFormat="1" applyFont="1" applyFill="1" applyBorder="1" applyAlignment="1">
      <alignment horizontal="right" vertical="center"/>
    </xf>
    <xf numFmtId="176" fontId="9" fillId="4" borderId="7" xfId="1" applyNumberFormat="1" applyFont="1" applyFill="1" applyBorder="1" applyAlignment="1">
      <alignment horizontal="right" vertical="center"/>
    </xf>
    <xf numFmtId="41" fontId="8" fillId="0" borderId="6" xfId="1" applyFont="1" applyFill="1" applyBorder="1" applyAlignment="1">
      <alignment horizontal="right" vertical="center"/>
    </xf>
    <xf numFmtId="0" fontId="0" fillId="0" borderId="8" xfId="0" applyBorder="1">
      <alignment vertical="center"/>
    </xf>
    <xf numFmtId="41" fontId="8" fillId="4" borderId="6" xfId="1" applyNumberFormat="1" applyFont="1" applyFill="1" applyBorder="1" applyAlignment="1">
      <alignment horizontal="right" vertical="center"/>
    </xf>
    <xf numFmtId="0" fontId="9" fillId="4" borderId="9" xfId="2" applyFont="1" applyFill="1" applyBorder="1" applyAlignment="1">
      <alignment horizontal="center" vertical="center" shrinkToFit="1"/>
    </xf>
    <xf numFmtId="0" fontId="9" fillId="4" borderId="10" xfId="2" applyFont="1" applyFill="1" applyBorder="1" applyAlignment="1">
      <alignment vertical="center" shrinkToFit="1"/>
    </xf>
    <xf numFmtId="41" fontId="9" fillId="4" borderId="11" xfId="1" applyFont="1" applyFill="1" applyBorder="1" applyAlignment="1">
      <alignment horizontal="right" vertical="center"/>
    </xf>
    <xf numFmtId="176" fontId="9" fillId="4" borderId="12" xfId="1" applyNumberFormat="1" applyFont="1" applyFill="1" applyBorder="1" applyAlignment="1">
      <alignment horizontal="right" vertical="center"/>
    </xf>
    <xf numFmtId="176" fontId="9" fillId="4" borderId="11" xfId="2" applyNumberFormat="1" applyFont="1" applyFill="1" applyBorder="1" applyAlignment="1">
      <alignment horizontal="right" vertical="center"/>
    </xf>
    <xf numFmtId="176" fontId="9" fillId="4" borderId="12" xfId="3" applyNumberFormat="1" applyFont="1" applyFill="1" applyBorder="1" applyAlignment="1">
      <alignment horizontal="right" vertical="center"/>
    </xf>
    <xf numFmtId="49" fontId="8" fillId="4" borderId="0" xfId="2" applyNumberFormat="1" applyFont="1" applyFill="1" applyBorder="1" applyAlignment="1">
      <alignment horizontal="distributed" vertical="center" shrinkToFit="1"/>
    </xf>
    <xf numFmtId="1" fontId="9" fillId="3" borderId="3" xfId="2" applyNumberFormat="1" applyFont="1" applyFill="1" applyBorder="1" applyAlignment="1">
      <alignment horizontal="center" vertical="center" shrinkToFit="1"/>
    </xf>
    <xf numFmtId="0" fontId="0" fillId="0" borderId="0" xfId="0" applyBorder="1">
      <alignment vertical="center"/>
    </xf>
    <xf numFmtId="41" fontId="0" fillId="0" borderId="0" xfId="0" applyNumberFormat="1">
      <alignment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3" fillId="0" borderId="0" xfId="2"/>
    <xf numFmtId="0" fontId="14" fillId="0" borderId="0" xfId="2" applyFont="1"/>
    <xf numFmtId="0" fontId="14" fillId="0" borderId="0" xfId="2" applyFont="1" applyAlignment="1">
      <alignment horizontal="center"/>
    </xf>
    <xf numFmtId="0" fontId="14" fillId="0" borderId="0" xfId="2" applyFont="1" applyAlignment="1">
      <alignment vertical="center" shrinkToFit="1"/>
    </xf>
    <xf numFmtId="178" fontId="3" fillId="0" borderId="0" xfId="2" applyNumberFormat="1"/>
    <xf numFmtId="179" fontId="14" fillId="0" borderId="0" xfId="2" applyNumberFormat="1" applyFont="1" applyAlignment="1">
      <alignment vertical="center" shrinkToFit="1"/>
    </xf>
    <xf numFmtId="41" fontId="6" fillId="0" borderId="0" xfId="3" applyFont="1" applyFill="1" applyBorder="1" applyAlignment="1">
      <alignment vertical="center" shrinkToFit="1"/>
    </xf>
    <xf numFmtId="0" fontId="6" fillId="0" borderId="0" xfId="2" applyFont="1" applyFill="1" applyAlignment="1">
      <alignment vertical="center" shrinkToFit="1"/>
    </xf>
    <xf numFmtId="38" fontId="6" fillId="0" borderId="0" xfId="2" applyNumberFormat="1" applyFont="1" applyFill="1" applyAlignment="1">
      <alignment vertical="center" shrinkToFit="1"/>
    </xf>
    <xf numFmtId="3" fontId="14" fillId="0" borderId="0" xfId="2" applyNumberFormat="1" applyFont="1" applyFill="1" applyAlignment="1">
      <alignment vertical="center" shrinkToFit="1"/>
    </xf>
    <xf numFmtId="0" fontId="14" fillId="0" borderId="0" xfId="2" applyFont="1" applyFill="1" applyAlignment="1">
      <alignment horizontal="center" vertical="center" shrinkToFit="1"/>
    </xf>
    <xf numFmtId="0" fontId="14" fillId="0" borderId="0" xfId="2" applyFont="1" applyFill="1" applyAlignment="1">
      <alignment vertical="center" shrinkToFit="1"/>
    </xf>
    <xf numFmtId="0" fontId="14" fillId="0" borderId="0" xfId="2" applyFont="1" applyFill="1" applyAlignment="1">
      <alignment horizontal="right" vertical="center" shrinkToFit="1"/>
    </xf>
    <xf numFmtId="178" fontId="0" fillId="0" borderId="0" xfId="0" applyNumberFormat="1">
      <alignment vertical="center"/>
    </xf>
    <xf numFmtId="178" fontId="15" fillId="0" borderId="0" xfId="0" applyNumberFormat="1" applyFont="1">
      <alignment vertical="center"/>
    </xf>
    <xf numFmtId="178" fontId="9" fillId="4" borderId="14" xfId="3" applyNumberFormat="1" applyFont="1" applyFill="1" applyBorder="1" applyAlignment="1">
      <alignment horizontal="right" vertical="center"/>
    </xf>
    <xf numFmtId="178" fontId="9" fillId="4" borderId="11" xfId="2" applyNumberFormat="1" applyFont="1" applyFill="1" applyBorder="1" applyAlignment="1">
      <alignment horizontal="right" vertical="center"/>
    </xf>
    <xf numFmtId="1" fontId="9" fillId="4" borderId="10" xfId="2" applyNumberFormat="1" applyFont="1" applyFill="1" applyBorder="1" applyAlignment="1">
      <alignment horizontal="center" vertical="center" shrinkToFit="1"/>
    </xf>
    <xf numFmtId="1" fontId="9" fillId="4" borderId="9" xfId="2" applyNumberFormat="1" applyFont="1" applyFill="1" applyBorder="1" applyAlignment="1">
      <alignment horizontal="right" vertical="center" shrinkToFit="1"/>
    </xf>
    <xf numFmtId="178" fontId="9" fillId="4" borderId="15" xfId="3" applyNumberFormat="1" applyFont="1" applyFill="1" applyBorder="1" applyAlignment="1">
      <alignment horizontal="right" vertical="center"/>
    </xf>
    <xf numFmtId="178" fontId="9" fillId="4" borderId="6" xfId="2" applyNumberFormat="1" applyFont="1" applyFill="1" applyBorder="1" applyAlignment="1">
      <alignment horizontal="right" vertical="center"/>
    </xf>
    <xf numFmtId="1" fontId="9" fillId="4" borderId="0" xfId="2" applyNumberFormat="1" applyFont="1" applyFill="1" applyBorder="1" applyAlignment="1">
      <alignment horizontal="center" vertical="center" shrinkToFit="1"/>
    </xf>
    <xf numFmtId="1" fontId="9" fillId="4" borderId="5" xfId="2" applyNumberFormat="1" applyFont="1" applyFill="1" applyBorder="1" applyAlignment="1">
      <alignment horizontal="right" vertical="center" shrinkToFit="1"/>
    </xf>
    <xf numFmtId="178" fontId="16" fillId="4" borderId="7" xfId="3" applyNumberFormat="1" applyFont="1" applyFill="1" applyBorder="1" applyAlignment="1">
      <alignment horizontal="right" vertical="center"/>
    </xf>
    <xf numFmtId="178" fontId="16" fillId="4" borderId="6" xfId="3" applyNumberFormat="1" applyFont="1" applyFill="1" applyBorder="1" applyAlignment="1">
      <alignment horizontal="right" vertical="center"/>
    </xf>
    <xf numFmtId="49" fontId="8" fillId="4" borderId="0" xfId="2" applyNumberFormat="1" applyFont="1" applyFill="1" applyBorder="1" applyAlignment="1">
      <alignment horizontal="distributed" vertical="distributed" shrinkToFit="1"/>
    </xf>
    <xf numFmtId="0" fontId="8" fillId="4" borderId="0" xfId="0" applyFont="1" applyFill="1" applyBorder="1">
      <alignment vertical="center"/>
    </xf>
    <xf numFmtId="49" fontId="8" fillId="4" borderId="5" xfId="2" applyNumberFormat="1" applyFont="1" applyFill="1" applyBorder="1" applyAlignment="1">
      <alignment vertical="center" shrinkToFit="1"/>
    </xf>
    <xf numFmtId="178" fontId="16" fillId="4" borderId="7" xfId="3" applyNumberFormat="1" applyFont="1" applyFill="1" applyBorder="1" applyAlignment="1">
      <alignment horizontal="right" vertical="center" shrinkToFit="1"/>
    </xf>
    <xf numFmtId="178" fontId="16" fillId="4" borderId="6" xfId="2" applyNumberFormat="1" applyFont="1" applyFill="1" applyBorder="1" applyAlignment="1">
      <alignment horizontal="right" vertical="center"/>
    </xf>
    <xf numFmtId="0" fontId="8" fillId="4" borderId="5" xfId="2" applyFont="1" applyFill="1" applyBorder="1" applyAlignment="1">
      <alignment horizontal="right" vertical="center" shrinkToFit="1"/>
    </xf>
    <xf numFmtId="178" fontId="8" fillId="4" borderId="7" xfId="3" applyNumberFormat="1" applyFont="1" applyFill="1" applyBorder="1" applyAlignment="1">
      <alignment horizontal="right" vertical="center" shrinkToFit="1"/>
    </xf>
    <xf numFmtId="178" fontId="8" fillId="4" borderId="6" xfId="3" applyNumberFormat="1" applyFont="1" applyFill="1" applyBorder="1" applyAlignment="1">
      <alignment horizontal="right" vertical="center"/>
    </xf>
    <xf numFmtId="178" fontId="8" fillId="4" borderId="5" xfId="2" applyNumberFormat="1" applyFont="1" applyFill="1" applyBorder="1" applyAlignment="1">
      <alignment horizontal="right" vertical="center"/>
    </xf>
    <xf numFmtId="178" fontId="8" fillId="4" borderId="7" xfId="3" applyNumberFormat="1" applyFont="1" applyFill="1" applyBorder="1" applyAlignment="1">
      <alignment horizontal="right" vertical="center"/>
    </xf>
    <xf numFmtId="178" fontId="8" fillId="4" borderId="5" xfId="3" applyNumberFormat="1" applyFont="1" applyFill="1" applyBorder="1" applyAlignment="1">
      <alignment horizontal="right" vertical="center"/>
    </xf>
    <xf numFmtId="178" fontId="8" fillId="4" borderId="6" xfId="2" applyNumberFormat="1" applyFont="1" applyFill="1" applyBorder="1" applyAlignment="1">
      <alignment horizontal="right" vertical="center"/>
    </xf>
    <xf numFmtId="1" fontId="8" fillId="4" borderId="0" xfId="2" applyNumberFormat="1" applyFont="1" applyFill="1" applyBorder="1" applyAlignment="1">
      <alignment horizontal="center" vertical="center" shrinkToFit="1"/>
    </xf>
    <xf numFmtId="178" fontId="8" fillId="4" borderId="8" xfId="2" applyNumberFormat="1" applyFont="1" applyFill="1" applyBorder="1" applyAlignment="1">
      <alignment horizontal="right" vertical="center" shrinkToFit="1"/>
    </xf>
    <xf numFmtId="178" fontId="8" fillId="4" borderId="6" xfId="1" applyNumberFormat="1" applyFont="1" applyFill="1" applyBorder="1" applyAlignment="1">
      <alignment horizontal="right" vertical="center"/>
    </xf>
    <xf numFmtId="178" fontId="8" fillId="4" borderId="8" xfId="2" applyNumberFormat="1" applyFont="1" applyFill="1" applyBorder="1" applyAlignment="1">
      <alignment horizontal="right" vertical="center"/>
    </xf>
    <xf numFmtId="178" fontId="16" fillId="4" borderId="8" xfId="2" applyNumberFormat="1" applyFont="1" applyFill="1" applyBorder="1" applyAlignment="1">
      <alignment horizontal="right" vertical="center"/>
    </xf>
    <xf numFmtId="178" fontId="16" fillId="0" borderId="8" xfId="2" applyNumberFormat="1" applyFont="1" applyFill="1" applyBorder="1" applyAlignment="1">
      <alignment horizontal="right" vertical="center"/>
    </xf>
    <xf numFmtId="49" fontId="8" fillId="0" borderId="0" xfId="2" applyNumberFormat="1" applyFont="1" applyFill="1" applyBorder="1" applyAlignment="1">
      <alignment horizontal="distributed" vertical="distributed" shrinkToFit="1"/>
    </xf>
    <xf numFmtId="178" fontId="16" fillId="4" borderId="7" xfId="2" applyNumberFormat="1" applyFont="1" applyFill="1" applyBorder="1" applyAlignment="1">
      <alignment horizontal="right" vertical="center"/>
    </xf>
    <xf numFmtId="49" fontId="8" fillId="4" borderId="5" xfId="2" applyNumberFormat="1" applyFont="1" applyFill="1" applyBorder="1" applyAlignment="1">
      <alignment horizontal="right" vertical="center" shrinkToFit="1"/>
    </xf>
    <xf numFmtId="178" fontId="8" fillId="4" borderId="7" xfId="2" applyNumberFormat="1" applyFont="1" applyFill="1" applyBorder="1" applyAlignment="1">
      <alignment horizontal="right" vertical="center"/>
    </xf>
    <xf numFmtId="49" fontId="10" fillId="4" borderId="0" xfId="2" applyNumberFormat="1" applyFont="1" applyFill="1" applyBorder="1" applyAlignment="1">
      <alignment horizontal="distributed" vertical="center" shrinkToFit="1"/>
    </xf>
    <xf numFmtId="49" fontId="8" fillId="4" borderId="0" xfId="2" applyNumberFormat="1" applyFont="1" applyFill="1" applyBorder="1" applyAlignment="1">
      <alignment vertical="center" shrinkToFit="1"/>
    </xf>
    <xf numFmtId="178" fontId="16" fillId="4" borderId="6" xfId="1" applyNumberFormat="1" applyFont="1" applyFill="1" applyBorder="1" applyAlignment="1">
      <alignment horizontal="right" vertical="center"/>
    </xf>
    <xf numFmtId="180" fontId="8" fillId="4" borderId="0" xfId="3" applyNumberFormat="1" applyFont="1" applyFill="1" applyBorder="1" applyAlignment="1">
      <alignment horizontal="right" vertical="center"/>
    </xf>
    <xf numFmtId="178" fontId="8" fillId="4" borderId="7" xfId="1" applyNumberFormat="1" applyFont="1" applyFill="1" applyBorder="1" applyAlignment="1">
      <alignment horizontal="right" vertical="center"/>
    </xf>
    <xf numFmtId="179" fontId="8" fillId="4" borderId="0" xfId="2" applyNumberFormat="1" applyFont="1" applyFill="1" applyBorder="1" applyAlignment="1">
      <alignment horizontal="right" vertical="center"/>
    </xf>
    <xf numFmtId="180" fontId="16" fillId="4" borderId="0" xfId="3" applyNumberFormat="1" applyFont="1" applyFill="1" applyBorder="1" applyAlignment="1">
      <alignment horizontal="right" vertical="center"/>
    </xf>
    <xf numFmtId="49" fontId="8" fillId="4" borderId="0" xfId="2" applyNumberFormat="1" applyFont="1" applyFill="1" applyBorder="1" applyAlignment="1">
      <alignment horizontal="right" vertical="center" shrinkToFit="1"/>
    </xf>
    <xf numFmtId="180" fontId="16" fillId="4" borderId="8" xfId="3" applyNumberFormat="1" applyFont="1" applyFill="1" applyBorder="1" applyAlignment="1">
      <alignment horizontal="right" vertical="center"/>
    </xf>
    <xf numFmtId="178" fontId="8" fillId="4" borderId="8" xfId="3" applyNumberFormat="1" applyFont="1" applyFill="1" applyBorder="1" applyAlignment="1">
      <alignment horizontal="right" vertical="center"/>
    </xf>
    <xf numFmtId="178" fontId="16" fillId="4" borderId="8" xfId="2" applyNumberFormat="1" applyFont="1" applyFill="1" applyBorder="1" applyAlignment="1">
      <alignment horizontal="right" vertical="center" shrinkToFit="1"/>
    </xf>
    <xf numFmtId="1" fontId="8" fillId="3" borderId="2" xfId="2" applyNumberFormat="1" applyFont="1" applyFill="1" applyBorder="1" applyAlignment="1">
      <alignment horizontal="right" vertical="center" shrinkToFit="1"/>
    </xf>
    <xf numFmtId="41" fontId="7" fillId="0" borderId="10" xfId="3" applyFont="1" applyBorder="1" applyAlignment="1">
      <alignment horizontal="right" vertical="center" shrinkToFit="1"/>
    </xf>
    <xf numFmtId="38" fontId="7" fillId="0" borderId="10" xfId="2" applyNumberFormat="1" applyFont="1" applyBorder="1" applyAlignment="1">
      <alignment vertical="center" shrinkToFit="1"/>
    </xf>
    <xf numFmtId="0" fontId="7" fillId="0" borderId="10" xfId="2" applyFont="1" applyBorder="1" applyAlignment="1">
      <alignment vertical="center" shrinkToFit="1"/>
    </xf>
    <xf numFmtId="0" fontId="18" fillId="0" borderId="0" xfId="0" applyFont="1">
      <alignment vertical="center"/>
    </xf>
    <xf numFmtId="41" fontId="0" fillId="0" borderId="0" xfId="1" applyFont="1">
      <alignment vertical="center"/>
    </xf>
    <xf numFmtId="178" fontId="19" fillId="0" borderId="12" xfId="0" applyNumberFormat="1" applyFont="1" applyBorder="1">
      <alignment vertical="center"/>
    </xf>
    <xf numFmtId="178" fontId="8" fillId="4" borderId="9" xfId="2" applyNumberFormat="1" applyFont="1" applyFill="1" applyBorder="1" applyAlignment="1">
      <alignment horizontal="right" vertical="center"/>
    </xf>
    <xf numFmtId="1" fontId="8" fillId="4" borderId="10" xfId="2" applyNumberFormat="1" applyFont="1" applyFill="1" applyBorder="1" applyAlignment="1">
      <alignment vertical="center" shrinkToFit="1"/>
    </xf>
    <xf numFmtId="49" fontId="8" fillId="4" borderId="9" xfId="2" applyNumberFormat="1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right" vertical="center"/>
    </xf>
    <xf numFmtId="41" fontId="8" fillId="4" borderId="11" xfId="1" applyFont="1" applyFill="1" applyBorder="1" applyAlignment="1">
      <alignment horizontal="right" vertical="center"/>
    </xf>
    <xf numFmtId="41" fontId="8" fillId="4" borderId="9" xfId="1" applyFont="1" applyFill="1" applyBorder="1" applyAlignment="1">
      <alignment horizontal="right" vertical="center"/>
    </xf>
    <xf numFmtId="41" fontId="8" fillId="4" borderId="5" xfId="1" applyFont="1" applyFill="1" applyBorder="1" applyAlignment="1">
      <alignment horizontal="right" vertical="center"/>
    </xf>
    <xf numFmtId="41" fontId="9" fillId="4" borderId="5" xfId="1" applyFont="1" applyFill="1" applyBorder="1" applyAlignment="1">
      <alignment horizontal="right" vertical="center"/>
    </xf>
    <xf numFmtId="41" fontId="9" fillId="4" borderId="17" xfId="1" applyFont="1" applyFill="1" applyBorder="1" applyAlignment="1">
      <alignment horizontal="right" vertical="center"/>
    </xf>
    <xf numFmtId="41" fontId="9" fillId="4" borderId="18" xfId="1" applyFont="1" applyFill="1" applyBorder="1" applyAlignment="1">
      <alignment horizontal="right" vertical="center"/>
    </xf>
    <xf numFmtId="0" fontId="9" fillId="4" borderId="19" xfId="2" applyFont="1" applyFill="1" applyBorder="1" applyAlignment="1">
      <alignment vertical="center" shrinkToFit="1"/>
    </xf>
    <xf numFmtId="0" fontId="9" fillId="4" borderId="18" xfId="2" applyFont="1" applyFill="1" applyBorder="1" applyAlignment="1">
      <alignment horizontal="center" vertical="center" shrinkToFit="1"/>
    </xf>
    <xf numFmtId="1" fontId="9" fillId="3" borderId="19" xfId="2" applyNumberFormat="1" applyFont="1" applyFill="1" applyBorder="1" applyAlignment="1">
      <alignment horizontal="center" vertical="center" shrinkToFit="1"/>
    </xf>
    <xf numFmtId="1" fontId="8" fillId="3" borderId="18" xfId="2" applyNumberFormat="1" applyFont="1" applyFill="1" applyBorder="1" applyAlignment="1">
      <alignment horizontal="center" vertical="center" shrinkToFit="1"/>
    </xf>
    <xf numFmtId="1" fontId="5" fillId="0" borderId="0" xfId="2" applyNumberFormat="1" applyFont="1" applyBorder="1" applyAlignment="1">
      <alignment vertical="center" shrinkToFit="1"/>
    </xf>
    <xf numFmtId="49" fontId="8" fillId="4" borderId="21" xfId="2" applyNumberFormat="1" applyFont="1" applyFill="1" applyBorder="1" applyAlignment="1">
      <alignment horizontal="center" vertical="center" shrinkToFit="1"/>
    </xf>
    <xf numFmtId="1" fontId="8" fillId="4" borderId="22" xfId="2" applyNumberFormat="1" applyFont="1" applyFill="1" applyBorder="1" applyAlignment="1">
      <alignment vertical="center" shrinkToFit="1"/>
    </xf>
    <xf numFmtId="178" fontId="8" fillId="4" borderId="21" xfId="2" applyNumberFormat="1" applyFont="1" applyFill="1" applyBorder="1" applyAlignment="1">
      <alignment horizontal="right" vertical="center"/>
    </xf>
    <xf numFmtId="41" fontId="19" fillId="0" borderId="23" xfId="1" applyFont="1" applyBorder="1">
      <alignment vertical="center"/>
    </xf>
    <xf numFmtId="178" fontId="8" fillId="4" borderId="13" xfId="2" applyNumberFormat="1" applyFont="1" applyFill="1" applyBorder="1" applyAlignment="1">
      <alignment horizontal="right" vertical="center"/>
    </xf>
    <xf numFmtId="176" fontId="8" fillId="0" borderId="6" xfId="1" applyNumberFormat="1" applyFont="1" applyFill="1" applyBorder="1" applyAlignment="1">
      <alignment horizontal="right" vertical="center"/>
    </xf>
    <xf numFmtId="41" fontId="20" fillId="0" borderId="0" xfId="1" applyFont="1">
      <alignment vertical="center"/>
    </xf>
    <xf numFmtId="41" fontId="13" fillId="0" borderId="0" xfId="0" applyNumberFormat="1" applyFont="1">
      <alignment vertical="center"/>
    </xf>
    <xf numFmtId="1" fontId="9" fillId="3" borderId="19" xfId="2" applyNumberFormat="1" applyFont="1" applyFill="1" applyBorder="1" applyAlignment="1">
      <alignment horizontal="center" vertical="center" shrinkToFit="1"/>
    </xf>
    <xf numFmtId="49" fontId="8" fillId="4" borderId="0" xfId="2" applyNumberFormat="1" applyFont="1" applyFill="1" applyBorder="1" applyAlignment="1">
      <alignment horizontal="distributed" vertical="center" shrinkToFit="1"/>
    </xf>
    <xf numFmtId="0" fontId="0" fillId="2" borderId="0" xfId="0" applyFont="1" applyFill="1" applyBorder="1" applyAlignment="1">
      <alignment horizontal="center" vertical="center"/>
    </xf>
    <xf numFmtId="41" fontId="0" fillId="0" borderId="0" xfId="1" applyFont="1" applyBorder="1">
      <alignment vertical="center"/>
    </xf>
    <xf numFmtId="41" fontId="8" fillId="0" borderId="5" xfId="1" applyFont="1" applyFill="1" applyBorder="1" applyAlignment="1">
      <alignment horizontal="right" vertical="center"/>
    </xf>
    <xf numFmtId="176" fontId="8" fillId="4" borderId="5" xfId="1" applyNumberFormat="1" applyFont="1" applyFill="1" applyBorder="1" applyAlignment="1">
      <alignment horizontal="right" vertical="center"/>
    </xf>
    <xf numFmtId="49" fontId="8" fillId="0" borderId="0" xfId="2" applyNumberFormat="1" applyFont="1" applyFill="1" applyBorder="1" applyAlignment="1">
      <alignment horizontal="distributed" vertical="center" shrinkToFit="1"/>
    </xf>
    <xf numFmtId="49" fontId="8" fillId="4" borderId="5" xfId="2" applyNumberFormat="1" applyFont="1" applyFill="1" applyBorder="1" applyAlignment="1">
      <alignment horizontal="right" vertical="center" shrinkToFit="1"/>
    </xf>
    <xf numFmtId="49" fontId="8" fillId="4" borderId="0" xfId="2" applyNumberFormat="1" applyFont="1" applyFill="1" applyBorder="1" applyAlignment="1">
      <alignment horizontal="right" vertical="center" shrinkToFit="1"/>
    </xf>
    <xf numFmtId="49" fontId="8" fillId="4" borderId="0" xfId="2" applyNumberFormat="1" applyFont="1" applyFill="1" applyBorder="1" applyAlignment="1">
      <alignment horizontal="distributed" vertical="center" shrinkToFit="1"/>
    </xf>
    <xf numFmtId="49" fontId="7" fillId="4" borderId="5" xfId="2" applyNumberFormat="1" applyFont="1" applyFill="1" applyBorder="1" applyAlignment="1">
      <alignment horizontal="center" vertical="center" shrinkToFit="1"/>
    </xf>
    <xf numFmtId="49" fontId="7" fillId="4" borderId="0" xfId="2" applyNumberFormat="1" applyFont="1" applyFill="1" applyBorder="1" applyAlignment="1">
      <alignment horizontal="center" vertical="center" shrinkToFit="1"/>
    </xf>
    <xf numFmtId="49" fontId="7" fillId="4" borderId="0" xfId="2" applyNumberFormat="1" applyFont="1" applyFill="1" applyBorder="1" applyAlignment="1">
      <alignment horizontal="distributed" vertical="center" shrinkToFit="1"/>
    </xf>
    <xf numFmtId="1" fontId="7" fillId="4" borderId="0" xfId="2" applyNumberFormat="1" applyFont="1" applyFill="1" applyBorder="1" applyAlignment="1">
      <alignment vertical="center" shrinkToFit="1"/>
    </xf>
    <xf numFmtId="41" fontId="7" fillId="4" borderId="6" xfId="1" applyFont="1" applyFill="1" applyBorder="1" applyAlignment="1">
      <alignment horizontal="right" vertical="center"/>
    </xf>
    <xf numFmtId="41" fontId="7" fillId="4" borderId="7" xfId="1" applyFont="1" applyFill="1" applyBorder="1" applyAlignment="1">
      <alignment horizontal="right" vertical="center"/>
    </xf>
    <xf numFmtId="176" fontId="7" fillId="4" borderId="6" xfId="1" applyNumberFormat="1" applyFont="1" applyFill="1" applyBorder="1" applyAlignment="1">
      <alignment horizontal="right" vertical="center"/>
    </xf>
    <xf numFmtId="176" fontId="7" fillId="4" borderId="7" xfId="3" applyNumberFormat="1" applyFont="1" applyFill="1" applyBorder="1" applyAlignment="1">
      <alignment horizontal="right" vertical="center"/>
    </xf>
    <xf numFmtId="0" fontId="11" fillId="0" borderId="0" xfId="0" applyFont="1">
      <alignment vertical="center"/>
    </xf>
    <xf numFmtId="0" fontId="22" fillId="0" borderId="0" xfId="0" applyFont="1" applyAlignment="1">
      <alignment horizontal="left" wrapText="1"/>
    </xf>
    <xf numFmtId="0" fontId="23" fillId="0" borderId="0" xfId="0" applyFont="1">
      <alignment vertical="center"/>
    </xf>
    <xf numFmtId="0" fontId="22" fillId="0" borderId="0" xfId="0" applyFont="1" applyAlignment="1">
      <alignment horizontal="right" wrapText="1"/>
    </xf>
    <xf numFmtId="0" fontId="24" fillId="3" borderId="24" xfId="0" applyFont="1" applyFill="1" applyBorder="1" applyAlignment="1">
      <alignment horizontal="center" vertical="center" wrapText="1"/>
    </xf>
    <xf numFmtId="0" fontId="24" fillId="3" borderId="25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25" fillId="0" borderId="27" xfId="0" applyFont="1" applyBorder="1" applyAlignment="1">
      <alignment horizontal="left" vertical="center" wrapText="1"/>
    </xf>
    <xf numFmtId="176" fontId="25" fillId="0" borderId="28" xfId="0" applyNumberFormat="1" applyFont="1" applyBorder="1" applyAlignment="1">
      <alignment horizontal="right" vertical="center" wrapText="1"/>
    </xf>
    <xf numFmtId="176" fontId="25" fillId="0" borderId="29" xfId="0" applyNumberFormat="1" applyFont="1" applyBorder="1" applyAlignment="1">
      <alignment horizontal="right" vertical="center" wrapText="1"/>
    </xf>
    <xf numFmtId="0" fontId="24" fillId="3" borderId="30" xfId="0" applyFont="1" applyFill="1" applyBorder="1" applyAlignment="1">
      <alignment horizontal="left" vertical="center" wrapText="1"/>
    </xf>
    <xf numFmtId="176" fontId="24" fillId="3" borderId="31" xfId="0" applyNumberFormat="1" applyFont="1" applyFill="1" applyBorder="1" applyAlignment="1">
      <alignment horizontal="right" vertical="center" wrapText="1"/>
    </xf>
    <xf numFmtId="0" fontId="24" fillId="3" borderId="32" xfId="0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0" fontId="24" fillId="0" borderId="35" xfId="0" applyFont="1" applyBorder="1" applyAlignment="1">
      <alignment horizontal="left" vertical="top" wrapText="1"/>
    </xf>
    <xf numFmtId="176" fontId="24" fillId="0" borderId="28" xfId="0" applyNumberFormat="1" applyFont="1" applyBorder="1" applyAlignment="1">
      <alignment horizontal="right" vertical="top" wrapText="1"/>
    </xf>
    <xf numFmtId="0" fontId="19" fillId="0" borderId="0" xfId="0" applyFont="1">
      <alignment vertical="center"/>
    </xf>
    <xf numFmtId="0" fontId="25" fillId="0" borderId="35" xfId="0" applyFont="1" applyBorder="1" applyAlignment="1">
      <alignment horizontal="left" vertical="top" wrapText="1" indent="1"/>
    </xf>
    <xf numFmtId="176" fontId="25" fillId="0" borderId="28" xfId="0" applyNumberFormat="1" applyFont="1" applyBorder="1" applyAlignment="1">
      <alignment horizontal="right" vertical="top" wrapText="1"/>
    </xf>
    <xf numFmtId="0" fontId="25" fillId="0" borderId="35" xfId="0" applyFont="1" applyBorder="1" applyAlignment="1">
      <alignment horizontal="left" vertical="top" wrapText="1" indent="2"/>
    </xf>
    <xf numFmtId="0" fontId="24" fillId="0" borderId="36" xfId="0" applyFont="1" applyBorder="1" applyAlignment="1">
      <alignment horizontal="left" vertical="top" wrapText="1"/>
    </xf>
    <xf numFmtId="176" fontId="24" fillId="0" borderId="37" xfId="0" applyNumberFormat="1" applyFont="1" applyBorder="1" applyAlignment="1">
      <alignment horizontal="right" vertical="top" wrapText="1"/>
    </xf>
    <xf numFmtId="0" fontId="23" fillId="0" borderId="0" xfId="0" applyFont="1" applyAlignment="1">
      <alignment horizontal="right" vertical="center"/>
    </xf>
    <xf numFmtId="0" fontId="19" fillId="3" borderId="3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41" fontId="17" fillId="0" borderId="0" xfId="1" applyFont="1">
      <alignment vertical="center"/>
    </xf>
    <xf numFmtId="41" fontId="19" fillId="0" borderId="0" xfId="1" applyFont="1">
      <alignment vertical="center"/>
    </xf>
    <xf numFmtId="0" fontId="24" fillId="0" borderId="35" xfId="0" applyFont="1" applyBorder="1" applyAlignment="1">
      <alignment horizontal="left" vertical="top" wrapText="1" indent="2"/>
    </xf>
    <xf numFmtId="0" fontId="25" fillId="0" borderId="35" xfId="0" applyFont="1" applyBorder="1" applyAlignment="1">
      <alignment horizontal="left" vertical="top" wrapText="1"/>
    </xf>
    <xf numFmtId="41" fontId="17" fillId="0" borderId="5" xfId="1" applyFont="1" applyBorder="1">
      <alignment vertical="center"/>
    </xf>
    <xf numFmtId="41" fontId="17" fillId="0" borderId="0" xfId="1" applyFont="1" applyBorder="1">
      <alignment vertical="center"/>
    </xf>
    <xf numFmtId="41" fontId="17" fillId="0" borderId="8" xfId="1" applyFont="1" applyBorder="1">
      <alignment vertical="center"/>
    </xf>
    <xf numFmtId="41" fontId="17" fillId="0" borderId="18" xfId="1" applyFont="1" applyBorder="1">
      <alignment vertical="center"/>
    </xf>
    <xf numFmtId="41" fontId="17" fillId="0" borderId="19" xfId="1" applyFont="1" applyBorder="1">
      <alignment vertical="center"/>
    </xf>
    <xf numFmtId="41" fontId="17" fillId="0" borderId="20" xfId="1" applyFont="1" applyBorder="1">
      <alignment vertical="center"/>
    </xf>
    <xf numFmtId="0" fontId="12" fillId="0" borderId="0" xfId="0" applyFont="1">
      <alignment vertical="center"/>
    </xf>
    <xf numFmtId="178" fontId="8" fillId="5" borderId="6" xfId="3" applyNumberFormat="1" applyFont="1" applyFill="1" applyBorder="1" applyAlignment="1">
      <alignment horizontal="right" vertical="center"/>
    </xf>
    <xf numFmtId="178" fontId="8" fillId="5" borderId="6" xfId="2" applyNumberFormat="1" applyFont="1" applyFill="1" applyBorder="1" applyAlignment="1">
      <alignment horizontal="right" vertical="center"/>
    </xf>
    <xf numFmtId="178" fontId="8" fillId="5" borderId="6" xfId="1" applyNumberFormat="1" applyFont="1" applyFill="1" applyBorder="1" applyAlignment="1">
      <alignment horizontal="right" vertical="center"/>
    </xf>
    <xf numFmtId="178" fontId="16" fillId="5" borderId="6" xfId="3" applyNumberFormat="1" applyFont="1" applyFill="1" applyBorder="1" applyAlignment="1">
      <alignment horizontal="right" vertical="center"/>
    </xf>
    <xf numFmtId="41" fontId="8" fillId="5" borderId="6" xfId="1" applyFont="1" applyFill="1" applyBorder="1" applyAlignment="1">
      <alignment horizontal="right" vertical="center"/>
    </xf>
    <xf numFmtId="178" fontId="16" fillId="5" borderId="6" xfId="1" applyNumberFormat="1" applyFont="1" applyFill="1" applyBorder="1" applyAlignment="1">
      <alignment horizontal="right" vertical="center"/>
    </xf>
    <xf numFmtId="178" fontId="16" fillId="5" borderId="6" xfId="2" applyNumberFormat="1" applyFont="1" applyFill="1" applyBorder="1" applyAlignment="1">
      <alignment horizontal="right" vertical="center"/>
    </xf>
    <xf numFmtId="178" fontId="9" fillId="5" borderId="6" xfId="2" applyNumberFormat="1" applyFont="1" applyFill="1" applyBorder="1" applyAlignment="1">
      <alignment horizontal="right" vertical="center"/>
    </xf>
    <xf numFmtId="178" fontId="17" fillId="5" borderId="6" xfId="3" applyNumberFormat="1" applyFont="1" applyFill="1" applyBorder="1" applyAlignment="1">
      <alignment horizontal="right" vertical="center"/>
    </xf>
    <xf numFmtId="178" fontId="8" fillId="5" borderId="5" xfId="3" applyNumberFormat="1" applyFont="1" applyFill="1" applyBorder="1" applyAlignment="1">
      <alignment horizontal="right" vertical="center"/>
    </xf>
    <xf numFmtId="178" fontId="8" fillId="5" borderId="5" xfId="2" applyNumberFormat="1" applyFont="1" applyFill="1" applyBorder="1" applyAlignment="1">
      <alignment horizontal="right" vertical="center"/>
    </xf>
    <xf numFmtId="178" fontId="9" fillId="5" borderId="11" xfId="2" applyNumberFormat="1" applyFont="1" applyFill="1" applyBorder="1" applyAlignment="1">
      <alignment horizontal="right" vertical="center"/>
    </xf>
    <xf numFmtId="176" fontId="8" fillId="5" borderId="6" xfId="1" applyNumberFormat="1" applyFont="1" applyFill="1" applyBorder="1" applyAlignment="1">
      <alignment horizontal="right" vertical="center"/>
    </xf>
    <xf numFmtId="41" fontId="19" fillId="0" borderId="5" xfId="1" applyFont="1" applyBorder="1" applyAlignment="1">
      <alignment horizontal="center" vertical="center"/>
    </xf>
    <xf numFmtId="41" fontId="19" fillId="0" borderId="0" xfId="1" applyFont="1" applyBorder="1" applyAlignment="1">
      <alignment horizontal="center" vertical="center"/>
    </xf>
    <xf numFmtId="41" fontId="19" fillId="0" borderId="8" xfId="1" applyFont="1" applyBorder="1" applyAlignment="1">
      <alignment horizontal="center" vertical="center"/>
    </xf>
    <xf numFmtId="41" fontId="9" fillId="3" borderId="2" xfId="3" applyFont="1" applyFill="1" applyBorder="1" applyAlignment="1">
      <alignment horizontal="center" vertical="center" wrapText="1" shrinkToFit="1"/>
    </xf>
    <xf numFmtId="41" fontId="9" fillId="3" borderId="4" xfId="3" applyFont="1" applyFill="1" applyBorder="1" applyAlignment="1">
      <alignment horizontal="center" vertical="center" shrinkToFit="1"/>
    </xf>
    <xf numFmtId="1" fontId="5" fillId="0" borderId="0" xfId="2" applyNumberFormat="1" applyFont="1" applyBorder="1" applyAlignment="1">
      <alignment horizontal="center" vertical="center" shrinkToFit="1"/>
    </xf>
    <xf numFmtId="1" fontId="4" fillId="0" borderId="0" xfId="2" applyNumberFormat="1" applyFont="1" applyBorder="1" applyAlignment="1">
      <alignment horizontal="center" vertical="center" shrinkToFit="1"/>
    </xf>
    <xf numFmtId="1" fontId="6" fillId="0" borderId="0" xfId="2" applyNumberFormat="1" applyFont="1" applyBorder="1" applyAlignment="1">
      <alignment horizontal="center" vertical="center" shrinkToFit="1"/>
    </xf>
    <xf numFmtId="1" fontId="9" fillId="3" borderId="3" xfId="2" applyNumberFormat="1" applyFont="1" applyFill="1" applyBorder="1" applyAlignment="1">
      <alignment horizontal="center" vertical="center" shrinkToFit="1"/>
    </xf>
    <xf numFmtId="41" fontId="5" fillId="0" borderId="10" xfId="3" applyFont="1" applyBorder="1" applyAlignment="1">
      <alignment horizontal="left" vertical="center" shrinkToFit="1"/>
    </xf>
    <xf numFmtId="49" fontId="8" fillId="4" borderId="5" xfId="2" applyNumberFormat="1" applyFont="1" applyFill="1" applyBorder="1" applyAlignment="1">
      <alignment horizontal="right" vertical="center" shrinkToFit="1"/>
    </xf>
    <xf numFmtId="49" fontId="8" fillId="4" borderId="0" xfId="2" applyNumberFormat="1" applyFont="1" applyFill="1" applyBorder="1" applyAlignment="1">
      <alignment horizontal="right" vertical="center" shrinkToFit="1"/>
    </xf>
    <xf numFmtId="1" fontId="8" fillId="4" borderId="0" xfId="2" applyNumberFormat="1" applyFont="1" applyFill="1" applyBorder="1" applyAlignment="1">
      <alignment horizontal="distributed" vertical="center" shrinkToFit="1"/>
    </xf>
    <xf numFmtId="49" fontId="8" fillId="4" borderId="0" xfId="2" applyNumberFormat="1" applyFont="1" applyFill="1" applyBorder="1" applyAlignment="1">
      <alignment horizontal="distributed" vertical="center" shrinkToFit="1"/>
    </xf>
    <xf numFmtId="49" fontId="9" fillId="4" borderId="0" xfId="2" applyNumberFormat="1" applyFont="1" applyFill="1" applyBorder="1" applyAlignment="1">
      <alignment horizontal="distributed" vertical="center" shrinkToFit="1"/>
    </xf>
    <xf numFmtId="49" fontId="9" fillId="4" borderId="5" xfId="2" applyNumberFormat="1" applyFont="1" applyFill="1" applyBorder="1" applyAlignment="1">
      <alignment horizontal="center" vertical="center" shrinkToFit="1"/>
    </xf>
    <xf numFmtId="49" fontId="9" fillId="4" borderId="0" xfId="2" applyNumberFormat="1" applyFont="1" applyFill="1" applyBorder="1" applyAlignment="1">
      <alignment horizontal="center" vertical="center" shrinkToFit="1"/>
    </xf>
    <xf numFmtId="1" fontId="9" fillId="4" borderId="16" xfId="2" applyNumberFormat="1" applyFont="1" applyFill="1" applyBorder="1" applyAlignment="1">
      <alignment horizontal="center" vertical="center" shrinkToFit="1"/>
    </xf>
    <xf numFmtId="1" fontId="9" fillId="4" borderId="1" xfId="2" applyNumberFormat="1" applyFont="1" applyFill="1" applyBorder="1" applyAlignment="1">
      <alignment horizontal="center" vertical="center" shrinkToFit="1"/>
    </xf>
    <xf numFmtId="49" fontId="9" fillId="4" borderId="10" xfId="2" applyNumberFormat="1" applyFont="1" applyFill="1" applyBorder="1" applyAlignment="1">
      <alignment horizontal="distributed" vertical="center" shrinkToFit="1"/>
    </xf>
    <xf numFmtId="1" fontId="9" fillId="4" borderId="10" xfId="2" applyNumberFormat="1" applyFont="1" applyFill="1" applyBorder="1" applyAlignment="1">
      <alignment horizontal="distributed" vertical="center" shrinkToFit="1"/>
    </xf>
    <xf numFmtId="49" fontId="8" fillId="0" borderId="0" xfId="2" applyNumberFormat="1" applyFont="1" applyFill="1" applyBorder="1" applyAlignment="1">
      <alignment horizontal="distributed" vertical="center" shrinkToFit="1"/>
    </xf>
    <xf numFmtId="1" fontId="9" fillId="4" borderId="0" xfId="2" applyNumberFormat="1" applyFont="1" applyFill="1" applyBorder="1" applyAlignment="1">
      <alignment horizontal="distributed" vertical="center" shrinkToFit="1"/>
    </xf>
    <xf numFmtId="41" fontId="5" fillId="0" borderId="0" xfId="3" applyFont="1" applyBorder="1" applyAlignment="1">
      <alignment horizontal="left" vertical="center" shrinkToFit="1"/>
    </xf>
    <xf numFmtId="41" fontId="9" fillId="3" borderId="2" xfId="3" applyFont="1" applyFill="1" applyBorder="1" applyAlignment="1">
      <alignment horizontal="center" vertical="center" shrinkToFit="1"/>
    </xf>
    <xf numFmtId="41" fontId="9" fillId="3" borderId="18" xfId="3" applyFont="1" applyFill="1" applyBorder="1" applyAlignment="1">
      <alignment horizontal="center" vertical="center" wrapText="1" shrinkToFit="1"/>
    </xf>
    <xf numFmtId="41" fontId="9" fillId="3" borderId="20" xfId="3" applyFont="1" applyFill="1" applyBorder="1" applyAlignment="1">
      <alignment horizontal="center" vertical="center" shrinkToFit="1"/>
    </xf>
    <xf numFmtId="1" fontId="9" fillId="3" borderId="19" xfId="2" applyNumberFormat="1" applyFont="1" applyFill="1" applyBorder="1" applyAlignment="1">
      <alignment horizontal="center" vertical="center" shrinkToFit="1"/>
    </xf>
    <xf numFmtId="41" fontId="9" fillId="3" borderId="18" xfId="3" applyFont="1" applyFill="1" applyBorder="1" applyAlignment="1">
      <alignment horizontal="center" vertical="center" shrinkToFit="1"/>
    </xf>
    <xf numFmtId="1" fontId="9" fillId="4" borderId="19" xfId="2" applyNumberFormat="1" applyFont="1" applyFill="1" applyBorder="1" applyAlignment="1">
      <alignment horizontal="distributed" vertical="center" shrinkToFit="1"/>
    </xf>
    <xf numFmtId="49" fontId="8" fillId="4" borderId="10" xfId="2" applyNumberFormat="1" applyFont="1" applyFill="1" applyBorder="1" applyAlignment="1">
      <alignment horizontal="distributed" vertical="center" shrinkToFit="1"/>
    </xf>
    <xf numFmtId="49" fontId="9" fillId="4" borderId="22" xfId="2" applyNumberFormat="1" applyFont="1" applyFill="1" applyBorder="1" applyAlignment="1">
      <alignment horizontal="distributed" vertical="center" shrinkToFit="1"/>
    </xf>
    <xf numFmtId="49" fontId="8" fillId="4" borderId="5" xfId="2" applyNumberFormat="1" applyFont="1" applyFill="1" applyBorder="1" applyAlignment="1">
      <alignment horizontal="distributed" vertical="center" shrinkToFit="1"/>
    </xf>
    <xf numFmtId="49" fontId="8" fillId="2" borderId="0" xfId="2" applyNumberFormat="1" applyFont="1" applyFill="1" applyBorder="1" applyAlignment="1">
      <alignment horizontal="distributed" vertical="center" shrinkToFi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4" fillId="3" borderId="33" xfId="0" applyFont="1" applyFill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 vertical="center" wrapText="1"/>
    </xf>
  </cellXfs>
  <cellStyles count="4">
    <cellStyle name="쉼표 [0]" xfId="1" builtinId="6"/>
    <cellStyle name="쉼표 [0] 9" xfId="3"/>
    <cellStyle name="표준" xfId="0" builtinId="0"/>
    <cellStyle name="표준 237" xfId="2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49;&#51652;&#50689;/1.%20&#44208;&#49328;%20&#50756;&#47308;%20&#51088;&#47308;/1-1.%20&#44208;&#49328;%20&#50756;&#47308;%20&#51088;&#47308;(2016~2019)/&#44208;&#49328;%20&#50756;&#47308;%20&#51088;&#47308;(2019&#45380;)/5&#50900;&#44208;&#49328;/&#45236;&#48512;&#44208;&#51116;/2019%20&#54924;&#44228;&#50672;&#46020;%205&#50900;%20&#51116;&#47924;&#51228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1-1. 재무상태표 입력서식"/>
      <sheetName val="#2-1. 손익계산서 입력서식"/>
      <sheetName val="#2-2. 18년도 손익계산서 입력서식"/>
      <sheetName val="#1. 재무상태표"/>
      <sheetName val="#2. 손익계산서"/>
      <sheetName val="#3. 운영사업원가명세서"/>
      <sheetName val="#4. 수탁사업원가명세서"/>
      <sheetName val="#5. 영업비용명세서"/>
      <sheetName val="#2-2. 손익계산서(6월)"/>
      <sheetName val="#3-2. 운영사업원가명세서(6월)"/>
      <sheetName val="#4-2. 수탁사업원가명세서(6월)"/>
    </sheetNames>
    <sheetDataSet>
      <sheetData sheetId="0">
        <row r="28">
          <cell r="D28">
            <v>0</v>
          </cell>
        </row>
      </sheetData>
      <sheetData sheetId="1">
        <row r="396">
          <cell r="P396">
            <v>0</v>
          </cell>
        </row>
      </sheetData>
      <sheetData sheetId="2"/>
      <sheetData sheetId="3"/>
      <sheetData sheetId="4">
        <row r="18">
          <cell r="F18">
            <v>901066009486</v>
          </cell>
          <cell r="H18">
            <v>890585301036</v>
          </cell>
        </row>
        <row r="19">
          <cell r="F19">
            <v>24594644045</v>
          </cell>
          <cell r="H19">
            <v>13892259526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N191"/>
  <sheetViews>
    <sheetView tabSelected="1" view="pageBreakPreview" zoomScale="55" zoomScaleNormal="100" zoomScaleSheetLayoutView="55" workbookViewId="0">
      <selection sqref="A1:I1"/>
    </sheetView>
  </sheetViews>
  <sheetFormatPr defaultRowHeight="20.25" x14ac:dyDescent="0.3"/>
  <cols>
    <col min="1" max="1" width="3.625" style="42" bestFit="1" customWidth="1"/>
    <col min="2" max="2" width="5" style="42" customWidth="1"/>
    <col min="3" max="3" width="3.5" style="43" bestFit="1" customWidth="1"/>
    <col min="4" max="4" width="33.75" style="42" customWidth="1"/>
    <col min="5" max="5" width="7.625" customWidth="1"/>
    <col min="6" max="9" width="30.625" customWidth="1"/>
    <col min="10" max="10" width="19.625" hidden="1" customWidth="1"/>
    <col min="11" max="11" width="26.875" hidden="1" customWidth="1"/>
    <col min="13" max="13" width="16.5" bestFit="1" customWidth="1"/>
    <col min="14" max="14" width="28" customWidth="1"/>
  </cols>
  <sheetData>
    <row r="1" spans="1:11" s="106" customFormat="1" ht="56.25" customHeight="1" x14ac:dyDescent="0.3">
      <c r="A1" s="207" t="s">
        <v>240</v>
      </c>
      <c r="B1" s="207"/>
      <c r="C1" s="207"/>
      <c r="D1" s="207"/>
      <c r="E1" s="207"/>
      <c r="F1" s="207"/>
      <c r="G1" s="207"/>
      <c r="H1" s="207"/>
      <c r="I1" s="207"/>
    </row>
    <row r="2" spans="1:11" ht="30" customHeight="1" x14ac:dyDescent="0.3">
      <c r="A2" s="206" t="s">
        <v>303</v>
      </c>
      <c r="B2" s="206"/>
      <c r="C2" s="206"/>
      <c r="D2" s="206"/>
      <c r="E2" s="206"/>
      <c r="F2" s="206"/>
      <c r="G2" s="206"/>
      <c r="H2" s="206"/>
      <c r="I2" s="206"/>
    </row>
    <row r="3" spans="1:11" ht="30" customHeight="1" x14ac:dyDescent="0.3">
      <c r="A3" s="206" t="s">
        <v>239</v>
      </c>
      <c r="B3" s="206"/>
      <c r="C3" s="206"/>
      <c r="D3" s="206"/>
      <c r="E3" s="206"/>
      <c r="F3" s="206"/>
      <c r="G3" s="206"/>
      <c r="H3" s="206"/>
      <c r="I3" s="206"/>
    </row>
    <row r="4" spans="1:11" ht="30" customHeight="1" x14ac:dyDescent="0.3">
      <c r="A4" s="208"/>
      <c r="B4" s="208"/>
      <c r="C4" s="208"/>
      <c r="D4" s="208"/>
      <c r="E4" s="208"/>
      <c r="F4" s="208"/>
      <c r="G4" s="208"/>
      <c r="H4" s="208"/>
      <c r="I4" s="208"/>
    </row>
    <row r="5" spans="1:11" ht="30" customHeight="1" thickBot="1" x14ac:dyDescent="0.2">
      <c r="A5" s="210" t="s">
        <v>12</v>
      </c>
      <c r="B5" s="210"/>
      <c r="C5" s="210"/>
      <c r="D5" s="210"/>
      <c r="E5" s="105"/>
      <c r="F5" s="104"/>
      <c r="H5" s="44"/>
      <c r="I5" s="103" t="s">
        <v>13</v>
      </c>
    </row>
    <row r="6" spans="1:11" ht="51" customHeight="1" x14ac:dyDescent="0.3">
      <c r="A6" s="102" t="s">
        <v>14</v>
      </c>
      <c r="B6" s="209" t="s">
        <v>15</v>
      </c>
      <c r="C6" s="209"/>
      <c r="D6" s="209"/>
      <c r="E6" s="39"/>
      <c r="F6" s="204" t="s">
        <v>304</v>
      </c>
      <c r="G6" s="205"/>
      <c r="H6" s="204" t="s">
        <v>238</v>
      </c>
      <c r="I6" s="205"/>
    </row>
    <row r="7" spans="1:11" ht="30" customHeight="1" x14ac:dyDescent="0.3">
      <c r="A7" s="218" t="s">
        <v>237</v>
      </c>
      <c r="B7" s="219"/>
      <c r="C7" s="219"/>
      <c r="D7" s="219"/>
      <c r="E7" s="81"/>
      <c r="F7" s="188"/>
      <c r="G7" s="78"/>
      <c r="H7" s="76"/>
      <c r="I7" s="78"/>
    </row>
    <row r="8" spans="1:11" ht="30" customHeight="1" x14ac:dyDescent="0.3">
      <c r="A8" s="74" t="s">
        <v>18</v>
      </c>
      <c r="B8" s="213" t="s">
        <v>236</v>
      </c>
      <c r="C8" s="213"/>
      <c r="D8" s="213"/>
      <c r="E8" s="25"/>
      <c r="F8" s="189"/>
      <c r="G8" s="78">
        <v>239730101469</v>
      </c>
      <c r="H8" s="80"/>
      <c r="I8" s="78">
        <v>284647550472</v>
      </c>
      <c r="K8" s="58">
        <f t="shared" ref="K8:K39" si="0">G8-I8</f>
        <v>-44917449003</v>
      </c>
    </row>
    <row r="9" spans="1:11" ht="30" customHeight="1" x14ac:dyDescent="0.3">
      <c r="A9" s="211" t="s">
        <v>22</v>
      </c>
      <c r="B9" s="212"/>
      <c r="C9" s="214" t="s">
        <v>235</v>
      </c>
      <c r="D9" s="214"/>
      <c r="E9" s="14"/>
      <c r="F9" s="189"/>
      <c r="G9" s="78">
        <v>181346406187</v>
      </c>
      <c r="H9" s="80"/>
      <c r="I9" s="78">
        <v>223283156931</v>
      </c>
      <c r="K9" s="58">
        <f t="shared" si="0"/>
        <v>-41936750744</v>
      </c>
    </row>
    <row r="10" spans="1:11" ht="30" customHeight="1" x14ac:dyDescent="0.3">
      <c r="A10" s="74"/>
      <c r="B10" s="70"/>
      <c r="C10" s="13"/>
      <c r="D10" s="38" t="s">
        <v>234</v>
      </c>
      <c r="E10" s="14"/>
      <c r="F10" s="190">
        <v>192557051013</v>
      </c>
      <c r="G10" s="82"/>
      <c r="H10" s="83">
        <v>273060463855</v>
      </c>
      <c r="I10" s="82"/>
      <c r="J10" s="57">
        <f t="shared" ref="J10:J41" si="1">F10-H10</f>
        <v>-80503412842</v>
      </c>
      <c r="K10" s="58">
        <f t="shared" si="0"/>
        <v>0</v>
      </c>
    </row>
    <row r="11" spans="1:11" ht="30" customHeight="1" x14ac:dyDescent="0.3">
      <c r="A11" s="74"/>
      <c r="B11" s="70"/>
      <c r="C11" s="13"/>
      <c r="D11" s="38" t="s">
        <v>233</v>
      </c>
      <c r="E11" s="14"/>
      <c r="F11" s="191">
        <v>-100004857444</v>
      </c>
      <c r="G11" s="82"/>
      <c r="H11" s="68">
        <v>-142997365290</v>
      </c>
      <c r="I11" s="82"/>
      <c r="J11" s="57">
        <f t="shared" si="1"/>
        <v>42992507846</v>
      </c>
      <c r="K11" s="58">
        <f t="shared" si="0"/>
        <v>0</v>
      </c>
    </row>
    <row r="12" spans="1:11" ht="30" customHeight="1" x14ac:dyDescent="0.3">
      <c r="A12" s="74"/>
      <c r="B12" s="70"/>
      <c r="C12" s="13"/>
      <c r="D12" s="38" t="s">
        <v>232</v>
      </c>
      <c r="E12" s="14"/>
      <c r="F12" s="191">
        <v>-3503880613</v>
      </c>
      <c r="G12" s="82"/>
      <c r="H12" s="68">
        <v>-2492242124</v>
      </c>
      <c r="I12" s="82"/>
      <c r="J12" s="57">
        <f t="shared" si="1"/>
        <v>-1011638489</v>
      </c>
      <c r="K12" s="58">
        <f t="shared" si="0"/>
        <v>0</v>
      </c>
    </row>
    <row r="13" spans="1:11" ht="30" hidden="1" customHeight="1" x14ac:dyDescent="0.3">
      <c r="A13" s="74"/>
      <c r="B13" s="70"/>
      <c r="C13" s="13"/>
      <c r="D13" s="38" t="s">
        <v>231</v>
      </c>
      <c r="E13" s="25"/>
      <c r="F13" s="192">
        <v>0</v>
      </c>
      <c r="G13" s="82"/>
      <c r="H13" s="15">
        <v>0</v>
      </c>
      <c r="I13" s="82"/>
      <c r="J13" s="57">
        <f t="shared" si="1"/>
        <v>0</v>
      </c>
      <c r="K13" s="58">
        <f t="shared" si="0"/>
        <v>0</v>
      </c>
    </row>
    <row r="14" spans="1:11" ht="30" customHeight="1" x14ac:dyDescent="0.3">
      <c r="A14" s="74"/>
      <c r="B14" s="70"/>
      <c r="C14" s="13"/>
      <c r="D14" s="38" t="s">
        <v>230</v>
      </c>
      <c r="E14" s="14"/>
      <c r="F14" s="190">
        <v>1915569210</v>
      </c>
      <c r="G14" s="84"/>
      <c r="H14" s="83">
        <v>2570654530</v>
      </c>
      <c r="I14" s="84"/>
      <c r="J14" s="57">
        <f t="shared" si="1"/>
        <v>-655085320</v>
      </c>
      <c r="K14" s="58">
        <f t="shared" si="0"/>
        <v>0</v>
      </c>
    </row>
    <row r="15" spans="1:11" ht="30" customHeight="1" x14ac:dyDescent="0.3">
      <c r="A15" s="74"/>
      <c r="B15" s="70"/>
      <c r="C15" s="13"/>
      <c r="D15" s="38" t="s">
        <v>229</v>
      </c>
      <c r="E15" s="25"/>
      <c r="F15" s="190">
        <v>76086314824</v>
      </c>
      <c r="G15" s="78"/>
      <c r="H15" s="83">
        <v>81309546847</v>
      </c>
      <c r="I15" s="78"/>
      <c r="J15" s="57">
        <f t="shared" si="1"/>
        <v>-5223232023</v>
      </c>
      <c r="K15" s="58">
        <f t="shared" si="0"/>
        <v>0</v>
      </c>
    </row>
    <row r="16" spans="1:11" ht="30" customHeight="1" x14ac:dyDescent="0.3">
      <c r="A16" s="74"/>
      <c r="B16" s="70"/>
      <c r="C16" s="20"/>
      <c r="D16" s="38" t="s">
        <v>187</v>
      </c>
      <c r="E16" s="14"/>
      <c r="F16" s="193">
        <v>-13784148963</v>
      </c>
      <c r="G16" s="101"/>
      <c r="H16" s="93">
        <v>-8542621888</v>
      </c>
      <c r="I16" s="101"/>
      <c r="J16" s="57">
        <f t="shared" si="1"/>
        <v>-5241527075</v>
      </c>
      <c r="K16" s="58">
        <f t="shared" si="0"/>
        <v>0</v>
      </c>
    </row>
    <row r="17" spans="1:11" ht="30" customHeight="1" x14ac:dyDescent="0.3">
      <c r="A17" s="74"/>
      <c r="B17" s="70"/>
      <c r="C17" s="13"/>
      <c r="D17" s="38" t="s">
        <v>228</v>
      </c>
      <c r="E17" s="14"/>
      <c r="F17" s="190">
        <v>36074228163</v>
      </c>
      <c r="G17" s="84"/>
      <c r="H17" s="83">
        <v>23954003991</v>
      </c>
      <c r="I17" s="84"/>
      <c r="J17" s="57">
        <f t="shared" si="1"/>
        <v>12120224172</v>
      </c>
      <c r="K17" s="58">
        <f t="shared" si="0"/>
        <v>0</v>
      </c>
    </row>
    <row r="18" spans="1:11" ht="30" customHeight="1" x14ac:dyDescent="0.3">
      <c r="A18" s="74"/>
      <c r="B18" s="70"/>
      <c r="C18" s="13"/>
      <c r="D18" s="38" t="s">
        <v>227</v>
      </c>
      <c r="E18" s="25"/>
      <c r="F18" s="191">
        <v>-22791370223</v>
      </c>
      <c r="G18" s="67"/>
      <c r="H18" s="68">
        <v>-14750678043</v>
      </c>
      <c r="I18" s="67"/>
      <c r="J18" s="57">
        <f t="shared" si="1"/>
        <v>-8040692180</v>
      </c>
      <c r="K18" s="58">
        <f t="shared" si="0"/>
        <v>0</v>
      </c>
    </row>
    <row r="19" spans="1:11" ht="30" customHeight="1" x14ac:dyDescent="0.3">
      <c r="A19" s="74"/>
      <c r="B19" s="70"/>
      <c r="C19" s="13"/>
      <c r="D19" s="38" t="s">
        <v>226</v>
      </c>
      <c r="E19" s="25"/>
      <c r="F19" s="190">
        <v>445733</v>
      </c>
      <c r="G19" s="100"/>
      <c r="H19" s="31">
        <v>0</v>
      </c>
      <c r="I19" s="100"/>
      <c r="J19" s="57">
        <f t="shared" si="1"/>
        <v>445733</v>
      </c>
      <c r="K19" s="58">
        <f t="shared" si="0"/>
        <v>0</v>
      </c>
    </row>
    <row r="20" spans="1:11" ht="30" customHeight="1" x14ac:dyDescent="0.3">
      <c r="A20" s="74"/>
      <c r="B20" s="70"/>
      <c r="C20" s="13"/>
      <c r="D20" s="38" t="s">
        <v>103</v>
      </c>
      <c r="E20" s="14"/>
      <c r="F20" s="190">
        <v>12527262561</v>
      </c>
      <c r="G20" s="82"/>
      <c r="H20" s="83">
        <v>7539873308</v>
      </c>
      <c r="I20" s="82"/>
      <c r="J20" s="57">
        <f t="shared" si="1"/>
        <v>4987389253</v>
      </c>
      <c r="K20" s="58">
        <f t="shared" si="0"/>
        <v>0</v>
      </c>
    </row>
    <row r="21" spans="1:11" ht="30" customHeight="1" x14ac:dyDescent="0.3">
      <c r="A21" s="74"/>
      <c r="B21" s="70"/>
      <c r="C21" s="13"/>
      <c r="D21" s="38" t="s">
        <v>225</v>
      </c>
      <c r="E21" s="25"/>
      <c r="F21" s="190">
        <v>313300187</v>
      </c>
      <c r="G21" s="82"/>
      <c r="H21" s="83">
        <v>364106636</v>
      </c>
      <c r="I21" s="82"/>
      <c r="J21" s="57">
        <f t="shared" si="1"/>
        <v>-50806449</v>
      </c>
      <c r="K21" s="58">
        <f t="shared" si="0"/>
        <v>0</v>
      </c>
    </row>
    <row r="22" spans="1:11" ht="30" customHeight="1" x14ac:dyDescent="0.3">
      <c r="A22" s="74"/>
      <c r="B22" s="70"/>
      <c r="C22" s="13"/>
      <c r="D22" s="38" t="s">
        <v>224</v>
      </c>
      <c r="E22" s="14"/>
      <c r="F22" s="190">
        <v>487874615</v>
      </c>
      <c r="G22" s="82"/>
      <c r="H22" s="83">
        <v>983074971</v>
      </c>
      <c r="I22" s="82"/>
      <c r="J22" s="57">
        <f t="shared" si="1"/>
        <v>-495200356</v>
      </c>
      <c r="K22" s="58">
        <f t="shared" si="0"/>
        <v>0</v>
      </c>
    </row>
    <row r="23" spans="1:11" ht="30" hidden="1" customHeight="1" x14ac:dyDescent="0.3">
      <c r="A23" s="74"/>
      <c r="B23" s="70"/>
      <c r="C23" s="13"/>
      <c r="D23" s="38" t="s">
        <v>223</v>
      </c>
      <c r="E23" s="14"/>
      <c r="F23" s="190">
        <v>0</v>
      </c>
      <c r="G23" s="82"/>
      <c r="H23" s="15">
        <v>0</v>
      </c>
      <c r="I23" s="82"/>
      <c r="J23" s="57">
        <f t="shared" si="1"/>
        <v>0</v>
      </c>
      <c r="K23" s="58">
        <f t="shared" si="0"/>
        <v>0</v>
      </c>
    </row>
    <row r="24" spans="1:11" ht="30" customHeight="1" x14ac:dyDescent="0.3">
      <c r="A24" s="74"/>
      <c r="B24" s="70"/>
      <c r="C24" s="13"/>
      <c r="D24" s="38" t="s">
        <v>222</v>
      </c>
      <c r="E24" s="14"/>
      <c r="F24" s="190">
        <v>1468617124</v>
      </c>
      <c r="G24" s="82"/>
      <c r="H24" s="83">
        <v>2284340138</v>
      </c>
      <c r="I24" s="82"/>
      <c r="J24" s="57">
        <f t="shared" si="1"/>
        <v>-815723014</v>
      </c>
      <c r="K24" s="58">
        <f t="shared" si="0"/>
        <v>0</v>
      </c>
    </row>
    <row r="25" spans="1:11" ht="30" customHeight="1" x14ac:dyDescent="0.3">
      <c r="A25" s="211" t="s">
        <v>24</v>
      </c>
      <c r="B25" s="212"/>
      <c r="C25" s="214" t="s">
        <v>221</v>
      </c>
      <c r="D25" s="214"/>
      <c r="E25" s="14"/>
      <c r="F25" s="189"/>
      <c r="G25" s="78">
        <v>58383695282</v>
      </c>
      <c r="H25" s="80"/>
      <c r="I25" s="78">
        <v>61364393541</v>
      </c>
      <c r="J25" s="57">
        <f t="shared" si="1"/>
        <v>0</v>
      </c>
      <c r="K25" s="58">
        <f t="shared" si="0"/>
        <v>-2980698259</v>
      </c>
    </row>
    <row r="26" spans="1:11" ht="30" customHeight="1" x14ac:dyDescent="0.3">
      <c r="A26" s="74"/>
      <c r="B26" s="70"/>
      <c r="C26" s="13"/>
      <c r="D26" s="38" t="s">
        <v>220</v>
      </c>
      <c r="E26" s="14"/>
      <c r="F26" s="190">
        <v>52989011274</v>
      </c>
      <c r="G26" s="78"/>
      <c r="H26" s="83">
        <v>58047077787</v>
      </c>
      <c r="I26" s="78"/>
      <c r="J26" s="57">
        <f t="shared" si="1"/>
        <v>-5058066513</v>
      </c>
      <c r="K26" s="58">
        <f t="shared" si="0"/>
        <v>0</v>
      </c>
    </row>
    <row r="27" spans="1:11" ht="30" customHeight="1" x14ac:dyDescent="0.3">
      <c r="A27" s="74"/>
      <c r="B27" s="70"/>
      <c r="C27" s="13"/>
      <c r="D27" s="38" t="s">
        <v>219</v>
      </c>
      <c r="E27" s="14"/>
      <c r="F27" s="190">
        <v>5394684008</v>
      </c>
      <c r="G27" s="82"/>
      <c r="H27" s="83">
        <v>3317315754</v>
      </c>
      <c r="I27" s="82"/>
      <c r="J27" s="57">
        <f t="shared" si="1"/>
        <v>2077368254</v>
      </c>
      <c r="K27" s="58">
        <f t="shared" si="0"/>
        <v>0</v>
      </c>
    </row>
    <row r="28" spans="1:11" ht="30" customHeight="1" x14ac:dyDescent="0.3">
      <c r="A28" s="74" t="s">
        <v>36</v>
      </c>
      <c r="B28" s="214" t="s">
        <v>218</v>
      </c>
      <c r="C28" s="214"/>
      <c r="D28" s="214"/>
      <c r="E28" s="25"/>
      <c r="F28" s="188"/>
      <c r="G28" s="78">
        <v>12959314696015</v>
      </c>
      <c r="H28" s="76"/>
      <c r="I28" s="78">
        <v>12957776348902</v>
      </c>
      <c r="J28" s="57">
        <f t="shared" si="1"/>
        <v>0</v>
      </c>
      <c r="K28" s="58">
        <f t="shared" si="0"/>
        <v>1538347113</v>
      </c>
    </row>
    <row r="29" spans="1:11" ht="30" customHeight="1" x14ac:dyDescent="0.3">
      <c r="A29" s="211" t="s">
        <v>217</v>
      </c>
      <c r="B29" s="212"/>
      <c r="C29" s="214" t="s">
        <v>216</v>
      </c>
      <c r="D29" s="214"/>
      <c r="E29" s="14"/>
      <c r="F29" s="189"/>
      <c r="G29" s="78">
        <v>75689454308</v>
      </c>
      <c r="H29" s="80"/>
      <c r="I29" s="78">
        <v>80678527852</v>
      </c>
      <c r="J29" s="57">
        <f t="shared" si="1"/>
        <v>0</v>
      </c>
      <c r="K29" s="58">
        <f t="shared" si="0"/>
        <v>-4989073544</v>
      </c>
    </row>
    <row r="30" spans="1:11" ht="30" customHeight="1" x14ac:dyDescent="0.3">
      <c r="A30" s="89"/>
      <c r="B30" s="98"/>
      <c r="C30" s="13"/>
      <c r="D30" s="38" t="s">
        <v>215</v>
      </c>
      <c r="E30" s="14"/>
      <c r="F30" s="190">
        <v>400737620</v>
      </c>
      <c r="G30" s="78"/>
      <c r="H30" s="83">
        <v>380543600</v>
      </c>
      <c r="I30" s="78"/>
      <c r="J30" s="57">
        <f t="shared" si="1"/>
        <v>20194020</v>
      </c>
      <c r="K30" s="58">
        <f t="shared" si="0"/>
        <v>0</v>
      </c>
    </row>
    <row r="31" spans="1:11" ht="30" customHeight="1" x14ac:dyDescent="0.3">
      <c r="A31" s="89"/>
      <c r="B31" s="98"/>
      <c r="C31" s="13"/>
      <c r="D31" s="38" t="s">
        <v>214</v>
      </c>
      <c r="E31" s="14"/>
      <c r="F31" s="190">
        <v>55961110540</v>
      </c>
      <c r="G31" s="78"/>
      <c r="H31" s="83">
        <v>60660597552</v>
      </c>
      <c r="I31" s="78"/>
      <c r="J31" s="57">
        <f t="shared" si="1"/>
        <v>-4699487012</v>
      </c>
      <c r="K31" s="58">
        <f t="shared" si="0"/>
        <v>0</v>
      </c>
    </row>
    <row r="32" spans="1:11" ht="30" customHeight="1" x14ac:dyDescent="0.3">
      <c r="A32" s="74"/>
      <c r="B32" s="70"/>
      <c r="C32" s="13"/>
      <c r="D32" s="38" t="s">
        <v>213</v>
      </c>
      <c r="E32" s="97"/>
      <c r="F32" s="190">
        <v>19327606148</v>
      </c>
      <c r="G32" s="90"/>
      <c r="H32" s="83">
        <v>19637386700</v>
      </c>
      <c r="I32" s="90"/>
      <c r="J32" s="57">
        <f t="shared" si="1"/>
        <v>-309780552</v>
      </c>
      <c r="K32" s="58">
        <f t="shared" si="0"/>
        <v>0</v>
      </c>
    </row>
    <row r="33" spans="1:13" ht="30" hidden="1" customHeight="1" x14ac:dyDescent="0.3">
      <c r="A33" s="74"/>
      <c r="B33" s="70"/>
      <c r="C33" s="13" t="s">
        <v>194</v>
      </c>
      <c r="D33" s="38" t="s">
        <v>212</v>
      </c>
      <c r="E33" s="97"/>
      <c r="F33" s="190"/>
      <c r="G33" s="90"/>
      <c r="H33" s="83">
        <v>0</v>
      </c>
      <c r="I33" s="90"/>
      <c r="J33" s="57">
        <f t="shared" si="1"/>
        <v>0</v>
      </c>
      <c r="K33" s="58">
        <f t="shared" si="0"/>
        <v>0</v>
      </c>
    </row>
    <row r="34" spans="1:13" ht="30" customHeight="1" x14ac:dyDescent="0.3">
      <c r="A34" s="211" t="s">
        <v>211</v>
      </c>
      <c r="B34" s="212"/>
      <c r="C34" s="214" t="s">
        <v>210</v>
      </c>
      <c r="D34" s="214"/>
      <c r="E34" s="94"/>
      <c r="F34" s="188"/>
      <c r="G34" s="95">
        <v>12762232922256</v>
      </c>
      <c r="H34" s="76"/>
      <c r="I34" s="95">
        <v>12756029961391</v>
      </c>
      <c r="J34" s="57">
        <f t="shared" si="1"/>
        <v>0</v>
      </c>
      <c r="K34" s="58">
        <f t="shared" si="0"/>
        <v>6202960865</v>
      </c>
    </row>
    <row r="35" spans="1:13" ht="30" customHeight="1" x14ac:dyDescent="0.3">
      <c r="A35" s="89"/>
      <c r="B35" s="98"/>
      <c r="C35" s="13"/>
      <c r="D35" s="38" t="s">
        <v>209</v>
      </c>
      <c r="E35" s="97"/>
      <c r="F35" s="188">
        <v>3520085114300</v>
      </c>
      <c r="G35" s="78"/>
      <c r="H35" s="76">
        <v>3519712053700</v>
      </c>
      <c r="I35" s="78"/>
      <c r="J35" s="57">
        <f t="shared" si="1"/>
        <v>373060600</v>
      </c>
      <c r="K35" s="58">
        <f t="shared" si="0"/>
        <v>0</v>
      </c>
    </row>
    <row r="36" spans="1:13" ht="30" customHeight="1" x14ac:dyDescent="0.3">
      <c r="A36" s="74"/>
      <c r="B36" s="70"/>
      <c r="C36" s="13"/>
      <c r="D36" s="38" t="s">
        <v>208</v>
      </c>
      <c r="E36" s="94"/>
      <c r="F36" s="188">
        <v>452542702541</v>
      </c>
      <c r="G36" s="78"/>
      <c r="H36" s="76">
        <v>447268641121</v>
      </c>
      <c r="I36" s="78"/>
      <c r="J36" s="57">
        <f t="shared" si="1"/>
        <v>5274061420</v>
      </c>
      <c r="K36" s="58">
        <f t="shared" si="0"/>
        <v>0</v>
      </c>
    </row>
    <row r="37" spans="1:13" ht="30" customHeight="1" x14ac:dyDescent="0.3">
      <c r="A37" s="74"/>
      <c r="B37" s="70"/>
      <c r="C37" s="13"/>
      <c r="D37" s="38" t="s">
        <v>192</v>
      </c>
      <c r="E37" s="97"/>
      <c r="F37" s="191">
        <v>-298642117567</v>
      </c>
      <c r="G37" s="67"/>
      <c r="H37" s="68">
        <v>-288446731771</v>
      </c>
      <c r="I37" s="67"/>
      <c r="J37" s="57">
        <f t="shared" si="1"/>
        <v>-10195385796</v>
      </c>
      <c r="K37" s="58">
        <f t="shared" si="0"/>
        <v>0</v>
      </c>
      <c r="L37" s="107"/>
      <c r="M37" s="107"/>
    </row>
    <row r="38" spans="1:13" ht="30" customHeight="1" x14ac:dyDescent="0.3">
      <c r="A38" s="89"/>
      <c r="B38" s="98"/>
      <c r="C38" s="13"/>
      <c r="D38" s="38" t="s">
        <v>200</v>
      </c>
      <c r="E38" s="97"/>
      <c r="F38" s="191">
        <v>-523762764</v>
      </c>
      <c r="G38" s="67"/>
      <c r="H38" s="68">
        <v>-250968614</v>
      </c>
      <c r="I38" s="67"/>
      <c r="J38" s="57">
        <f t="shared" si="1"/>
        <v>-272794150</v>
      </c>
      <c r="K38" s="58">
        <f t="shared" si="0"/>
        <v>0</v>
      </c>
      <c r="L38" s="107"/>
      <c r="M38" s="107"/>
    </row>
    <row r="39" spans="1:13" ht="30" customHeight="1" x14ac:dyDescent="0.3">
      <c r="A39" s="74"/>
      <c r="B39" s="70"/>
      <c r="C39" s="13"/>
      <c r="D39" s="38" t="s">
        <v>207</v>
      </c>
      <c r="E39" s="94"/>
      <c r="F39" s="190">
        <v>92695433375</v>
      </c>
      <c r="G39" s="78"/>
      <c r="H39" s="83">
        <v>93422667399</v>
      </c>
      <c r="I39" s="78"/>
      <c r="J39" s="57">
        <f t="shared" si="1"/>
        <v>-727234024</v>
      </c>
      <c r="K39" s="58">
        <f t="shared" si="0"/>
        <v>0</v>
      </c>
      <c r="L39" s="107"/>
      <c r="M39" s="107"/>
    </row>
    <row r="40" spans="1:13" ht="30" customHeight="1" x14ac:dyDescent="0.3">
      <c r="A40" s="74"/>
      <c r="B40" s="70"/>
      <c r="C40" s="13"/>
      <c r="D40" s="38" t="s">
        <v>192</v>
      </c>
      <c r="E40" s="97"/>
      <c r="F40" s="191">
        <v>-56525316138</v>
      </c>
      <c r="G40" s="67"/>
      <c r="H40" s="68">
        <v>-55264387274</v>
      </c>
      <c r="I40" s="67"/>
      <c r="J40" s="57">
        <f t="shared" si="1"/>
        <v>-1260928864</v>
      </c>
      <c r="K40" s="58">
        <f t="shared" ref="K40:K73" si="2">G40-I40</f>
        <v>0</v>
      </c>
      <c r="L40" s="107"/>
      <c r="M40" s="107"/>
    </row>
    <row r="41" spans="1:13" ht="30" customHeight="1" x14ac:dyDescent="0.3">
      <c r="A41" s="89"/>
      <c r="B41" s="98"/>
      <c r="C41" s="13"/>
      <c r="D41" s="38" t="s">
        <v>206</v>
      </c>
      <c r="E41" s="94"/>
      <c r="F41" s="190">
        <v>11707905628584</v>
      </c>
      <c r="G41" s="78"/>
      <c r="H41" s="83">
        <v>11554316074955</v>
      </c>
      <c r="I41" s="78"/>
      <c r="J41" s="57">
        <f t="shared" si="1"/>
        <v>153589553629</v>
      </c>
      <c r="K41" s="58">
        <f t="shared" si="2"/>
        <v>0</v>
      </c>
      <c r="L41" s="107"/>
      <c r="M41" s="107"/>
    </row>
    <row r="42" spans="1:13" ht="30" customHeight="1" x14ac:dyDescent="0.3">
      <c r="A42" s="74"/>
      <c r="B42" s="70"/>
      <c r="C42" s="13"/>
      <c r="D42" s="38" t="s">
        <v>192</v>
      </c>
      <c r="E42" s="97"/>
      <c r="F42" s="191">
        <v>-4504510544079</v>
      </c>
      <c r="G42" s="67"/>
      <c r="H42" s="68">
        <v>-4275713382177</v>
      </c>
      <c r="I42" s="67"/>
      <c r="J42" s="57">
        <f t="shared" ref="J42:J75" si="3">F42-H42</f>
        <v>-228797161902</v>
      </c>
      <c r="K42" s="58">
        <f t="shared" si="2"/>
        <v>0</v>
      </c>
      <c r="L42" s="107"/>
      <c r="M42" s="107"/>
    </row>
    <row r="43" spans="1:13" ht="30" customHeight="1" x14ac:dyDescent="0.3">
      <c r="A43" s="74"/>
      <c r="B43" s="70"/>
      <c r="C43" s="13"/>
      <c r="D43" s="38" t="s">
        <v>200</v>
      </c>
      <c r="E43" s="97"/>
      <c r="F43" s="191">
        <v>-65101252823</v>
      </c>
      <c r="G43" s="67"/>
      <c r="H43" s="68">
        <v>-46020024221</v>
      </c>
      <c r="I43" s="67"/>
      <c r="J43" s="57">
        <f t="shared" si="3"/>
        <v>-19081228602</v>
      </c>
      <c r="K43" s="58">
        <f t="shared" si="2"/>
        <v>0</v>
      </c>
      <c r="L43" s="107"/>
      <c r="M43" s="107"/>
    </row>
    <row r="44" spans="1:13" ht="30" customHeight="1" x14ac:dyDescent="0.3">
      <c r="A44" s="89"/>
      <c r="B44" s="98"/>
      <c r="C44" s="13"/>
      <c r="D44" s="38" t="s">
        <v>205</v>
      </c>
      <c r="E44" s="94"/>
      <c r="F44" s="190">
        <v>2058873263616</v>
      </c>
      <c r="G44" s="78"/>
      <c r="H44" s="83">
        <v>1972131139766</v>
      </c>
      <c r="I44" s="78"/>
      <c r="J44" s="57">
        <f t="shared" si="3"/>
        <v>86742123850</v>
      </c>
      <c r="K44" s="58">
        <f t="shared" si="2"/>
        <v>0</v>
      </c>
      <c r="L44" s="107"/>
      <c r="M44" s="107"/>
    </row>
    <row r="45" spans="1:13" ht="30" customHeight="1" x14ac:dyDescent="0.3">
      <c r="A45" s="74"/>
      <c r="B45" s="70"/>
      <c r="C45" s="13"/>
      <c r="D45" s="38" t="s">
        <v>192</v>
      </c>
      <c r="E45" s="97"/>
      <c r="F45" s="191">
        <v>-1324597363425</v>
      </c>
      <c r="G45" s="67"/>
      <c r="H45" s="68">
        <v>-1284463316924</v>
      </c>
      <c r="I45" s="67"/>
      <c r="J45" s="57">
        <f t="shared" si="3"/>
        <v>-40134046501</v>
      </c>
      <c r="K45" s="58">
        <f t="shared" si="2"/>
        <v>0</v>
      </c>
      <c r="L45" s="107"/>
      <c r="M45" s="107"/>
    </row>
    <row r="46" spans="1:13" ht="30" customHeight="1" x14ac:dyDescent="0.3">
      <c r="A46" s="74"/>
      <c r="B46" s="70"/>
      <c r="C46" s="13"/>
      <c r="D46" s="38" t="s">
        <v>200</v>
      </c>
      <c r="E46" s="97"/>
      <c r="F46" s="191">
        <v>-20552616769</v>
      </c>
      <c r="G46" s="67"/>
      <c r="H46" s="68">
        <v>-6731943412</v>
      </c>
      <c r="I46" s="67"/>
      <c r="J46" s="57">
        <f t="shared" si="3"/>
        <v>-13820673357</v>
      </c>
      <c r="K46" s="58">
        <f t="shared" si="2"/>
        <v>0</v>
      </c>
      <c r="L46" s="107"/>
      <c r="M46" s="107"/>
    </row>
    <row r="47" spans="1:13" ht="30" customHeight="1" x14ac:dyDescent="0.3">
      <c r="A47" s="89"/>
      <c r="B47" s="98"/>
      <c r="C47" s="13"/>
      <c r="D47" s="38" t="s">
        <v>204</v>
      </c>
      <c r="E47" s="94"/>
      <c r="F47" s="190">
        <v>2672417306931</v>
      </c>
      <c r="G47" s="78"/>
      <c r="H47" s="83">
        <v>2517333696435</v>
      </c>
      <c r="I47" s="78"/>
      <c r="J47" s="57">
        <f t="shared" si="3"/>
        <v>155083610496</v>
      </c>
      <c r="K47" s="58">
        <f t="shared" si="2"/>
        <v>0</v>
      </c>
      <c r="L47" s="107"/>
      <c r="M47" s="107"/>
    </row>
    <row r="48" spans="1:13" ht="30" customHeight="1" x14ac:dyDescent="0.3">
      <c r="A48" s="74"/>
      <c r="B48" s="70"/>
      <c r="C48" s="13"/>
      <c r="D48" s="38" t="s">
        <v>192</v>
      </c>
      <c r="E48" s="99"/>
      <c r="F48" s="191">
        <v>-1823755855251</v>
      </c>
      <c r="G48" s="67"/>
      <c r="H48" s="68">
        <v>-1801842328384</v>
      </c>
      <c r="I48" s="67"/>
      <c r="J48" s="57">
        <f t="shared" si="3"/>
        <v>-21913526867</v>
      </c>
      <c r="K48" s="58">
        <f t="shared" si="2"/>
        <v>0</v>
      </c>
      <c r="L48" s="107"/>
      <c r="M48" s="107"/>
    </row>
    <row r="49" spans="1:13" ht="30" customHeight="1" x14ac:dyDescent="0.3">
      <c r="A49" s="74"/>
      <c r="B49" s="70"/>
      <c r="C49" s="13"/>
      <c r="D49" s="138" t="s">
        <v>203</v>
      </c>
      <c r="E49" s="94"/>
      <c r="F49" s="190">
        <v>4999292547</v>
      </c>
      <c r="G49" s="78"/>
      <c r="H49" s="83">
        <v>4657081666</v>
      </c>
      <c r="I49" s="78"/>
      <c r="J49" s="57">
        <f t="shared" si="3"/>
        <v>342210881</v>
      </c>
      <c r="K49" s="58">
        <f t="shared" si="2"/>
        <v>0</v>
      </c>
      <c r="L49" s="107"/>
      <c r="M49" s="107"/>
    </row>
    <row r="50" spans="1:13" ht="30" customHeight="1" x14ac:dyDescent="0.3">
      <c r="A50" s="89"/>
      <c r="B50" s="98"/>
      <c r="C50" s="13"/>
      <c r="D50" s="38" t="s">
        <v>192</v>
      </c>
      <c r="E50" s="97"/>
      <c r="F50" s="191">
        <v>-4320859331</v>
      </c>
      <c r="G50" s="67"/>
      <c r="H50" s="68">
        <v>-4062659060</v>
      </c>
      <c r="I50" s="67"/>
      <c r="J50" s="57">
        <f t="shared" si="3"/>
        <v>-258200271</v>
      </c>
      <c r="K50" s="58">
        <f t="shared" si="2"/>
        <v>0</v>
      </c>
      <c r="L50" s="107"/>
      <c r="M50" s="107"/>
    </row>
    <row r="51" spans="1:13" ht="30" customHeight="1" x14ac:dyDescent="0.3">
      <c r="A51" s="139"/>
      <c r="B51" s="140"/>
      <c r="C51" s="13"/>
      <c r="D51" s="141" t="s">
        <v>200</v>
      </c>
      <c r="E51" s="97"/>
      <c r="F51" s="191">
        <v>-52200000</v>
      </c>
      <c r="G51" s="67"/>
      <c r="H51" s="68" t="s">
        <v>379</v>
      </c>
      <c r="I51" s="67"/>
      <c r="J51" s="57"/>
      <c r="K51" s="58"/>
      <c r="L51" s="107"/>
      <c r="M51" s="107"/>
    </row>
    <row r="52" spans="1:13" ht="30" customHeight="1" x14ac:dyDescent="0.3">
      <c r="A52" s="139"/>
      <c r="B52" s="140"/>
      <c r="C52" s="13"/>
      <c r="D52" s="141" t="s">
        <v>302</v>
      </c>
      <c r="E52" s="97"/>
      <c r="F52" s="191">
        <v>-217848000</v>
      </c>
      <c r="G52" s="67"/>
      <c r="H52" s="68" t="s">
        <v>379</v>
      </c>
      <c r="I52" s="67"/>
      <c r="J52" s="57"/>
      <c r="K52" s="58"/>
      <c r="L52" s="107"/>
      <c r="M52" s="107"/>
    </row>
    <row r="53" spans="1:13" ht="30" customHeight="1" x14ac:dyDescent="0.3">
      <c r="A53" s="74"/>
      <c r="B53" s="70"/>
      <c r="C53" s="13"/>
      <c r="D53" s="38" t="s">
        <v>104</v>
      </c>
      <c r="E53" s="94"/>
      <c r="F53" s="190">
        <v>124253743865</v>
      </c>
      <c r="G53" s="78"/>
      <c r="H53" s="83">
        <v>115314959986</v>
      </c>
      <c r="I53" s="78"/>
      <c r="J53" s="57">
        <f t="shared" si="3"/>
        <v>8938783879</v>
      </c>
      <c r="K53" s="58">
        <f t="shared" si="2"/>
        <v>0</v>
      </c>
      <c r="L53" s="107"/>
      <c r="M53" s="107"/>
    </row>
    <row r="54" spans="1:13" ht="30" customHeight="1" x14ac:dyDescent="0.3">
      <c r="A54" s="74"/>
      <c r="B54" s="70"/>
      <c r="C54" s="13"/>
      <c r="D54" s="38" t="s">
        <v>192</v>
      </c>
      <c r="E54" s="97"/>
      <c r="F54" s="191">
        <v>-98918949869</v>
      </c>
      <c r="G54" s="67"/>
      <c r="H54" s="68">
        <v>-97265064110</v>
      </c>
      <c r="I54" s="67"/>
      <c r="J54" s="57">
        <f t="shared" si="3"/>
        <v>-1653885759</v>
      </c>
      <c r="K54" s="58">
        <f t="shared" si="2"/>
        <v>0</v>
      </c>
      <c r="L54" s="107"/>
      <c r="M54" s="107"/>
    </row>
    <row r="55" spans="1:13" ht="30" customHeight="1" x14ac:dyDescent="0.3">
      <c r="A55" s="89"/>
      <c r="B55" s="98"/>
      <c r="C55" s="13"/>
      <c r="D55" s="38" t="s">
        <v>200</v>
      </c>
      <c r="E55" s="97"/>
      <c r="F55" s="191">
        <v>-37415643</v>
      </c>
      <c r="G55" s="67"/>
      <c r="H55" s="68">
        <v>-46012009</v>
      </c>
      <c r="I55" s="67"/>
      <c r="J55" s="57">
        <f t="shared" si="3"/>
        <v>8596366</v>
      </c>
      <c r="K55" s="58">
        <f t="shared" si="2"/>
        <v>0</v>
      </c>
      <c r="L55" s="107"/>
      <c r="M55" s="107"/>
    </row>
    <row r="56" spans="1:13" ht="30" customHeight="1" x14ac:dyDescent="0.3">
      <c r="A56" s="74"/>
      <c r="B56" s="70"/>
      <c r="C56" s="13"/>
      <c r="D56" s="38" t="s">
        <v>202</v>
      </c>
      <c r="E56" s="94"/>
      <c r="F56" s="190">
        <v>8399656014</v>
      </c>
      <c r="G56" s="78"/>
      <c r="H56" s="83">
        <v>8213759919</v>
      </c>
      <c r="I56" s="78"/>
      <c r="J56" s="57">
        <f t="shared" si="3"/>
        <v>185896095</v>
      </c>
      <c r="K56" s="58">
        <f t="shared" si="2"/>
        <v>0</v>
      </c>
      <c r="L56" s="107"/>
      <c r="M56" s="107"/>
    </row>
    <row r="57" spans="1:13" ht="30" customHeight="1" x14ac:dyDescent="0.3">
      <c r="A57" s="74"/>
      <c r="B57" s="70"/>
      <c r="C57" s="13"/>
      <c r="D57" s="38" t="s">
        <v>192</v>
      </c>
      <c r="E57" s="97"/>
      <c r="F57" s="191">
        <v>-5493583808</v>
      </c>
      <c r="G57" s="67"/>
      <c r="H57" s="68">
        <v>-4991215030</v>
      </c>
      <c r="I57" s="67"/>
      <c r="J57" s="57">
        <f t="shared" si="3"/>
        <v>-502368778</v>
      </c>
      <c r="K57" s="58">
        <f t="shared" si="2"/>
        <v>0</v>
      </c>
      <c r="L57" s="107"/>
      <c r="M57" s="107"/>
    </row>
    <row r="58" spans="1:13" ht="30" customHeight="1" x14ac:dyDescent="0.3">
      <c r="A58" s="89"/>
      <c r="B58" s="98"/>
      <c r="C58" s="13"/>
      <c r="D58" s="38" t="s">
        <v>201</v>
      </c>
      <c r="E58" s="94"/>
      <c r="F58" s="190">
        <v>375266376177</v>
      </c>
      <c r="G58" s="78"/>
      <c r="H58" s="83">
        <v>420310061945</v>
      </c>
      <c r="I58" s="78"/>
      <c r="J58" s="57">
        <f t="shared" si="3"/>
        <v>-45043685768</v>
      </c>
      <c r="K58" s="58">
        <f t="shared" si="2"/>
        <v>0</v>
      </c>
      <c r="L58" s="107"/>
      <c r="M58" s="107"/>
    </row>
    <row r="59" spans="1:13" ht="30" customHeight="1" x14ac:dyDescent="0.3">
      <c r="A59" s="74"/>
      <c r="B59" s="70"/>
      <c r="C59" s="13"/>
      <c r="D59" s="38" t="s">
        <v>200</v>
      </c>
      <c r="E59" s="97"/>
      <c r="F59" s="191">
        <v>-51955910227</v>
      </c>
      <c r="G59" s="67"/>
      <c r="H59" s="68">
        <v>-31552142515</v>
      </c>
      <c r="I59" s="67"/>
      <c r="J59" s="57">
        <f t="shared" si="3"/>
        <v>-20403767712</v>
      </c>
      <c r="K59" s="58">
        <f t="shared" si="2"/>
        <v>0</v>
      </c>
      <c r="L59" s="107"/>
      <c r="M59" s="107"/>
    </row>
    <row r="60" spans="1:13" ht="30" customHeight="1" x14ac:dyDescent="0.3">
      <c r="A60" s="74"/>
      <c r="B60" s="70"/>
      <c r="C60" s="13"/>
      <c r="D60" s="38" t="s">
        <v>199</v>
      </c>
      <c r="E60" s="94"/>
      <c r="F60" s="190">
        <v>71749504782</v>
      </c>
      <c r="G60" s="78"/>
      <c r="H60" s="83">
        <v>70129709163</v>
      </c>
      <c r="I60" s="78"/>
      <c r="J60" s="57">
        <f t="shared" si="3"/>
        <v>1619795619</v>
      </c>
      <c r="K60" s="58">
        <f t="shared" si="2"/>
        <v>0</v>
      </c>
      <c r="L60" s="107"/>
      <c r="M60" s="107"/>
    </row>
    <row r="61" spans="1:13" ht="30" customHeight="1" x14ac:dyDescent="0.3">
      <c r="A61" s="89"/>
      <c r="B61" s="98"/>
      <c r="C61" s="13"/>
      <c r="D61" s="38" t="s">
        <v>192</v>
      </c>
      <c r="E61" s="97"/>
      <c r="F61" s="191">
        <v>-17518780320</v>
      </c>
      <c r="G61" s="67"/>
      <c r="H61" s="68">
        <v>-14904744741</v>
      </c>
      <c r="I61" s="67"/>
      <c r="J61" s="57">
        <f t="shared" si="3"/>
        <v>-2614035579</v>
      </c>
      <c r="K61" s="58">
        <f t="shared" si="2"/>
        <v>0</v>
      </c>
    </row>
    <row r="62" spans="1:13" ht="30" customHeight="1" x14ac:dyDescent="0.3">
      <c r="A62" s="74"/>
      <c r="B62" s="70"/>
      <c r="C62" s="13"/>
      <c r="D62" s="38" t="s">
        <v>191</v>
      </c>
      <c r="E62" s="97"/>
      <c r="F62" s="191">
        <v>-54230724462</v>
      </c>
      <c r="G62" s="88"/>
      <c r="H62" s="68">
        <v>-55224964422</v>
      </c>
      <c r="I62" s="88"/>
      <c r="J62" s="57">
        <f t="shared" si="3"/>
        <v>994239960</v>
      </c>
      <c r="K62" s="58">
        <f t="shared" si="2"/>
        <v>0</v>
      </c>
    </row>
    <row r="63" spans="1:13" ht="30" customHeight="1" x14ac:dyDescent="0.3">
      <c r="A63" s="211" t="s">
        <v>26</v>
      </c>
      <c r="B63" s="212"/>
      <c r="C63" s="214" t="s">
        <v>198</v>
      </c>
      <c r="D63" s="214"/>
      <c r="E63" s="96"/>
      <c r="F63" s="189"/>
      <c r="G63" s="95">
        <v>108868803708</v>
      </c>
      <c r="H63" s="80"/>
      <c r="I63" s="95">
        <v>109586189438</v>
      </c>
      <c r="J63" s="57">
        <f t="shared" si="3"/>
        <v>0</v>
      </c>
      <c r="K63" s="58">
        <f t="shared" si="2"/>
        <v>-717385730</v>
      </c>
    </row>
    <row r="64" spans="1:13" ht="30" customHeight="1" x14ac:dyDescent="0.3">
      <c r="A64" s="74"/>
      <c r="B64" s="70"/>
      <c r="C64" s="13"/>
      <c r="D64" s="69" t="s">
        <v>197</v>
      </c>
      <c r="E64" s="94"/>
      <c r="F64" s="190">
        <v>165029036</v>
      </c>
      <c r="G64" s="78"/>
      <c r="H64" s="83">
        <v>160570464</v>
      </c>
      <c r="I64" s="78"/>
      <c r="J64" s="57">
        <f t="shared" si="3"/>
        <v>4458572</v>
      </c>
      <c r="K64" s="58">
        <f t="shared" si="2"/>
        <v>0</v>
      </c>
    </row>
    <row r="65" spans="1:14" ht="30" customHeight="1" x14ac:dyDescent="0.3">
      <c r="A65" s="74"/>
      <c r="B65" s="70"/>
      <c r="C65" s="13"/>
      <c r="D65" s="69" t="s">
        <v>196</v>
      </c>
      <c r="E65" s="94"/>
      <c r="F65" s="190">
        <v>99598023461</v>
      </c>
      <c r="G65" s="78"/>
      <c r="H65" s="83">
        <v>99598023461</v>
      </c>
      <c r="I65" s="78"/>
      <c r="J65" s="57">
        <f t="shared" si="3"/>
        <v>0</v>
      </c>
      <c r="K65" s="58">
        <f t="shared" si="2"/>
        <v>0</v>
      </c>
    </row>
    <row r="66" spans="1:14" ht="30" customHeight="1" x14ac:dyDescent="0.3">
      <c r="A66" s="74"/>
      <c r="B66" s="70"/>
      <c r="C66" s="13"/>
      <c r="D66" s="69" t="s">
        <v>195</v>
      </c>
      <c r="E66" s="25"/>
      <c r="F66" s="190">
        <v>9105751211</v>
      </c>
      <c r="G66" s="78"/>
      <c r="H66" s="83">
        <v>9827595513</v>
      </c>
      <c r="I66" s="78"/>
      <c r="J66" s="57">
        <f t="shared" si="3"/>
        <v>-721844302</v>
      </c>
      <c r="K66" s="58">
        <f t="shared" si="2"/>
        <v>0</v>
      </c>
    </row>
    <row r="67" spans="1:14" ht="30" customHeight="1" x14ac:dyDescent="0.3">
      <c r="A67" s="74"/>
      <c r="B67" s="70"/>
      <c r="C67" s="13"/>
      <c r="D67" s="69" t="s">
        <v>193</v>
      </c>
      <c r="E67" s="25"/>
      <c r="F67" s="190">
        <v>1062988711</v>
      </c>
      <c r="G67" s="78"/>
      <c r="H67" s="83">
        <v>1001364126</v>
      </c>
      <c r="I67" s="78"/>
      <c r="J67" s="57">
        <f t="shared" si="3"/>
        <v>61624585</v>
      </c>
      <c r="K67" s="58">
        <f t="shared" si="2"/>
        <v>0</v>
      </c>
      <c r="M67" s="57"/>
    </row>
    <row r="68" spans="1:14" ht="30" customHeight="1" x14ac:dyDescent="0.3">
      <c r="A68" s="74"/>
      <c r="B68" s="13"/>
      <c r="C68" s="13"/>
      <c r="D68" s="38" t="s">
        <v>192</v>
      </c>
      <c r="E68" s="25"/>
      <c r="F68" s="193">
        <v>-707523650</v>
      </c>
      <c r="G68" s="67"/>
      <c r="H68" s="93">
        <v>-508841331</v>
      </c>
      <c r="I68" s="67"/>
      <c r="J68" s="57">
        <f t="shared" si="3"/>
        <v>-198682319</v>
      </c>
      <c r="K68" s="58">
        <f t="shared" si="2"/>
        <v>0</v>
      </c>
      <c r="M68" s="57"/>
    </row>
    <row r="69" spans="1:14" ht="30" customHeight="1" x14ac:dyDescent="0.3">
      <c r="A69" s="74"/>
      <c r="B69" s="13"/>
      <c r="C69" s="13"/>
      <c r="D69" s="38" t="s">
        <v>191</v>
      </c>
      <c r="E69" s="25"/>
      <c r="F69" s="191">
        <v>-355465061</v>
      </c>
      <c r="G69" s="88"/>
      <c r="H69" s="68">
        <v>-492522795</v>
      </c>
      <c r="I69" s="88"/>
      <c r="J69" s="57">
        <f t="shared" si="3"/>
        <v>137057734</v>
      </c>
      <c r="K69" s="58">
        <f t="shared" si="2"/>
        <v>0</v>
      </c>
      <c r="M69" s="57"/>
    </row>
    <row r="70" spans="1:14" ht="30" customHeight="1" x14ac:dyDescent="0.3">
      <c r="A70" s="211" t="s">
        <v>34</v>
      </c>
      <c r="B70" s="212"/>
      <c r="C70" s="214" t="s">
        <v>190</v>
      </c>
      <c r="D70" s="214"/>
      <c r="E70" s="14"/>
      <c r="F70" s="189"/>
      <c r="G70" s="90">
        <v>12523515743</v>
      </c>
      <c r="H70" s="80"/>
      <c r="I70" s="90">
        <v>11481670221</v>
      </c>
      <c r="J70" s="57">
        <f t="shared" si="3"/>
        <v>0</v>
      </c>
      <c r="K70" s="58">
        <f t="shared" si="2"/>
        <v>1041845522</v>
      </c>
    </row>
    <row r="71" spans="1:14" ht="30" customHeight="1" x14ac:dyDescent="0.3">
      <c r="A71" s="89"/>
      <c r="B71" s="70"/>
      <c r="C71" s="13"/>
      <c r="D71" s="38" t="s">
        <v>189</v>
      </c>
      <c r="E71" s="14"/>
      <c r="F71" s="190">
        <v>2276665500</v>
      </c>
      <c r="G71" s="78"/>
      <c r="H71" s="83">
        <v>2346665500</v>
      </c>
      <c r="I71" s="78"/>
      <c r="J71" s="57">
        <f t="shared" si="3"/>
        <v>-70000000</v>
      </c>
      <c r="K71" s="58">
        <f t="shared" si="2"/>
        <v>0</v>
      </c>
    </row>
    <row r="72" spans="1:14" ht="30" customHeight="1" x14ac:dyDescent="0.3">
      <c r="A72" s="89"/>
      <c r="B72" s="70"/>
      <c r="C72" s="13"/>
      <c r="D72" s="38" t="s">
        <v>188</v>
      </c>
      <c r="E72" s="14"/>
      <c r="F72" s="190">
        <v>1241309884</v>
      </c>
      <c r="G72" s="78"/>
      <c r="H72" s="83">
        <v>1241309884</v>
      </c>
      <c r="I72" s="78"/>
      <c r="J72" s="57">
        <f t="shared" si="3"/>
        <v>0</v>
      </c>
      <c r="K72" s="58">
        <f t="shared" si="2"/>
        <v>0</v>
      </c>
    </row>
    <row r="73" spans="1:14" ht="30" customHeight="1" x14ac:dyDescent="0.3">
      <c r="A73" s="89"/>
      <c r="B73" s="70"/>
      <c r="C73" s="13"/>
      <c r="D73" s="38" t="s">
        <v>187</v>
      </c>
      <c r="E73" s="14"/>
      <c r="F73" s="194">
        <v>-1179746238</v>
      </c>
      <c r="G73" s="67"/>
      <c r="H73" s="73">
        <v>-1179746238</v>
      </c>
      <c r="I73" s="67"/>
      <c r="J73" s="57">
        <f t="shared" si="3"/>
        <v>0</v>
      </c>
      <c r="K73" s="58">
        <f t="shared" si="2"/>
        <v>0</v>
      </c>
    </row>
    <row r="74" spans="1:14" ht="30" customHeight="1" x14ac:dyDescent="0.3">
      <c r="A74" s="74"/>
      <c r="B74" s="70"/>
      <c r="C74" s="13"/>
      <c r="D74" s="38" t="s">
        <v>186</v>
      </c>
      <c r="E74" s="14"/>
      <c r="F74" s="190">
        <v>10185286597</v>
      </c>
      <c r="G74" s="78"/>
      <c r="H74" s="83">
        <v>9073441075</v>
      </c>
      <c r="I74" s="78"/>
      <c r="J74" s="57">
        <f t="shared" si="3"/>
        <v>1111845522</v>
      </c>
      <c r="K74" s="58">
        <f t="shared" ref="K74:K105" si="4">G74-I74</f>
        <v>0</v>
      </c>
    </row>
    <row r="75" spans="1:14" ht="30" customHeight="1" thickBot="1" x14ac:dyDescent="0.35">
      <c r="A75" s="66" t="s">
        <v>14</v>
      </c>
      <c r="B75" s="215" t="s">
        <v>185</v>
      </c>
      <c r="C75" s="215"/>
      <c r="D75" s="215"/>
      <c r="E75" s="65"/>
      <c r="F75" s="195"/>
      <c r="G75" s="63">
        <v>13199044797484</v>
      </c>
      <c r="H75" s="64"/>
      <c r="I75" s="63">
        <v>13242423899374</v>
      </c>
      <c r="J75" s="57">
        <f t="shared" si="3"/>
        <v>0</v>
      </c>
      <c r="K75" s="58">
        <f t="shared" si="4"/>
        <v>-43379101890</v>
      </c>
    </row>
    <row r="76" spans="1:14" ht="30" customHeight="1" thickTop="1" x14ac:dyDescent="0.3">
      <c r="A76" s="216" t="s">
        <v>184</v>
      </c>
      <c r="B76" s="217"/>
      <c r="C76" s="217"/>
      <c r="D76" s="217"/>
      <c r="E76" s="81"/>
      <c r="F76" s="189"/>
      <c r="G76" s="78"/>
      <c r="H76" s="80"/>
      <c r="I76" s="78"/>
      <c r="J76" s="57">
        <f t="shared" ref="J76:J107" si="5">F76-H76</f>
        <v>0</v>
      </c>
      <c r="K76" s="58">
        <f t="shared" si="4"/>
        <v>0</v>
      </c>
    </row>
    <row r="77" spans="1:14" ht="30" customHeight="1" x14ac:dyDescent="0.3">
      <c r="A77" s="74" t="s">
        <v>18</v>
      </c>
      <c r="B77" s="214" t="s">
        <v>183</v>
      </c>
      <c r="C77" s="214"/>
      <c r="D77" s="214"/>
      <c r="E77" s="14"/>
      <c r="F77" s="189"/>
      <c r="G77" s="78">
        <v>907466140015</v>
      </c>
      <c r="H77" s="80"/>
      <c r="I77" s="78">
        <v>1039952154496</v>
      </c>
      <c r="J77" s="57">
        <f t="shared" si="5"/>
        <v>0</v>
      </c>
      <c r="K77" s="58">
        <f t="shared" si="4"/>
        <v>-132486014481</v>
      </c>
    </row>
    <row r="78" spans="1:14" ht="30" hidden="1" customHeight="1" x14ac:dyDescent="0.3">
      <c r="A78" s="74"/>
      <c r="B78" s="38"/>
      <c r="C78" s="38"/>
      <c r="D78" s="38" t="s">
        <v>182</v>
      </c>
      <c r="E78" s="14"/>
      <c r="F78" s="189">
        <v>0</v>
      </c>
      <c r="G78" s="78"/>
      <c r="H78" s="15">
        <v>0</v>
      </c>
      <c r="I78" s="78"/>
      <c r="J78" s="57">
        <f t="shared" si="5"/>
        <v>0</v>
      </c>
      <c r="K78" s="58">
        <f t="shared" si="4"/>
        <v>0</v>
      </c>
      <c r="M78" s="130"/>
      <c r="N78" s="131"/>
    </row>
    <row r="79" spans="1:14" ht="30" customHeight="1" x14ac:dyDescent="0.3">
      <c r="A79" s="89"/>
      <c r="B79" s="70"/>
      <c r="C79" s="38"/>
      <c r="D79" s="69" t="s">
        <v>181</v>
      </c>
      <c r="E79" s="14"/>
      <c r="F79" s="190">
        <v>380314637697</v>
      </c>
      <c r="G79" s="78"/>
      <c r="H79" s="83">
        <v>387310648696</v>
      </c>
      <c r="I79" s="78"/>
      <c r="J79" s="57">
        <f t="shared" si="5"/>
        <v>-6996010999</v>
      </c>
      <c r="K79" s="58">
        <f t="shared" si="4"/>
        <v>0</v>
      </c>
      <c r="M79" s="130"/>
      <c r="N79" s="131"/>
    </row>
    <row r="80" spans="1:14" ht="30" customHeight="1" x14ac:dyDescent="0.3">
      <c r="A80" s="89"/>
      <c r="B80" s="70"/>
      <c r="C80" s="38"/>
      <c r="D80" s="69" t="s">
        <v>180</v>
      </c>
      <c r="E80" s="14"/>
      <c r="F80" s="190">
        <v>148434461830</v>
      </c>
      <c r="G80" s="78"/>
      <c r="H80" s="83">
        <v>97459678116</v>
      </c>
      <c r="I80" s="78"/>
      <c r="J80" s="57">
        <f t="shared" si="5"/>
        <v>50974783714</v>
      </c>
      <c r="K80" s="58">
        <f t="shared" si="4"/>
        <v>0</v>
      </c>
      <c r="M80" s="130"/>
      <c r="N80" s="131"/>
    </row>
    <row r="81" spans="1:14" ht="30" customHeight="1" x14ac:dyDescent="0.3">
      <c r="A81" s="89"/>
      <c r="B81" s="70"/>
      <c r="C81" s="38"/>
      <c r="D81" s="69" t="s">
        <v>179</v>
      </c>
      <c r="E81" s="14"/>
      <c r="F81" s="190">
        <v>8124684570</v>
      </c>
      <c r="G81" s="78"/>
      <c r="H81" s="83">
        <v>23591177482</v>
      </c>
      <c r="I81" s="78"/>
      <c r="J81" s="57">
        <f t="shared" si="5"/>
        <v>-15466492912</v>
      </c>
      <c r="K81" s="58">
        <f t="shared" si="4"/>
        <v>0</v>
      </c>
      <c r="M81" s="130"/>
      <c r="N81" s="131"/>
    </row>
    <row r="82" spans="1:14" ht="30" customHeight="1" x14ac:dyDescent="0.3">
      <c r="A82" s="89"/>
      <c r="B82" s="70"/>
      <c r="C82" s="38"/>
      <c r="D82" s="69" t="s">
        <v>178</v>
      </c>
      <c r="E82" s="14"/>
      <c r="F82" s="190">
        <v>63759816450</v>
      </c>
      <c r="G82" s="78"/>
      <c r="H82" s="83">
        <v>52495934524</v>
      </c>
      <c r="I82" s="78"/>
      <c r="J82" s="57">
        <f t="shared" si="5"/>
        <v>11263881926</v>
      </c>
      <c r="K82" s="58">
        <f t="shared" si="4"/>
        <v>0</v>
      </c>
      <c r="M82" s="130"/>
      <c r="N82" s="131"/>
    </row>
    <row r="83" spans="1:14" ht="30" customHeight="1" x14ac:dyDescent="0.3">
      <c r="A83" s="89"/>
      <c r="B83" s="70"/>
      <c r="C83" s="38"/>
      <c r="D83" s="69" t="s">
        <v>177</v>
      </c>
      <c r="E83" s="14"/>
      <c r="F83" s="190">
        <v>192400000000</v>
      </c>
      <c r="G83" s="78"/>
      <c r="H83" s="83">
        <v>385023730000</v>
      </c>
      <c r="I83" s="78"/>
      <c r="J83" s="57">
        <f t="shared" si="5"/>
        <v>-192623730000</v>
      </c>
      <c r="K83" s="58">
        <f t="shared" si="4"/>
        <v>0</v>
      </c>
      <c r="M83" s="130"/>
      <c r="N83" s="131"/>
    </row>
    <row r="84" spans="1:14" ht="30" customHeight="1" x14ac:dyDescent="0.3">
      <c r="A84" s="89"/>
      <c r="B84" s="70"/>
      <c r="C84" s="38"/>
      <c r="D84" s="69" t="s">
        <v>176</v>
      </c>
      <c r="E84" s="14"/>
      <c r="F84" s="190">
        <v>6024080492</v>
      </c>
      <c r="G84" s="78"/>
      <c r="H84" s="83">
        <v>5863244923</v>
      </c>
      <c r="I84" s="78"/>
      <c r="J84" s="57">
        <f t="shared" si="5"/>
        <v>160835569</v>
      </c>
      <c r="K84" s="58">
        <f t="shared" si="4"/>
        <v>0</v>
      </c>
      <c r="M84" s="130"/>
      <c r="N84" s="131"/>
    </row>
    <row r="85" spans="1:14" ht="30" customHeight="1" x14ac:dyDescent="0.3">
      <c r="A85" s="89"/>
      <c r="B85" s="70"/>
      <c r="C85" s="38"/>
      <c r="D85" s="69" t="s">
        <v>175</v>
      </c>
      <c r="E85" s="14"/>
      <c r="F85" s="190">
        <v>7769021383</v>
      </c>
      <c r="G85" s="78"/>
      <c r="H85" s="83">
        <v>6361639462</v>
      </c>
      <c r="I85" s="78"/>
      <c r="J85" s="57">
        <f t="shared" si="5"/>
        <v>1407381921</v>
      </c>
      <c r="K85" s="58">
        <f t="shared" si="4"/>
        <v>0</v>
      </c>
      <c r="M85" s="130"/>
      <c r="N85" s="131"/>
    </row>
    <row r="86" spans="1:14" ht="30" customHeight="1" x14ac:dyDescent="0.3">
      <c r="A86" s="89"/>
      <c r="B86" s="70"/>
      <c r="C86" s="38"/>
      <c r="D86" s="69" t="s">
        <v>174</v>
      </c>
      <c r="E86" s="14"/>
      <c r="F86" s="190">
        <v>2857927902</v>
      </c>
      <c r="G86" s="78"/>
      <c r="H86" s="83">
        <v>12775314277</v>
      </c>
      <c r="I86" s="78"/>
      <c r="J86" s="57">
        <f t="shared" si="5"/>
        <v>-9917386375</v>
      </c>
      <c r="K86" s="58">
        <f t="shared" si="4"/>
        <v>0</v>
      </c>
      <c r="M86" s="130"/>
      <c r="N86" s="131"/>
    </row>
    <row r="87" spans="1:14" ht="30" customHeight="1" x14ac:dyDescent="0.3">
      <c r="A87" s="71"/>
      <c r="B87" s="92"/>
      <c r="C87" s="38"/>
      <c r="D87" s="69" t="s">
        <v>173</v>
      </c>
      <c r="E87" s="14"/>
      <c r="F87" s="190">
        <v>97716489121</v>
      </c>
      <c r="G87" s="78"/>
      <c r="H87" s="83">
        <v>68934464745</v>
      </c>
      <c r="I87" s="78"/>
      <c r="J87" s="57">
        <f t="shared" si="5"/>
        <v>28782024376</v>
      </c>
      <c r="K87" s="58">
        <f t="shared" si="4"/>
        <v>0</v>
      </c>
      <c r="M87" s="130"/>
      <c r="N87" s="131"/>
    </row>
    <row r="88" spans="1:14" ht="30" customHeight="1" x14ac:dyDescent="0.3">
      <c r="A88" s="71"/>
      <c r="B88" s="92"/>
      <c r="C88" s="91"/>
      <c r="D88" s="69" t="s">
        <v>172</v>
      </c>
      <c r="E88" s="14"/>
      <c r="F88" s="190">
        <v>65020570</v>
      </c>
      <c r="G88" s="78"/>
      <c r="H88" s="15">
        <v>136322271</v>
      </c>
      <c r="I88" s="78"/>
      <c r="J88" s="57">
        <f t="shared" si="5"/>
        <v>-71301701</v>
      </c>
      <c r="K88" s="58">
        <f t="shared" si="4"/>
        <v>0</v>
      </c>
      <c r="M88" s="130"/>
      <c r="N88" s="131"/>
    </row>
    <row r="89" spans="1:14" ht="30" customHeight="1" x14ac:dyDescent="0.3">
      <c r="A89" s="74" t="s">
        <v>36</v>
      </c>
      <c r="B89" s="214" t="s">
        <v>171</v>
      </c>
      <c r="C89" s="214"/>
      <c r="D89" s="214"/>
      <c r="E89" s="14"/>
      <c r="F89" s="188"/>
      <c r="G89" s="78">
        <v>3738004018907</v>
      </c>
      <c r="H89" s="76"/>
      <c r="I89" s="78">
        <v>4080150196625</v>
      </c>
      <c r="J89" s="57">
        <f t="shared" si="5"/>
        <v>0</v>
      </c>
      <c r="K89" s="58">
        <f t="shared" si="4"/>
        <v>-342146177718</v>
      </c>
      <c r="M89" s="130"/>
      <c r="N89" s="131"/>
    </row>
    <row r="90" spans="1:14" ht="30" customHeight="1" x14ac:dyDescent="0.3">
      <c r="A90" s="71"/>
      <c r="B90" s="70"/>
      <c r="C90" s="13"/>
      <c r="D90" s="69" t="s">
        <v>170</v>
      </c>
      <c r="E90" s="14"/>
      <c r="F90" s="190">
        <v>730000000000</v>
      </c>
      <c r="G90" s="78"/>
      <c r="H90" s="83">
        <v>550000000000</v>
      </c>
      <c r="I90" s="78"/>
      <c r="J90" s="57">
        <f t="shared" si="5"/>
        <v>180000000000</v>
      </c>
      <c r="K90" s="58">
        <f t="shared" si="4"/>
        <v>0</v>
      </c>
      <c r="M90" s="130"/>
      <c r="N90" s="131"/>
    </row>
    <row r="91" spans="1:14" ht="30" customHeight="1" x14ac:dyDescent="0.3">
      <c r="A91" s="74"/>
      <c r="B91" s="70"/>
      <c r="C91" s="13"/>
      <c r="D91" s="69" t="s">
        <v>169</v>
      </c>
      <c r="E91" s="14"/>
      <c r="F91" s="191">
        <v>-131894671</v>
      </c>
      <c r="G91" s="67"/>
      <c r="H91" s="68">
        <v>-121861426</v>
      </c>
      <c r="I91" s="67"/>
      <c r="J91" s="57">
        <f t="shared" si="5"/>
        <v>-10033245</v>
      </c>
      <c r="K91" s="58">
        <f t="shared" si="4"/>
        <v>0</v>
      </c>
      <c r="M91" s="130"/>
      <c r="N91" s="131"/>
    </row>
    <row r="92" spans="1:14" ht="30" customHeight="1" x14ac:dyDescent="0.3">
      <c r="A92" s="71"/>
      <c r="B92" s="70"/>
      <c r="C92" s="13"/>
      <c r="D92" s="69" t="s">
        <v>168</v>
      </c>
      <c r="E92" s="14"/>
      <c r="F92" s="190">
        <v>1732809320000</v>
      </c>
      <c r="G92" s="90"/>
      <c r="H92" s="83">
        <v>2159046185000</v>
      </c>
      <c r="I92" s="90"/>
      <c r="J92" s="57">
        <f t="shared" si="5"/>
        <v>-426236865000</v>
      </c>
      <c r="K92" s="58">
        <f t="shared" si="4"/>
        <v>0</v>
      </c>
      <c r="M92" s="130"/>
      <c r="N92" s="131"/>
    </row>
    <row r="93" spans="1:14" ht="30" customHeight="1" x14ac:dyDescent="0.3">
      <c r="A93" s="71"/>
      <c r="B93" s="70"/>
      <c r="C93" s="13"/>
      <c r="D93" s="69" t="s">
        <v>167</v>
      </c>
      <c r="E93" s="14"/>
      <c r="F93" s="190">
        <v>17400000000</v>
      </c>
      <c r="G93" s="90"/>
      <c r="H93" s="83">
        <v>34800000000</v>
      </c>
      <c r="I93" s="90"/>
      <c r="J93" s="57">
        <f t="shared" si="5"/>
        <v>-17400000000</v>
      </c>
      <c r="K93" s="58">
        <f t="shared" si="4"/>
        <v>0</v>
      </c>
      <c r="M93" s="130"/>
      <c r="N93" s="131"/>
    </row>
    <row r="94" spans="1:14" ht="30" customHeight="1" x14ac:dyDescent="0.3">
      <c r="A94" s="71"/>
      <c r="B94" s="70"/>
      <c r="C94" s="13"/>
      <c r="D94" s="69" t="s">
        <v>166</v>
      </c>
      <c r="E94" s="14"/>
      <c r="F94" s="190">
        <v>3053226519</v>
      </c>
      <c r="G94" s="90"/>
      <c r="H94" s="83">
        <v>5796586980</v>
      </c>
      <c r="I94" s="90"/>
      <c r="J94" s="57">
        <f t="shared" si="5"/>
        <v>-2743360461</v>
      </c>
      <c r="K94" s="58">
        <f t="shared" si="4"/>
        <v>0</v>
      </c>
      <c r="M94" s="130"/>
      <c r="N94" s="131"/>
    </row>
    <row r="95" spans="1:14" ht="30" customHeight="1" x14ac:dyDescent="0.3">
      <c r="A95" s="89"/>
      <c r="B95" s="70"/>
      <c r="C95" s="13"/>
      <c r="D95" s="69" t="s">
        <v>165</v>
      </c>
      <c r="E95" s="14"/>
      <c r="F95" s="191">
        <v>-155947751</v>
      </c>
      <c r="G95" s="88"/>
      <c r="H95" s="68">
        <v>-371431790</v>
      </c>
      <c r="I95" s="88"/>
      <c r="J95" s="57">
        <f t="shared" si="5"/>
        <v>215484039</v>
      </c>
      <c r="K95" s="58">
        <f t="shared" si="4"/>
        <v>0</v>
      </c>
      <c r="M95" s="130"/>
      <c r="N95" s="131"/>
    </row>
    <row r="96" spans="1:14" ht="30" customHeight="1" x14ac:dyDescent="0.3">
      <c r="A96" s="71"/>
      <c r="B96" s="70"/>
      <c r="C96" s="13"/>
      <c r="D96" s="69" t="s">
        <v>164</v>
      </c>
      <c r="E96" s="14"/>
      <c r="F96" s="190">
        <v>81570297261</v>
      </c>
      <c r="G96" s="84"/>
      <c r="H96" s="83">
        <v>130571105408</v>
      </c>
      <c r="I96" s="84"/>
      <c r="J96" s="57">
        <f t="shared" si="5"/>
        <v>-49000808147</v>
      </c>
      <c r="K96" s="58">
        <f t="shared" si="4"/>
        <v>0</v>
      </c>
      <c r="M96" s="130"/>
      <c r="N96" s="131"/>
    </row>
    <row r="97" spans="1:14" ht="30" customHeight="1" x14ac:dyDescent="0.3">
      <c r="A97" s="74"/>
      <c r="B97" s="70"/>
      <c r="C97" s="13"/>
      <c r="D97" s="69" t="s">
        <v>163</v>
      </c>
      <c r="E97" s="14"/>
      <c r="F97" s="196">
        <v>1052823283737</v>
      </c>
      <c r="G97" s="88"/>
      <c r="H97" s="83">
        <v>1059519539802</v>
      </c>
      <c r="I97" s="78"/>
      <c r="J97" s="57">
        <f t="shared" si="5"/>
        <v>-6696256065</v>
      </c>
      <c r="K97" s="58">
        <f t="shared" si="4"/>
        <v>0</v>
      </c>
      <c r="M97" s="130"/>
      <c r="N97" s="131"/>
    </row>
    <row r="98" spans="1:14" ht="30" customHeight="1" x14ac:dyDescent="0.3">
      <c r="A98" s="71"/>
      <c r="B98" s="70"/>
      <c r="C98" s="13"/>
      <c r="D98" s="87" t="s">
        <v>162</v>
      </c>
      <c r="E98" s="14"/>
      <c r="F98" s="191">
        <v>-294417770</v>
      </c>
      <c r="G98" s="86"/>
      <c r="H98" s="68">
        <v>-319588370</v>
      </c>
      <c r="I98" s="85"/>
      <c r="J98" s="57">
        <f t="shared" si="5"/>
        <v>25170600</v>
      </c>
      <c r="K98" s="58">
        <f t="shared" si="4"/>
        <v>0</v>
      </c>
      <c r="M98" s="130"/>
      <c r="N98" s="131"/>
    </row>
    <row r="99" spans="1:14" ht="30" customHeight="1" x14ac:dyDescent="0.3">
      <c r="A99" s="71"/>
      <c r="B99" s="70"/>
      <c r="C99" s="13"/>
      <c r="D99" s="69" t="s">
        <v>161</v>
      </c>
      <c r="E99" s="14"/>
      <c r="F99" s="190">
        <v>38316170146</v>
      </c>
      <c r="G99" s="84"/>
      <c r="H99" s="83">
        <v>47671382894</v>
      </c>
      <c r="I99" s="84"/>
      <c r="J99" s="57">
        <f t="shared" si="5"/>
        <v>-9355212748</v>
      </c>
      <c r="K99" s="58">
        <f t="shared" si="4"/>
        <v>0</v>
      </c>
      <c r="M99" s="130"/>
      <c r="N99" s="131"/>
    </row>
    <row r="100" spans="1:14" ht="30" customHeight="1" x14ac:dyDescent="0.3">
      <c r="A100" s="71"/>
      <c r="B100" s="70"/>
      <c r="C100" s="13"/>
      <c r="D100" s="69" t="s">
        <v>160</v>
      </c>
      <c r="E100" s="14"/>
      <c r="F100" s="190">
        <v>82613981436</v>
      </c>
      <c r="G100" s="82"/>
      <c r="H100" s="83">
        <v>93558278127</v>
      </c>
      <c r="I100" s="82"/>
      <c r="J100" s="57">
        <f t="shared" si="5"/>
        <v>-10944296691</v>
      </c>
      <c r="K100" s="58">
        <f t="shared" si="4"/>
        <v>0</v>
      </c>
      <c r="M100" s="130"/>
      <c r="N100" s="131"/>
    </row>
    <row r="101" spans="1:14" ht="30" hidden="1" customHeight="1" x14ac:dyDescent="0.3">
      <c r="A101" s="71"/>
      <c r="B101" s="70"/>
      <c r="C101" s="13" t="s">
        <v>159</v>
      </c>
      <c r="D101" s="69" t="s">
        <v>158</v>
      </c>
      <c r="E101" s="14"/>
      <c r="F101" s="190">
        <v>0</v>
      </c>
      <c r="G101" s="82"/>
      <c r="H101" s="15">
        <v>0</v>
      </c>
      <c r="I101" s="82"/>
      <c r="J101" s="57">
        <f t="shared" si="5"/>
        <v>0</v>
      </c>
      <c r="K101" s="58">
        <f t="shared" si="4"/>
        <v>0</v>
      </c>
    </row>
    <row r="102" spans="1:14" ht="30" customHeight="1" thickBot="1" x14ac:dyDescent="0.35">
      <c r="A102" s="66" t="s">
        <v>14</v>
      </c>
      <c r="B102" s="215" t="s">
        <v>157</v>
      </c>
      <c r="C102" s="215"/>
      <c r="D102" s="215"/>
      <c r="E102" s="65"/>
      <c r="F102" s="195"/>
      <c r="G102" s="63">
        <v>4645470158922</v>
      </c>
      <c r="H102" s="64"/>
      <c r="I102" s="63">
        <v>5120102351121</v>
      </c>
      <c r="J102" s="57">
        <f t="shared" si="5"/>
        <v>0</v>
      </c>
      <c r="K102" s="58">
        <f t="shared" si="4"/>
        <v>-474632192199</v>
      </c>
    </row>
    <row r="103" spans="1:14" ht="30" customHeight="1" thickTop="1" x14ac:dyDescent="0.3">
      <c r="A103" s="216" t="s">
        <v>156</v>
      </c>
      <c r="B103" s="217"/>
      <c r="C103" s="217"/>
      <c r="D103" s="217"/>
      <c r="E103" s="81"/>
      <c r="F103" s="189"/>
      <c r="G103" s="78"/>
      <c r="H103" s="80"/>
      <c r="I103" s="78"/>
      <c r="J103" s="57">
        <f t="shared" si="5"/>
        <v>0</v>
      </c>
      <c r="K103" s="58">
        <f t="shared" si="4"/>
        <v>0</v>
      </c>
    </row>
    <row r="104" spans="1:14" ht="30" customHeight="1" x14ac:dyDescent="0.3">
      <c r="A104" s="74" t="s">
        <v>18</v>
      </c>
      <c r="B104" s="214" t="s">
        <v>155</v>
      </c>
      <c r="C104" s="214"/>
      <c r="D104" s="214"/>
      <c r="E104" s="25"/>
      <c r="F104" s="189"/>
      <c r="G104" s="78">
        <v>20676935389447</v>
      </c>
      <c r="H104" s="80"/>
      <c r="I104" s="78">
        <v>19659235225013</v>
      </c>
      <c r="J104" s="57">
        <f t="shared" si="5"/>
        <v>0</v>
      </c>
      <c r="K104" s="58">
        <f t="shared" si="4"/>
        <v>1017700164434</v>
      </c>
    </row>
    <row r="105" spans="1:14" ht="30" customHeight="1" x14ac:dyDescent="0.3">
      <c r="A105" s="71"/>
      <c r="B105" s="70"/>
      <c r="C105" s="13"/>
      <c r="D105" s="69" t="s">
        <v>542</v>
      </c>
      <c r="E105" s="25"/>
      <c r="F105" s="188">
        <v>20675128723107</v>
      </c>
      <c r="G105" s="78"/>
      <c r="H105" s="76">
        <v>19657428558673</v>
      </c>
      <c r="I105" s="78"/>
      <c r="J105" s="57">
        <f t="shared" si="5"/>
        <v>1017700164434</v>
      </c>
      <c r="K105" s="58">
        <f t="shared" si="4"/>
        <v>0</v>
      </c>
      <c r="M105" s="107"/>
      <c r="N105" s="41"/>
    </row>
    <row r="106" spans="1:14" ht="30" customHeight="1" x14ac:dyDescent="0.3">
      <c r="A106" s="71"/>
      <c r="B106" s="70"/>
      <c r="C106" s="13"/>
      <c r="D106" s="69" t="s">
        <v>154</v>
      </c>
      <c r="E106" s="25"/>
      <c r="F106" s="197">
        <v>1806666340</v>
      </c>
      <c r="G106" s="78"/>
      <c r="H106" s="79">
        <v>1806666340</v>
      </c>
      <c r="I106" s="78"/>
      <c r="J106" s="57">
        <f t="shared" si="5"/>
        <v>0</v>
      </c>
      <c r="K106" s="58">
        <f t="shared" ref="K106:K113" si="6">G106-I106</f>
        <v>0</v>
      </c>
      <c r="M106" s="107"/>
      <c r="N106" s="41"/>
    </row>
    <row r="107" spans="1:14" ht="30" customHeight="1" x14ac:dyDescent="0.3">
      <c r="A107" s="74" t="s">
        <v>36</v>
      </c>
      <c r="B107" s="214" t="s">
        <v>153</v>
      </c>
      <c r="C107" s="214"/>
      <c r="D107" s="214"/>
      <c r="E107" s="25"/>
      <c r="F107" s="198"/>
      <c r="G107" s="75">
        <v>2831344048858</v>
      </c>
      <c r="H107" s="77"/>
      <c r="I107" s="75">
        <v>2831323854838</v>
      </c>
      <c r="J107" s="57">
        <f t="shared" si="5"/>
        <v>0</v>
      </c>
      <c r="K107" s="58">
        <f t="shared" si="6"/>
        <v>20194020</v>
      </c>
      <c r="M107" s="107"/>
      <c r="N107" s="41"/>
    </row>
    <row r="108" spans="1:14" ht="30" customHeight="1" x14ac:dyDescent="0.3">
      <c r="A108" s="71"/>
      <c r="B108" s="70"/>
      <c r="C108" s="13"/>
      <c r="D108" s="69" t="s">
        <v>307</v>
      </c>
      <c r="E108" s="25"/>
      <c r="F108" s="188">
        <v>20194020</v>
      </c>
      <c r="G108" s="75"/>
      <c r="H108" s="76" t="s">
        <v>379</v>
      </c>
      <c r="I108" s="75"/>
      <c r="J108" s="57" t="e">
        <f t="shared" ref="J108:J113" si="7">F108-H108</f>
        <v>#VALUE!</v>
      </c>
      <c r="K108" s="58">
        <f t="shared" si="6"/>
        <v>0</v>
      </c>
      <c r="M108" s="107"/>
      <c r="N108" s="41"/>
    </row>
    <row r="109" spans="1:14" ht="30" customHeight="1" x14ac:dyDescent="0.3">
      <c r="A109" s="71"/>
      <c r="B109" s="70"/>
      <c r="C109" s="13"/>
      <c r="D109" s="69" t="s">
        <v>152</v>
      </c>
      <c r="E109" s="25"/>
      <c r="F109" s="192">
        <v>2831323854838</v>
      </c>
      <c r="G109" s="75"/>
      <c r="H109" s="76">
        <v>2831323854838</v>
      </c>
      <c r="I109" s="75"/>
      <c r="J109" s="57">
        <f t="shared" si="7"/>
        <v>0</v>
      </c>
      <c r="K109" s="58">
        <f t="shared" si="6"/>
        <v>0</v>
      </c>
      <c r="M109" s="107"/>
      <c r="N109" s="41"/>
    </row>
    <row r="110" spans="1:14" ht="30" customHeight="1" x14ac:dyDescent="0.3">
      <c r="A110" s="74" t="s">
        <v>36</v>
      </c>
      <c r="B110" s="214" t="s">
        <v>151</v>
      </c>
      <c r="C110" s="214"/>
      <c r="D110" s="214"/>
      <c r="E110" s="25"/>
      <c r="F110" s="194"/>
      <c r="G110" s="72">
        <v>-14954704799743</v>
      </c>
      <c r="H110" s="73"/>
      <c r="I110" s="72">
        <v>-14368237531598</v>
      </c>
      <c r="J110" s="57">
        <f t="shared" si="7"/>
        <v>0</v>
      </c>
      <c r="K110" s="58">
        <f t="shared" si="6"/>
        <v>-586467268145</v>
      </c>
      <c r="M110" s="107"/>
      <c r="N110" s="41"/>
    </row>
    <row r="111" spans="1:14" ht="30" customHeight="1" x14ac:dyDescent="0.3">
      <c r="A111" s="71"/>
      <c r="B111" s="70"/>
      <c r="C111" s="13"/>
      <c r="D111" s="69" t="s">
        <v>150</v>
      </c>
      <c r="E111" s="25"/>
      <c r="F111" s="191">
        <v>-14954704799743</v>
      </c>
      <c r="G111" s="67"/>
      <c r="H111" s="68">
        <v>-14368237531598</v>
      </c>
      <c r="I111" s="67"/>
      <c r="J111" s="57">
        <f t="shared" si="7"/>
        <v>-586467268145</v>
      </c>
      <c r="K111" s="58">
        <f t="shared" si="6"/>
        <v>0</v>
      </c>
      <c r="M111" s="107"/>
      <c r="N111" s="41"/>
    </row>
    <row r="112" spans="1:14" ht="30" customHeight="1" thickBot="1" x14ac:dyDescent="0.35">
      <c r="A112" s="66" t="s">
        <v>14</v>
      </c>
      <c r="B112" s="215" t="s">
        <v>149</v>
      </c>
      <c r="C112" s="215"/>
      <c r="D112" s="215"/>
      <c r="E112" s="65"/>
      <c r="F112" s="195"/>
      <c r="G112" s="63">
        <v>8553574638562</v>
      </c>
      <c r="H112" s="64"/>
      <c r="I112" s="63">
        <v>8122321548253</v>
      </c>
      <c r="J112" s="57">
        <f t="shared" si="7"/>
        <v>0</v>
      </c>
      <c r="K112" s="58">
        <f t="shared" si="6"/>
        <v>431253090309</v>
      </c>
    </row>
    <row r="113" spans="1:13" ht="30" customHeight="1" thickTop="1" thickBot="1" x14ac:dyDescent="0.35">
      <c r="A113" s="62" t="s">
        <v>14</v>
      </c>
      <c r="B113" s="220" t="s">
        <v>148</v>
      </c>
      <c r="C113" s="220"/>
      <c r="D113" s="220"/>
      <c r="E113" s="61"/>
      <c r="F113" s="199"/>
      <c r="G113" s="59">
        <v>13199044797484</v>
      </c>
      <c r="H113" s="60"/>
      <c r="I113" s="59">
        <v>13242423899374</v>
      </c>
      <c r="J113" s="57">
        <f t="shared" si="7"/>
        <v>0</v>
      </c>
      <c r="K113" s="58">
        <f t="shared" si="6"/>
        <v>-43379101890</v>
      </c>
      <c r="M113" s="57"/>
    </row>
    <row r="114" spans="1:13" ht="18.75" x14ac:dyDescent="0.3">
      <c r="A114" s="56"/>
      <c r="B114" s="55"/>
      <c r="C114" s="54"/>
      <c r="D114" s="53"/>
      <c r="E114" s="51"/>
      <c r="F114" s="52"/>
      <c r="G114" s="51"/>
    </row>
    <row r="115" spans="1:13" ht="18.75" x14ac:dyDescent="0.25">
      <c r="A115" s="45"/>
      <c r="B115" s="45"/>
      <c r="C115" s="46"/>
      <c r="D115" s="45"/>
      <c r="E115" s="44"/>
      <c r="F115" s="44"/>
      <c r="G115" s="50" t="b">
        <f>G75=G113</f>
        <v>1</v>
      </c>
    </row>
    <row r="116" spans="1:13" ht="18.75" x14ac:dyDescent="0.25">
      <c r="A116" s="45"/>
      <c r="B116" s="45"/>
      <c r="C116" s="46"/>
      <c r="D116" s="49"/>
      <c r="E116" s="44"/>
      <c r="F116" s="44"/>
      <c r="G116" s="48"/>
    </row>
    <row r="117" spans="1:13" ht="18.75" x14ac:dyDescent="0.25">
      <c r="A117" s="45"/>
      <c r="B117" s="45"/>
      <c r="C117" s="46"/>
      <c r="D117" s="45"/>
      <c r="E117" s="44"/>
      <c r="F117" s="44"/>
      <c r="G117" s="44"/>
    </row>
    <row r="118" spans="1:13" ht="18.75" x14ac:dyDescent="0.25">
      <c r="A118" s="45"/>
      <c r="B118" s="45"/>
      <c r="C118" s="46"/>
      <c r="D118" s="45"/>
      <c r="E118" s="44"/>
      <c r="F118" s="44"/>
      <c r="G118" s="44"/>
    </row>
    <row r="119" spans="1:13" ht="18.75" x14ac:dyDescent="0.25">
      <c r="A119" s="45"/>
      <c r="B119" s="45"/>
      <c r="C119" s="46"/>
      <c r="D119" s="45"/>
      <c r="E119" s="44"/>
      <c r="F119" s="44"/>
      <c r="G119" s="44"/>
    </row>
    <row r="120" spans="1:13" ht="18.75" x14ac:dyDescent="0.25">
      <c r="A120" s="45"/>
      <c r="B120" s="45"/>
      <c r="C120" s="46"/>
      <c r="D120" s="45"/>
      <c r="E120" s="44"/>
      <c r="F120" s="44"/>
      <c r="G120" s="44"/>
    </row>
    <row r="121" spans="1:13" ht="18.75" x14ac:dyDescent="0.25">
      <c r="A121" s="45"/>
      <c r="B121" s="45"/>
      <c r="C121" s="46"/>
      <c r="D121" s="45"/>
      <c r="E121" s="44"/>
      <c r="F121" s="44"/>
      <c r="G121" s="44"/>
    </row>
    <row r="122" spans="1:13" ht="18.75" x14ac:dyDescent="0.25">
      <c r="A122" s="45"/>
      <c r="B122" s="45"/>
      <c r="C122" s="46"/>
      <c r="D122" s="45"/>
      <c r="E122" s="44"/>
      <c r="F122" s="44"/>
      <c r="G122" s="44"/>
    </row>
    <row r="123" spans="1:13" ht="18.75" x14ac:dyDescent="0.25">
      <c r="A123" s="45"/>
      <c r="B123" s="45"/>
      <c r="C123" s="46"/>
      <c r="D123" s="45"/>
      <c r="E123" s="44"/>
      <c r="F123" s="44"/>
      <c r="G123" s="44"/>
    </row>
    <row r="124" spans="1:13" ht="18.75" x14ac:dyDescent="0.25">
      <c r="A124" s="47"/>
      <c r="B124" s="45"/>
      <c r="C124" s="46"/>
      <c r="D124" s="45"/>
      <c r="E124" s="44"/>
      <c r="F124" s="44"/>
      <c r="G124" s="44"/>
    </row>
    <row r="125" spans="1:13" ht="18.75" x14ac:dyDescent="0.25">
      <c r="A125" s="47"/>
      <c r="B125" s="45"/>
      <c r="C125" s="46"/>
      <c r="D125" s="45"/>
      <c r="E125" s="44"/>
      <c r="F125" s="44"/>
      <c r="G125" s="44"/>
    </row>
    <row r="126" spans="1:13" ht="18.75" x14ac:dyDescent="0.25">
      <c r="A126" s="47"/>
      <c r="B126" s="45"/>
      <c r="C126" s="46"/>
      <c r="D126" s="45"/>
      <c r="E126" s="44"/>
      <c r="F126" s="44"/>
      <c r="G126" s="44"/>
    </row>
    <row r="127" spans="1:13" ht="18.75" x14ac:dyDescent="0.25">
      <c r="A127" s="47"/>
      <c r="B127" s="45"/>
      <c r="C127" s="46"/>
      <c r="D127" s="45"/>
      <c r="E127" s="44"/>
      <c r="F127" s="44"/>
      <c r="G127" s="44"/>
    </row>
    <row r="128" spans="1:13" ht="18.75" x14ac:dyDescent="0.25">
      <c r="A128" s="47"/>
      <c r="B128" s="45"/>
      <c r="C128" s="46"/>
      <c r="D128" s="45"/>
      <c r="E128" s="44"/>
      <c r="F128" s="44"/>
      <c r="G128" s="44"/>
    </row>
    <row r="129" spans="1:7" ht="18.75" x14ac:dyDescent="0.25">
      <c r="A129" s="47"/>
      <c r="B129" s="45"/>
      <c r="C129" s="46"/>
      <c r="D129" s="45"/>
      <c r="E129" s="44"/>
      <c r="F129" s="44"/>
      <c r="G129" s="44"/>
    </row>
    <row r="130" spans="1:7" ht="18.75" x14ac:dyDescent="0.25">
      <c r="A130" s="47"/>
      <c r="B130" s="45"/>
      <c r="C130" s="46"/>
      <c r="D130" s="45"/>
      <c r="E130" s="44"/>
      <c r="F130" s="44"/>
      <c r="G130" s="44"/>
    </row>
    <row r="131" spans="1:7" ht="18.75" x14ac:dyDescent="0.25">
      <c r="A131" s="47"/>
      <c r="B131" s="45"/>
      <c r="C131" s="46"/>
      <c r="D131" s="45"/>
      <c r="E131" s="44"/>
      <c r="F131" s="44"/>
      <c r="G131" s="44"/>
    </row>
    <row r="132" spans="1:7" ht="18.75" x14ac:dyDescent="0.25">
      <c r="A132" s="47"/>
      <c r="B132" s="45"/>
      <c r="C132" s="46"/>
      <c r="D132" s="45"/>
      <c r="E132" s="44"/>
      <c r="F132" s="44"/>
      <c r="G132" s="44"/>
    </row>
    <row r="133" spans="1:7" ht="18.75" x14ac:dyDescent="0.25">
      <c r="A133" s="47"/>
      <c r="B133" s="45"/>
      <c r="C133" s="46"/>
      <c r="D133" s="45"/>
      <c r="E133" s="44"/>
      <c r="F133" s="44"/>
      <c r="G133" s="44"/>
    </row>
    <row r="134" spans="1:7" ht="18.75" x14ac:dyDescent="0.25">
      <c r="A134" s="47"/>
      <c r="B134" s="45"/>
      <c r="C134" s="46"/>
      <c r="D134" s="45"/>
      <c r="E134" s="44"/>
      <c r="F134" s="44"/>
      <c r="G134" s="44"/>
    </row>
    <row r="135" spans="1:7" ht="18.75" x14ac:dyDescent="0.25">
      <c r="A135" s="47"/>
      <c r="B135" s="45"/>
      <c r="C135" s="46"/>
      <c r="D135" s="45"/>
      <c r="E135" s="44"/>
      <c r="F135" s="44"/>
      <c r="G135" s="44"/>
    </row>
    <row r="136" spans="1:7" ht="18.75" x14ac:dyDescent="0.25">
      <c r="A136" s="47"/>
      <c r="B136" s="45"/>
      <c r="C136" s="46"/>
      <c r="D136" s="45"/>
      <c r="E136" s="44"/>
      <c r="F136" s="44"/>
      <c r="G136" s="44"/>
    </row>
    <row r="137" spans="1:7" ht="18.75" x14ac:dyDescent="0.25">
      <c r="A137" s="47"/>
      <c r="B137" s="45"/>
      <c r="C137" s="46"/>
      <c r="D137" s="45"/>
      <c r="E137" s="44"/>
      <c r="F137" s="44"/>
      <c r="G137" s="44"/>
    </row>
    <row r="138" spans="1:7" ht="18.75" x14ac:dyDescent="0.25">
      <c r="A138" s="47"/>
      <c r="B138" s="45"/>
      <c r="C138" s="46"/>
      <c r="D138" s="45"/>
      <c r="E138" s="44"/>
      <c r="F138" s="44"/>
      <c r="G138" s="44"/>
    </row>
    <row r="139" spans="1:7" ht="18.75" x14ac:dyDescent="0.25">
      <c r="A139" s="47"/>
      <c r="B139" s="45"/>
      <c r="C139" s="46"/>
      <c r="D139" s="45"/>
      <c r="E139" s="44"/>
      <c r="F139" s="44"/>
      <c r="G139" s="44"/>
    </row>
    <row r="140" spans="1:7" ht="18.75" x14ac:dyDescent="0.25">
      <c r="A140" s="47"/>
      <c r="B140" s="45"/>
      <c r="C140" s="46"/>
      <c r="D140" s="45"/>
      <c r="E140" s="44"/>
      <c r="F140" s="44"/>
      <c r="G140" s="44"/>
    </row>
    <row r="141" spans="1:7" ht="18.75" x14ac:dyDescent="0.25">
      <c r="A141" s="47"/>
      <c r="B141" s="45"/>
      <c r="C141" s="46"/>
      <c r="D141" s="45"/>
      <c r="E141" s="44"/>
      <c r="F141" s="44"/>
      <c r="G141" s="44"/>
    </row>
    <row r="142" spans="1:7" ht="18.75" x14ac:dyDescent="0.25">
      <c r="A142" s="47"/>
      <c r="B142" s="45"/>
      <c r="C142" s="46"/>
      <c r="D142" s="45"/>
      <c r="E142" s="44"/>
      <c r="F142" s="44"/>
      <c r="G142" s="44"/>
    </row>
    <row r="143" spans="1:7" ht="18.75" x14ac:dyDescent="0.25">
      <c r="A143" s="47"/>
      <c r="B143" s="45"/>
      <c r="C143" s="46"/>
      <c r="D143" s="45"/>
      <c r="E143" s="44"/>
      <c r="F143" s="44"/>
      <c r="G143" s="44"/>
    </row>
    <row r="144" spans="1:7" ht="18.75" x14ac:dyDescent="0.25">
      <c r="A144" s="47"/>
      <c r="B144" s="45"/>
      <c r="C144" s="46"/>
      <c r="D144" s="45"/>
      <c r="E144" s="44"/>
      <c r="F144" s="44"/>
      <c r="G144" s="44"/>
    </row>
    <row r="145" spans="1:7" ht="18.75" x14ac:dyDescent="0.25">
      <c r="A145" s="47"/>
      <c r="B145" s="45"/>
      <c r="C145" s="46"/>
      <c r="D145" s="45"/>
      <c r="E145" s="44"/>
      <c r="F145" s="44"/>
      <c r="G145" s="44"/>
    </row>
    <row r="146" spans="1:7" ht="18.75" x14ac:dyDescent="0.25">
      <c r="A146" s="47"/>
      <c r="B146" s="45"/>
      <c r="C146" s="46"/>
      <c r="D146" s="45"/>
      <c r="E146" s="44"/>
      <c r="F146" s="44"/>
      <c r="G146" s="44"/>
    </row>
    <row r="147" spans="1:7" ht="18.75" x14ac:dyDescent="0.25">
      <c r="A147" s="47"/>
      <c r="B147" s="45"/>
      <c r="C147" s="46"/>
      <c r="D147" s="45"/>
      <c r="E147" s="44"/>
      <c r="F147" s="44"/>
      <c r="G147" s="44"/>
    </row>
    <row r="148" spans="1:7" ht="18.75" x14ac:dyDescent="0.25">
      <c r="A148" s="47"/>
      <c r="B148" s="45"/>
      <c r="C148" s="46"/>
      <c r="D148" s="45"/>
      <c r="E148" s="44"/>
      <c r="F148" s="44"/>
      <c r="G148" s="44"/>
    </row>
    <row r="149" spans="1:7" ht="18.75" x14ac:dyDescent="0.25">
      <c r="A149" s="47"/>
      <c r="B149" s="45"/>
      <c r="C149" s="46"/>
      <c r="D149" s="45"/>
      <c r="E149" s="44"/>
      <c r="F149" s="44"/>
      <c r="G149" s="44"/>
    </row>
    <row r="150" spans="1:7" ht="18.75" x14ac:dyDescent="0.25">
      <c r="A150" s="47"/>
      <c r="B150" s="45"/>
      <c r="C150" s="46"/>
      <c r="D150" s="45"/>
      <c r="E150" s="44"/>
      <c r="F150" s="44"/>
      <c r="G150" s="44"/>
    </row>
    <row r="151" spans="1:7" ht="18.75" x14ac:dyDescent="0.25">
      <c r="A151" s="47"/>
      <c r="B151" s="45"/>
      <c r="C151" s="46"/>
      <c r="D151" s="45"/>
      <c r="E151" s="44"/>
      <c r="F151" s="44"/>
      <c r="G151" s="44"/>
    </row>
    <row r="152" spans="1:7" ht="18.75" x14ac:dyDescent="0.25">
      <c r="A152" s="47"/>
      <c r="B152" s="45"/>
      <c r="C152" s="46"/>
      <c r="D152" s="45"/>
      <c r="E152" s="44"/>
      <c r="F152" s="44"/>
      <c r="G152" s="44"/>
    </row>
    <row r="153" spans="1:7" ht="18.75" x14ac:dyDescent="0.25">
      <c r="A153" s="47"/>
      <c r="B153" s="45"/>
      <c r="C153" s="46"/>
      <c r="D153" s="45"/>
      <c r="E153" s="44"/>
      <c r="F153" s="44"/>
      <c r="G153" s="44"/>
    </row>
    <row r="154" spans="1:7" ht="18.75" x14ac:dyDescent="0.25">
      <c r="A154" s="47"/>
      <c r="B154" s="45"/>
      <c r="C154" s="46"/>
      <c r="D154" s="45"/>
      <c r="E154" s="44"/>
      <c r="F154" s="44"/>
      <c r="G154" s="44"/>
    </row>
    <row r="155" spans="1:7" ht="18.75" x14ac:dyDescent="0.25">
      <c r="A155" s="47"/>
      <c r="B155" s="45"/>
      <c r="C155" s="46"/>
      <c r="D155" s="45"/>
      <c r="E155" s="44"/>
      <c r="F155" s="44"/>
      <c r="G155" s="44"/>
    </row>
    <row r="156" spans="1:7" ht="18.75" x14ac:dyDescent="0.25">
      <c r="A156" s="47"/>
      <c r="B156" s="45"/>
      <c r="C156" s="46"/>
      <c r="D156" s="45"/>
      <c r="E156" s="44"/>
      <c r="F156" s="44"/>
      <c r="G156" s="44"/>
    </row>
    <row r="157" spans="1:7" ht="18.75" x14ac:dyDescent="0.25">
      <c r="A157" s="47"/>
      <c r="B157" s="45"/>
      <c r="C157" s="46"/>
      <c r="D157" s="45"/>
      <c r="E157" s="44"/>
      <c r="F157" s="44"/>
      <c r="G157" s="44"/>
    </row>
    <row r="158" spans="1:7" ht="18.75" x14ac:dyDescent="0.25">
      <c r="A158" s="47"/>
      <c r="B158" s="45"/>
      <c r="C158" s="46"/>
      <c r="D158" s="45"/>
      <c r="E158" s="44"/>
      <c r="F158" s="44"/>
      <c r="G158" s="44"/>
    </row>
    <row r="159" spans="1:7" ht="18.75" x14ac:dyDescent="0.25">
      <c r="A159" s="47"/>
      <c r="B159" s="45"/>
      <c r="C159" s="46"/>
      <c r="D159" s="45"/>
      <c r="E159" s="44"/>
      <c r="F159" s="44"/>
      <c r="G159" s="44"/>
    </row>
    <row r="160" spans="1:7" ht="18.75" x14ac:dyDescent="0.25">
      <c r="A160" s="47"/>
      <c r="B160" s="45"/>
      <c r="C160" s="46"/>
      <c r="D160" s="45"/>
      <c r="E160" s="44"/>
      <c r="F160" s="44"/>
      <c r="G160" s="44"/>
    </row>
    <row r="161" spans="1:7" ht="18.75" x14ac:dyDescent="0.25">
      <c r="A161" s="47"/>
      <c r="B161" s="45"/>
      <c r="C161" s="46"/>
      <c r="D161" s="45"/>
      <c r="E161" s="44"/>
      <c r="F161" s="44"/>
      <c r="G161" s="44"/>
    </row>
    <row r="162" spans="1:7" ht="18.75" x14ac:dyDescent="0.25">
      <c r="A162" s="47"/>
      <c r="B162" s="45"/>
      <c r="C162" s="46"/>
      <c r="D162" s="45"/>
      <c r="E162" s="44"/>
      <c r="F162" s="44"/>
      <c r="G162" s="44"/>
    </row>
    <row r="163" spans="1:7" ht="18.75" x14ac:dyDescent="0.25">
      <c r="A163" s="47"/>
      <c r="B163" s="45"/>
      <c r="C163" s="46"/>
      <c r="D163" s="45"/>
      <c r="E163" s="44"/>
      <c r="F163" s="44"/>
      <c r="G163" s="44"/>
    </row>
    <row r="164" spans="1:7" ht="18.75" x14ac:dyDescent="0.25">
      <c r="A164" s="47"/>
      <c r="B164" s="45"/>
      <c r="C164" s="46"/>
      <c r="D164" s="45"/>
      <c r="E164" s="44"/>
      <c r="F164" s="44"/>
      <c r="G164" s="44"/>
    </row>
    <row r="165" spans="1:7" ht="18.75" x14ac:dyDescent="0.25">
      <c r="A165" s="47"/>
      <c r="B165" s="45"/>
      <c r="C165" s="46"/>
      <c r="D165" s="45"/>
      <c r="E165" s="44"/>
      <c r="F165" s="44"/>
      <c r="G165" s="44"/>
    </row>
    <row r="166" spans="1:7" ht="18.75" x14ac:dyDescent="0.25">
      <c r="A166" s="47"/>
      <c r="B166" s="45"/>
      <c r="C166" s="46"/>
      <c r="D166" s="45"/>
      <c r="E166" s="44"/>
      <c r="F166" s="44"/>
      <c r="G166" s="44"/>
    </row>
    <row r="167" spans="1:7" ht="18.75" x14ac:dyDescent="0.25">
      <c r="A167" s="47"/>
      <c r="B167" s="45"/>
      <c r="C167" s="46"/>
      <c r="D167" s="45"/>
      <c r="E167" s="44"/>
      <c r="F167" s="44"/>
      <c r="G167" s="44"/>
    </row>
    <row r="168" spans="1:7" ht="18.75" x14ac:dyDescent="0.25">
      <c r="A168" s="47"/>
      <c r="B168" s="45"/>
      <c r="C168" s="46"/>
      <c r="D168" s="45"/>
      <c r="E168" s="44"/>
      <c r="F168" s="44"/>
      <c r="G168" s="44"/>
    </row>
    <row r="169" spans="1:7" ht="18.75" x14ac:dyDescent="0.25">
      <c r="A169" s="47"/>
      <c r="B169" s="45"/>
      <c r="C169" s="46"/>
      <c r="D169" s="45"/>
      <c r="E169" s="44"/>
      <c r="F169" s="44"/>
      <c r="G169" s="44"/>
    </row>
    <row r="170" spans="1:7" ht="18.75" x14ac:dyDescent="0.25">
      <c r="A170" s="47"/>
      <c r="B170" s="45"/>
      <c r="C170" s="46"/>
      <c r="D170" s="45"/>
      <c r="E170" s="44"/>
      <c r="F170" s="44"/>
      <c r="G170" s="44"/>
    </row>
    <row r="171" spans="1:7" ht="18.75" x14ac:dyDescent="0.25">
      <c r="A171" s="47"/>
      <c r="B171" s="45"/>
      <c r="C171" s="46"/>
      <c r="D171" s="45"/>
      <c r="E171" s="44"/>
      <c r="F171" s="44"/>
      <c r="G171" s="44"/>
    </row>
    <row r="172" spans="1:7" ht="18.75" x14ac:dyDescent="0.25">
      <c r="A172" s="47"/>
      <c r="B172" s="45"/>
      <c r="C172" s="46"/>
      <c r="D172" s="45"/>
      <c r="E172" s="44"/>
      <c r="F172" s="44"/>
      <c r="G172" s="44"/>
    </row>
    <row r="173" spans="1:7" ht="18.75" x14ac:dyDescent="0.25">
      <c r="A173" s="47"/>
      <c r="B173" s="45"/>
      <c r="C173" s="46"/>
      <c r="D173" s="45"/>
      <c r="E173" s="44"/>
      <c r="F173" s="44"/>
      <c r="G173" s="44"/>
    </row>
    <row r="174" spans="1:7" ht="18.75" x14ac:dyDescent="0.25">
      <c r="A174" s="47"/>
      <c r="B174" s="45"/>
      <c r="C174" s="46"/>
      <c r="D174" s="45"/>
      <c r="E174" s="44"/>
      <c r="F174" s="44"/>
      <c r="G174" s="44"/>
    </row>
    <row r="175" spans="1:7" ht="18.75" x14ac:dyDescent="0.25">
      <c r="A175" s="47"/>
      <c r="B175" s="45"/>
      <c r="C175" s="46"/>
      <c r="D175" s="45"/>
      <c r="E175" s="44"/>
      <c r="F175" s="44"/>
      <c r="G175" s="44"/>
    </row>
    <row r="176" spans="1:7" ht="18.75" x14ac:dyDescent="0.25">
      <c r="A176" s="47"/>
      <c r="B176" s="45"/>
      <c r="C176" s="46"/>
      <c r="D176" s="45"/>
      <c r="E176" s="44"/>
      <c r="F176" s="44"/>
      <c r="G176" s="44"/>
    </row>
    <row r="177" spans="1:7" ht="18.75" x14ac:dyDescent="0.25">
      <c r="A177" s="47"/>
      <c r="B177" s="45"/>
      <c r="C177" s="46"/>
      <c r="D177" s="45"/>
      <c r="E177" s="44"/>
      <c r="F177" s="44"/>
      <c r="G177" s="44"/>
    </row>
    <row r="178" spans="1:7" ht="18.75" x14ac:dyDescent="0.25">
      <c r="A178" s="47"/>
      <c r="B178" s="45"/>
      <c r="C178" s="46"/>
      <c r="D178" s="45"/>
      <c r="E178" s="44"/>
      <c r="F178" s="44"/>
      <c r="G178" s="44"/>
    </row>
    <row r="179" spans="1:7" ht="18.75" x14ac:dyDescent="0.25">
      <c r="A179" s="47"/>
      <c r="B179" s="45"/>
      <c r="C179" s="46"/>
      <c r="D179" s="45"/>
      <c r="E179" s="44"/>
      <c r="F179" s="44"/>
      <c r="G179" s="44"/>
    </row>
    <row r="180" spans="1:7" ht="18.75" x14ac:dyDescent="0.25">
      <c r="A180" s="47"/>
      <c r="B180" s="45"/>
      <c r="C180" s="46"/>
      <c r="D180" s="45"/>
      <c r="E180" s="44"/>
      <c r="F180" s="44"/>
      <c r="G180" s="44"/>
    </row>
    <row r="181" spans="1:7" ht="18.75" x14ac:dyDescent="0.25">
      <c r="A181" s="47"/>
      <c r="B181" s="45"/>
      <c r="C181" s="46"/>
      <c r="D181" s="45"/>
      <c r="E181" s="44"/>
      <c r="F181" s="44"/>
      <c r="G181" s="44"/>
    </row>
    <row r="182" spans="1:7" ht="18.75" x14ac:dyDescent="0.25">
      <c r="A182" s="47"/>
      <c r="B182" s="45"/>
      <c r="C182" s="46"/>
      <c r="D182" s="45"/>
      <c r="E182" s="44"/>
      <c r="F182" s="44"/>
      <c r="G182" s="44"/>
    </row>
    <row r="183" spans="1:7" ht="18.75" x14ac:dyDescent="0.25">
      <c r="A183" s="47"/>
      <c r="B183" s="45"/>
      <c r="C183" s="46"/>
      <c r="D183" s="45"/>
      <c r="E183" s="44"/>
      <c r="F183" s="44"/>
      <c r="G183" s="44"/>
    </row>
    <row r="184" spans="1:7" ht="18.75" x14ac:dyDescent="0.25">
      <c r="A184" s="47"/>
      <c r="B184" s="45"/>
      <c r="C184" s="46"/>
      <c r="D184" s="45"/>
      <c r="E184" s="44"/>
      <c r="F184" s="44"/>
      <c r="G184" s="44"/>
    </row>
    <row r="185" spans="1:7" ht="18.75" x14ac:dyDescent="0.25">
      <c r="A185" s="47"/>
      <c r="B185" s="45"/>
      <c r="C185" s="46"/>
      <c r="D185" s="45"/>
      <c r="E185" s="44"/>
      <c r="F185" s="44"/>
      <c r="G185" s="44"/>
    </row>
    <row r="186" spans="1:7" ht="18.75" x14ac:dyDescent="0.25">
      <c r="A186" s="47"/>
      <c r="B186" s="45"/>
      <c r="C186" s="46"/>
      <c r="D186" s="45"/>
      <c r="E186" s="44"/>
      <c r="F186" s="44"/>
      <c r="G186" s="44"/>
    </row>
    <row r="187" spans="1:7" ht="18.75" x14ac:dyDescent="0.25">
      <c r="A187" s="47"/>
      <c r="B187" s="45"/>
      <c r="C187" s="46"/>
      <c r="D187" s="45"/>
      <c r="E187" s="44"/>
      <c r="F187" s="44"/>
      <c r="G187" s="44"/>
    </row>
    <row r="188" spans="1:7" ht="18.75" x14ac:dyDescent="0.25">
      <c r="A188" s="47"/>
      <c r="B188" s="45"/>
      <c r="C188" s="46"/>
      <c r="D188" s="45"/>
      <c r="E188" s="44"/>
      <c r="F188" s="44"/>
      <c r="G188" s="44"/>
    </row>
    <row r="189" spans="1:7" ht="18.75" x14ac:dyDescent="0.25">
      <c r="A189" s="47"/>
      <c r="B189" s="45"/>
      <c r="C189" s="46"/>
      <c r="D189" s="45"/>
      <c r="E189" s="44"/>
      <c r="F189" s="44"/>
      <c r="G189" s="44"/>
    </row>
    <row r="190" spans="1:7" ht="18.75" x14ac:dyDescent="0.25">
      <c r="A190" s="47"/>
      <c r="B190" s="45"/>
      <c r="C190" s="46"/>
      <c r="D190" s="45"/>
      <c r="E190" s="44"/>
      <c r="F190" s="44"/>
      <c r="G190" s="44"/>
    </row>
    <row r="191" spans="1:7" ht="18.75" x14ac:dyDescent="0.25">
      <c r="A191" s="47"/>
      <c r="B191" s="45"/>
      <c r="C191" s="46"/>
      <c r="D191" s="45"/>
      <c r="E191" s="44"/>
      <c r="F191" s="44"/>
      <c r="G191" s="44"/>
    </row>
  </sheetData>
  <mergeCells count="34">
    <mergeCell ref="A7:D7"/>
    <mergeCell ref="C9:D9"/>
    <mergeCell ref="B113:D113"/>
    <mergeCell ref="B110:D110"/>
    <mergeCell ref="B112:D112"/>
    <mergeCell ref="C63:D63"/>
    <mergeCell ref="A63:B63"/>
    <mergeCell ref="B107:D107"/>
    <mergeCell ref="B104:D104"/>
    <mergeCell ref="A70:B70"/>
    <mergeCell ref="C70:D70"/>
    <mergeCell ref="A103:D103"/>
    <mergeCell ref="A34:B34"/>
    <mergeCell ref="C25:D25"/>
    <mergeCell ref="A25:B25"/>
    <mergeCell ref="C34:D34"/>
    <mergeCell ref="B89:D89"/>
    <mergeCell ref="B75:D75"/>
    <mergeCell ref="A76:D76"/>
    <mergeCell ref="B77:D77"/>
    <mergeCell ref="B102:D102"/>
    <mergeCell ref="A9:B9"/>
    <mergeCell ref="B8:D8"/>
    <mergeCell ref="A29:B29"/>
    <mergeCell ref="B28:D28"/>
    <mergeCell ref="C29:D29"/>
    <mergeCell ref="H6:I6"/>
    <mergeCell ref="A2:I2"/>
    <mergeCell ref="A1:I1"/>
    <mergeCell ref="A4:I4"/>
    <mergeCell ref="B6:D6"/>
    <mergeCell ref="A5:D5"/>
    <mergeCell ref="F6:G6"/>
    <mergeCell ref="A3:I3"/>
  </mergeCells>
  <phoneticPr fontId="2" type="noConversion"/>
  <pageMargins left="0.39370078740157483" right="0.39370078740157483" top="0.74803149606299213" bottom="0.74803149606299213" header="0.31496062992125984" footer="0.31496062992125984"/>
  <pageSetup paperSize="9" scale="49" fitToHeight="0" orientation="portrait" r:id="rId1"/>
  <rowBreaks count="1" manualBreakCount="1">
    <brk id="51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N78"/>
  <sheetViews>
    <sheetView view="pageBreakPreview" zoomScale="55" zoomScaleNormal="55" zoomScaleSheetLayoutView="55" workbookViewId="0">
      <selection activeCell="F27" sqref="F27"/>
    </sheetView>
  </sheetViews>
  <sheetFormatPr defaultRowHeight="16.5" x14ac:dyDescent="0.3"/>
  <cols>
    <col min="1" max="1" width="6.375" customWidth="1"/>
    <col min="2" max="2" width="5.125" customWidth="1"/>
    <col min="4" max="4" width="30.25" customWidth="1"/>
    <col min="5" max="5" width="4.25" customWidth="1"/>
    <col min="6" max="6" width="27.75" customWidth="1"/>
    <col min="7" max="7" width="31.25" customWidth="1"/>
    <col min="8" max="8" width="30.75" customWidth="1"/>
    <col min="9" max="9" width="32.125" customWidth="1"/>
    <col min="12" max="12" width="21.75" customWidth="1"/>
    <col min="13" max="15" width="30.375" customWidth="1"/>
  </cols>
  <sheetData>
    <row r="1" spans="1:14" ht="56.25" customHeight="1" x14ac:dyDescent="0.3">
      <c r="A1" s="207" t="s">
        <v>11</v>
      </c>
      <c r="B1" s="207"/>
      <c r="C1" s="207"/>
      <c r="D1" s="207"/>
      <c r="E1" s="207"/>
      <c r="F1" s="207"/>
      <c r="G1" s="207"/>
      <c r="H1" s="207"/>
      <c r="I1" s="207"/>
    </row>
    <row r="2" spans="1:14" ht="30" customHeight="1" x14ac:dyDescent="0.3">
      <c r="A2" s="206" t="s">
        <v>305</v>
      </c>
      <c r="B2" s="206"/>
      <c r="C2" s="206"/>
      <c r="D2" s="206"/>
      <c r="E2" s="206"/>
      <c r="F2" s="206"/>
      <c r="G2" s="206"/>
      <c r="H2" s="206"/>
      <c r="I2" s="206"/>
    </row>
    <row r="3" spans="1:14" ht="30" customHeight="1" x14ac:dyDescent="0.3">
      <c r="A3" s="206" t="s">
        <v>306</v>
      </c>
      <c r="B3" s="206"/>
      <c r="C3" s="206"/>
      <c r="D3" s="206"/>
      <c r="E3" s="206"/>
      <c r="F3" s="206"/>
      <c r="G3" s="206"/>
      <c r="H3" s="206"/>
      <c r="I3" s="206"/>
    </row>
    <row r="4" spans="1:14" x14ac:dyDescent="0.3">
      <c r="A4" s="208"/>
      <c r="B4" s="208"/>
      <c r="C4" s="208"/>
      <c r="D4" s="208"/>
      <c r="E4" s="208"/>
      <c r="F4" s="208"/>
      <c r="G4" s="208"/>
    </row>
    <row r="5" spans="1:14" ht="30" customHeight="1" thickBot="1" x14ac:dyDescent="0.35">
      <c r="A5" s="224" t="s">
        <v>12</v>
      </c>
      <c r="B5" s="224"/>
      <c r="C5" s="224"/>
      <c r="D5" s="224"/>
      <c r="E5" s="1"/>
      <c r="F5" s="2"/>
      <c r="G5" s="3"/>
      <c r="I5" s="3" t="s">
        <v>13</v>
      </c>
    </row>
    <row r="6" spans="1:14" ht="51" customHeight="1" x14ac:dyDescent="0.3">
      <c r="A6" s="4" t="s">
        <v>14</v>
      </c>
      <c r="B6" s="209" t="s">
        <v>15</v>
      </c>
      <c r="C6" s="209"/>
      <c r="D6" s="209"/>
      <c r="E6" s="5"/>
      <c r="F6" s="225" t="s">
        <v>16</v>
      </c>
      <c r="G6" s="205"/>
      <c r="H6" s="204" t="s">
        <v>17</v>
      </c>
      <c r="I6" s="205"/>
      <c r="L6" s="40"/>
      <c r="M6" s="40"/>
      <c r="N6" s="40"/>
    </row>
    <row r="7" spans="1:14" ht="24" x14ac:dyDescent="0.3">
      <c r="A7" s="6" t="s">
        <v>18</v>
      </c>
      <c r="B7" s="223" t="s">
        <v>19</v>
      </c>
      <c r="C7" s="223"/>
      <c r="D7" s="223"/>
      <c r="E7" s="7"/>
      <c r="F7" s="8"/>
      <c r="G7" s="9">
        <v>2004643402499</v>
      </c>
      <c r="H7" s="10"/>
      <c r="I7" s="11">
        <v>1986511966113</v>
      </c>
      <c r="L7" s="40"/>
      <c r="M7" s="40"/>
      <c r="N7" s="40"/>
    </row>
    <row r="8" spans="1:14" ht="24" x14ac:dyDescent="0.3">
      <c r="A8" s="12"/>
      <c r="B8" s="13" t="s">
        <v>20</v>
      </c>
      <c r="C8" s="214" t="s">
        <v>21</v>
      </c>
      <c r="D8" s="214"/>
      <c r="E8" s="14"/>
      <c r="F8" s="15"/>
      <c r="G8" s="16">
        <v>1930358967091</v>
      </c>
      <c r="H8" s="17"/>
      <c r="I8" s="18">
        <v>1922988784772</v>
      </c>
      <c r="L8" s="134"/>
      <c r="M8" s="135"/>
      <c r="N8" s="40"/>
    </row>
    <row r="9" spans="1:14" ht="24" x14ac:dyDescent="0.3">
      <c r="A9" s="19"/>
      <c r="B9" s="20"/>
      <c r="C9" s="13" t="s">
        <v>22</v>
      </c>
      <c r="D9" s="21" t="s">
        <v>23</v>
      </c>
      <c r="E9" s="14"/>
      <c r="F9" s="15">
        <v>1636749394102</v>
      </c>
      <c r="G9" s="22"/>
      <c r="H9" s="23">
        <v>1623423023974</v>
      </c>
      <c r="I9" s="24"/>
      <c r="L9" s="134"/>
      <c r="M9" s="135"/>
      <c r="N9" s="40"/>
    </row>
    <row r="10" spans="1:14" ht="24" x14ac:dyDescent="0.3">
      <c r="A10" s="19"/>
      <c r="B10" s="20"/>
      <c r="C10" s="13" t="s">
        <v>24</v>
      </c>
      <c r="D10" s="21" t="s">
        <v>25</v>
      </c>
      <c r="E10" s="14"/>
      <c r="F10" s="192">
        <v>201708041379</v>
      </c>
      <c r="G10" s="22"/>
      <c r="H10" s="23">
        <v>210258404891</v>
      </c>
      <c r="I10" s="24"/>
      <c r="L10" s="40"/>
      <c r="M10" s="40"/>
      <c r="N10" s="40"/>
    </row>
    <row r="11" spans="1:14" ht="24" x14ac:dyDescent="0.3">
      <c r="A11" s="19"/>
      <c r="B11" s="20"/>
      <c r="C11" s="13" t="s">
        <v>26</v>
      </c>
      <c r="D11" s="21" t="s">
        <v>27</v>
      </c>
      <c r="E11" s="14"/>
      <c r="F11" s="15">
        <v>91901531610</v>
      </c>
      <c r="G11" s="22"/>
      <c r="H11" s="23">
        <v>89307355907</v>
      </c>
      <c r="I11" s="24"/>
      <c r="L11" s="40"/>
      <c r="M11" s="40"/>
      <c r="N11" s="40"/>
    </row>
    <row r="12" spans="1:14" ht="24" x14ac:dyDescent="0.3">
      <c r="A12" s="12"/>
      <c r="B12" s="13" t="s">
        <v>28</v>
      </c>
      <c r="C12" s="214" t="s">
        <v>29</v>
      </c>
      <c r="D12" s="214"/>
      <c r="E12" s="14"/>
      <c r="F12" s="15"/>
      <c r="G12" s="16">
        <v>74284435408</v>
      </c>
      <c r="H12" s="23"/>
      <c r="I12" s="18">
        <v>63523181341</v>
      </c>
    </row>
    <row r="13" spans="1:14" ht="24" x14ac:dyDescent="0.3">
      <c r="A13" s="19"/>
      <c r="B13" s="20"/>
      <c r="C13" s="13" t="s">
        <v>30</v>
      </c>
      <c r="D13" s="21" t="s">
        <v>31</v>
      </c>
      <c r="E13" s="25"/>
      <c r="F13" s="15">
        <v>34638443925</v>
      </c>
      <c r="G13" s="22"/>
      <c r="H13" s="23">
        <v>34159419912</v>
      </c>
      <c r="I13" s="24"/>
    </row>
    <row r="14" spans="1:14" ht="24" x14ac:dyDescent="0.3">
      <c r="A14" s="19"/>
      <c r="B14" s="20"/>
      <c r="C14" s="13" t="s">
        <v>24</v>
      </c>
      <c r="D14" s="21" t="s">
        <v>32</v>
      </c>
      <c r="E14" s="14"/>
      <c r="F14" s="15">
        <v>2741859716</v>
      </c>
      <c r="G14" s="26"/>
      <c r="H14" s="23">
        <v>2016318709</v>
      </c>
      <c r="I14" s="27"/>
    </row>
    <row r="15" spans="1:14" ht="24" x14ac:dyDescent="0.3">
      <c r="A15" s="19"/>
      <c r="B15" s="20"/>
      <c r="C15" s="13" t="s">
        <v>26</v>
      </c>
      <c r="D15" s="21" t="s">
        <v>33</v>
      </c>
      <c r="E15" s="14"/>
      <c r="F15" s="15">
        <v>153993445</v>
      </c>
      <c r="G15" s="26"/>
      <c r="H15" s="23">
        <v>83415797</v>
      </c>
      <c r="I15" s="27"/>
    </row>
    <row r="16" spans="1:14" ht="24" x14ac:dyDescent="0.3">
      <c r="A16" s="19"/>
      <c r="B16" s="20"/>
      <c r="C16" s="13" t="s">
        <v>34</v>
      </c>
      <c r="D16" s="21" t="s">
        <v>35</v>
      </c>
      <c r="E16" s="25"/>
      <c r="F16" s="15">
        <v>36750138322</v>
      </c>
      <c r="G16" s="16"/>
      <c r="H16" s="23">
        <v>27264026923</v>
      </c>
      <c r="I16" s="18"/>
    </row>
    <row r="17" spans="1:9" ht="24" x14ac:dyDescent="0.3">
      <c r="A17" s="6" t="s">
        <v>36</v>
      </c>
      <c r="B17" s="223" t="s">
        <v>37</v>
      </c>
      <c r="C17" s="223"/>
      <c r="D17" s="223"/>
      <c r="E17" s="7"/>
      <c r="F17" s="8"/>
      <c r="G17" s="9">
        <v>2425976565726</v>
      </c>
      <c r="H17" s="23"/>
      <c r="I17" s="11">
        <v>2398125745965</v>
      </c>
    </row>
    <row r="18" spans="1:9" ht="24" x14ac:dyDescent="0.3">
      <c r="A18" s="12"/>
      <c r="B18" s="13" t="s">
        <v>38</v>
      </c>
      <c r="C18" s="214" t="s">
        <v>39</v>
      </c>
      <c r="D18" s="214"/>
      <c r="E18" s="14"/>
      <c r="F18" s="15">
        <v>2351692130318</v>
      </c>
      <c r="G18" s="16"/>
      <c r="H18" s="23">
        <v>2334602564624</v>
      </c>
      <c r="I18" s="18"/>
    </row>
    <row r="19" spans="1:9" ht="24" x14ac:dyDescent="0.3">
      <c r="A19" s="12"/>
      <c r="B19" s="13" t="s">
        <v>40</v>
      </c>
      <c r="C19" s="214" t="s">
        <v>41</v>
      </c>
      <c r="D19" s="214"/>
      <c r="E19" s="14"/>
      <c r="F19" s="15">
        <v>74284435408</v>
      </c>
      <c r="G19" s="16"/>
      <c r="H19" s="23">
        <v>63523181341</v>
      </c>
      <c r="I19" s="18"/>
    </row>
    <row r="20" spans="1:9" s="150" customFormat="1" ht="17.25" x14ac:dyDescent="0.3">
      <c r="A20" s="142"/>
      <c r="B20" s="143"/>
      <c r="C20" s="143" t="s">
        <v>22</v>
      </c>
      <c r="D20" s="144" t="s">
        <v>308</v>
      </c>
      <c r="E20" s="145"/>
      <c r="F20" s="146">
        <v>40788577545</v>
      </c>
      <c r="G20" s="147"/>
      <c r="H20" s="148">
        <v>39282080924</v>
      </c>
      <c r="I20" s="149"/>
    </row>
    <row r="21" spans="1:9" s="150" customFormat="1" ht="17.25" x14ac:dyDescent="0.3">
      <c r="A21" s="142"/>
      <c r="B21" s="143"/>
      <c r="C21" s="143" t="s">
        <v>24</v>
      </c>
      <c r="D21" s="144" t="s">
        <v>309</v>
      </c>
      <c r="E21" s="145"/>
      <c r="F21" s="146">
        <v>31731972382</v>
      </c>
      <c r="G21" s="147"/>
      <c r="H21" s="148">
        <v>22435682705</v>
      </c>
      <c r="I21" s="149"/>
    </row>
    <row r="22" spans="1:9" s="150" customFormat="1" ht="17.25" x14ac:dyDescent="0.3">
      <c r="A22" s="142"/>
      <c r="B22" s="143"/>
      <c r="C22" s="143" t="s">
        <v>26</v>
      </c>
      <c r="D22" s="144" t="s">
        <v>310</v>
      </c>
      <c r="E22" s="145"/>
      <c r="F22" s="146">
        <v>1763885481</v>
      </c>
      <c r="G22" s="147"/>
      <c r="H22" s="148">
        <v>1805417712</v>
      </c>
      <c r="I22" s="149"/>
    </row>
    <row r="23" spans="1:9" ht="24" x14ac:dyDescent="0.3">
      <c r="A23" s="6" t="s">
        <v>42</v>
      </c>
      <c r="B23" s="223" t="s">
        <v>43</v>
      </c>
      <c r="C23" s="223"/>
      <c r="D23" s="223"/>
      <c r="E23" s="7"/>
      <c r="F23" s="8"/>
      <c r="G23" s="28">
        <v>-421333163227</v>
      </c>
      <c r="H23" s="23"/>
      <c r="I23" s="11">
        <v>-411613779852</v>
      </c>
    </row>
    <row r="24" spans="1:9" ht="24" x14ac:dyDescent="0.3">
      <c r="A24" s="6" t="s">
        <v>44</v>
      </c>
      <c r="B24" s="223" t="s">
        <v>45</v>
      </c>
      <c r="C24" s="223"/>
      <c r="D24" s="223"/>
      <c r="E24" s="7"/>
      <c r="F24" s="8"/>
      <c r="G24" s="9">
        <v>111070576071</v>
      </c>
      <c r="H24" s="23"/>
      <c r="I24" s="11">
        <v>120599802816</v>
      </c>
    </row>
    <row r="25" spans="1:9" ht="24" x14ac:dyDescent="0.3">
      <c r="A25" s="12"/>
      <c r="B25" s="13"/>
      <c r="C25" s="214" t="s">
        <v>46</v>
      </c>
      <c r="D25" s="214"/>
      <c r="E25" s="14"/>
      <c r="F25" s="192">
        <v>61925775834</v>
      </c>
      <c r="G25" s="16"/>
      <c r="H25" s="23">
        <v>66974875603</v>
      </c>
      <c r="I25" s="18"/>
    </row>
    <row r="26" spans="1:9" ht="24" x14ac:dyDescent="0.3">
      <c r="A26" s="12"/>
      <c r="B26" s="13"/>
      <c r="C26" s="222" t="s">
        <v>47</v>
      </c>
      <c r="D26" s="222"/>
      <c r="E26" s="14"/>
      <c r="F26" s="192">
        <v>6743896130</v>
      </c>
      <c r="G26" s="16"/>
      <c r="H26" s="23">
        <v>6968196370</v>
      </c>
      <c r="I26" s="18"/>
    </row>
    <row r="27" spans="1:9" ht="24" x14ac:dyDescent="0.3">
      <c r="A27" s="12"/>
      <c r="B27" s="13"/>
      <c r="C27" s="214" t="s">
        <v>48</v>
      </c>
      <c r="D27" s="214"/>
      <c r="E27" s="14"/>
      <c r="F27" s="192">
        <v>9966306566</v>
      </c>
      <c r="G27" s="16"/>
      <c r="H27" s="23">
        <v>10463772586</v>
      </c>
      <c r="I27" s="18"/>
    </row>
    <row r="28" spans="1:9" ht="24" x14ac:dyDescent="0.3">
      <c r="A28" s="12"/>
      <c r="B28" s="13"/>
      <c r="C28" s="214" t="s">
        <v>49</v>
      </c>
      <c r="D28" s="214"/>
      <c r="E28" s="14"/>
      <c r="F28" s="192">
        <v>249967171</v>
      </c>
      <c r="G28" s="16"/>
      <c r="H28" s="23">
        <v>254210693</v>
      </c>
      <c r="I28" s="18"/>
    </row>
    <row r="29" spans="1:9" ht="24" customHeight="1" x14ac:dyDescent="0.3">
      <c r="A29" s="12"/>
      <c r="B29" s="13"/>
      <c r="C29" s="214" t="s">
        <v>3</v>
      </c>
      <c r="D29" s="214"/>
      <c r="E29" s="14"/>
      <c r="F29" s="192">
        <v>1082519457</v>
      </c>
      <c r="G29" s="16"/>
      <c r="H29" s="23">
        <v>1691582143</v>
      </c>
      <c r="I29" s="18"/>
    </row>
    <row r="30" spans="1:9" ht="24" x14ac:dyDescent="0.3">
      <c r="A30" s="12"/>
      <c r="B30" s="13"/>
      <c r="C30" s="214" t="s">
        <v>82</v>
      </c>
      <c r="D30" s="214"/>
      <c r="E30" s="14"/>
      <c r="F30" s="192">
        <v>205544602</v>
      </c>
      <c r="G30" s="16"/>
      <c r="H30" s="23">
        <v>207339871</v>
      </c>
      <c r="I30" s="18"/>
    </row>
    <row r="31" spans="1:9" ht="24" x14ac:dyDescent="0.3">
      <c r="A31" s="12"/>
      <c r="B31" s="13"/>
      <c r="C31" s="214" t="s">
        <v>50</v>
      </c>
      <c r="D31" s="214"/>
      <c r="E31" s="14"/>
      <c r="F31" s="192">
        <v>416149447</v>
      </c>
      <c r="G31" s="16"/>
      <c r="H31" s="23">
        <v>187050336</v>
      </c>
      <c r="I31" s="18"/>
    </row>
    <row r="32" spans="1:9" ht="24" x14ac:dyDescent="0.3">
      <c r="A32" s="12"/>
      <c r="B32" s="13"/>
      <c r="C32" s="214" t="s">
        <v>51</v>
      </c>
      <c r="D32" s="214"/>
      <c r="E32" s="14"/>
      <c r="F32" s="192">
        <v>251942630</v>
      </c>
      <c r="G32" s="16"/>
      <c r="H32" s="23">
        <v>255767753</v>
      </c>
      <c r="I32" s="18"/>
    </row>
    <row r="33" spans="1:9" ht="24" x14ac:dyDescent="0.3">
      <c r="A33" s="12"/>
      <c r="B33" s="13"/>
      <c r="C33" s="214" t="s">
        <v>52</v>
      </c>
      <c r="D33" s="214"/>
      <c r="E33" s="14"/>
      <c r="F33" s="192">
        <v>156083579</v>
      </c>
      <c r="G33" s="16"/>
      <c r="H33" s="23">
        <v>143323894</v>
      </c>
      <c r="I33" s="18"/>
    </row>
    <row r="34" spans="1:9" ht="24" x14ac:dyDescent="0.3">
      <c r="A34" s="12"/>
      <c r="B34" s="13"/>
      <c r="C34" s="214" t="s">
        <v>53</v>
      </c>
      <c r="D34" s="214"/>
      <c r="E34" s="14"/>
      <c r="F34" s="192">
        <v>3490147736</v>
      </c>
      <c r="G34" s="16"/>
      <c r="H34" s="23">
        <v>3337782554</v>
      </c>
      <c r="I34" s="18"/>
    </row>
    <row r="35" spans="1:9" ht="24" x14ac:dyDescent="0.3">
      <c r="A35" s="12"/>
      <c r="B35" s="13"/>
      <c r="C35" s="214" t="s">
        <v>54</v>
      </c>
      <c r="D35" s="214"/>
      <c r="E35" s="14"/>
      <c r="F35" s="192">
        <v>2809236378</v>
      </c>
      <c r="G35" s="16"/>
      <c r="H35" s="23">
        <v>2480447749</v>
      </c>
      <c r="I35" s="18"/>
    </row>
    <row r="36" spans="1:9" ht="24" x14ac:dyDescent="0.3">
      <c r="A36" s="12"/>
      <c r="B36" s="13"/>
      <c r="C36" s="214" t="s">
        <v>55</v>
      </c>
      <c r="D36" s="214"/>
      <c r="E36" s="14"/>
      <c r="F36" s="192">
        <v>177849032</v>
      </c>
      <c r="G36" s="16"/>
      <c r="H36" s="23">
        <v>241534083</v>
      </c>
      <c r="I36" s="18"/>
    </row>
    <row r="37" spans="1:9" ht="24" x14ac:dyDescent="0.3">
      <c r="A37" s="12"/>
      <c r="B37" s="13"/>
      <c r="C37" s="214" t="s">
        <v>56</v>
      </c>
      <c r="D37" s="214"/>
      <c r="E37" s="14"/>
      <c r="F37" s="192">
        <v>24008076</v>
      </c>
      <c r="G37" s="16"/>
      <c r="H37" s="23">
        <v>30242438</v>
      </c>
      <c r="I37" s="18"/>
    </row>
    <row r="38" spans="1:9" ht="24" x14ac:dyDescent="0.3">
      <c r="A38" s="12"/>
      <c r="B38" s="13"/>
      <c r="C38" s="214" t="s">
        <v>57</v>
      </c>
      <c r="D38" s="214"/>
      <c r="E38" s="14"/>
      <c r="F38" s="192">
        <v>12597995</v>
      </c>
      <c r="G38" s="16"/>
      <c r="H38" s="23">
        <v>12660432</v>
      </c>
      <c r="I38" s="18"/>
    </row>
    <row r="39" spans="1:9" ht="24" x14ac:dyDescent="0.3">
      <c r="A39" s="12"/>
      <c r="B39" s="13"/>
      <c r="C39" s="214" t="s">
        <v>58</v>
      </c>
      <c r="D39" s="214"/>
      <c r="E39" s="14"/>
      <c r="F39" s="192">
        <v>11753589652</v>
      </c>
      <c r="G39" s="16"/>
      <c r="H39" s="23">
        <v>10189589399</v>
      </c>
      <c r="I39" s="18"/>
    </row>
    <row r="40" spans="1:9" ht="24" x14ac:dyDescent="0.3">
      <c r="A40" s="12"/>
      <c r="B40" s="13"/>
      <c r="C40" s="214" t="s">
        <v>59</v>
      </c>
      <c r="D40" s="214"/>
      <c r="E40" s="14"/>
      <c r="F40" s="192">
        <v>177070984</v>
      </c>
      <c r="G40" s="16"/>
      <c r="H40" s="23">
        <v>146688338</v>
      </c>
      <c r="I40" s="18"/>
    </row>
    <row r="41" spans="1:9" ht="24" x14ac:dyDescent="0.3">
      <c r="A41" s="12"/>
      <c r="B41" s="13"/>
      <c r="C41" s="214" t="s">
        <v>60</v>
      </c>
      <c r="D41" s="214"/>
      <c r="E41" s="14"/>
      <c r="F41" s="192">
        <v>382502010</v>
      </c>
      <c r="G41" s="16"/>
      <c r="H41" s="23">
        <v>339241000</v>
      </c>
      <c r="I41" s="30"/>
    </row>
    <row r="42" spans="1:9" ht="24" x14ac:dyDescent="0.3">
      <c r="A42" s="12"/>
      <c r="B42" s="13"/>
      <c r="C42" s="214" t="s">
        <v>61</v>
      </c>
      <c r="D42" s="214"/>
      <c r="E42" s="14"/>
      <c r="F42" s="192">
        <v>1521973095</v>
      </c>
      <c r="G42" s="16"/>
      <c r="H42" s="23">
        <v>2553815791</v>
      </c>
      <c r="I42" s="18"/>
    </row>
    <row r="43" spans="1:9" ht="24" x14ac:dyDescent="0.3">
      <c r="A43" s="12"/>
      <c r="B43" s="13"/>
      <c r="C43" s="214" t="s">
        <v>62</v>
      </c>
      <c r="D43" s="214"/>
      <c r="E43" s="14"/>
      <c r="F43" s="192">
        <v>1754139137</v>
      </c>
      <c r="G43" s="16"/>
      <c r="H43" s="23">
        <v>1871946945</v>
      </c>
      <c r="I43" s="18"/>
    </row>
    <row r="44" spans="1:9" ht="24" x14ac:dyDescent="0.3">
      <c r="A44" s="12"/>
      <c r="B44" s="13"/>
      <c r="C44" s="214" t="s">
        <v>63</v>
      </c>
      <c r="D44" s="214"/>
      <c r="E44" s="14"/>
      <c r="F44" s="192">
        <v>843114581</v>
      </c>
      <c r="G44" s="16"/>
      <c r="H44" s="23">
        <v>945180687</v>
      </c>
      <c r="I44" s="18"/>
    </row>
    <row r="45" spans="1:9" ht="24" x14ac:dyDescent="0.3">
      <c r="A45" s="12"/>
      <c r="B45" s="13"/>
      <c r="C45" s="214" t="s">
        <v>64</v>
      </c>
      <c r="D45" s="214"/>
      <c r="E45" s="14"/>
      <c r="F45" s="192">
        <v>376213533</v>
      </c>
      <c r="G45" s="16"/>
      <c r="H45" s="23">
        <v>1174441975</v>
      </c>
      <c r="I45" s="18"/>
    </row>
    <row r="46" spans="1:9" ht="24" x14ac:dyDescent="0.3">
      <c r="A46" s="12"/>
      <c r="B46" s="13"/>
      <c r="C46" s="214" t="s">
        <v>65</v>
      </c>
      <c r="D46" s="214"/>
      <c r="E46" s="14"/>
      <c r="F46" s="192">
        <v>335728819</v>
      </c>
      <c r="G46" s="16"/>
      <c r="H46" s="23">
        <v>616261310</v>
      </c>
      <c r="I46" s="18"/>
    </row>
    <row r="47" spans="1:9" ht="24" x14ac:dyDescent="0.3">
      <c r="A47" s="12"/>
      <c r="B47" s="13"/>
      <c r="C47" s="222" t="s">
        <v>83</v>
      </c>
      <c r="D47" s="222"/>
      <c r="E47" s="14"/>
      <c r="F47" s="200">
        <v>5200984575</v>
      </c>
      <c r="G47" s="16"/>
      <c r="H47" s="31">
        <v>7595948075</v>
      </c>
      <c r="I47" s="18"/>
    </row>
    <row r="48" spans="1:9" ht="24" x14ac:dyDescent="0.3">
      <c r="A48" s="12"/>
      <c r="B48" s="13"/>
      <c r="C48" s="214" t="s">
        <v>6</v>
      </c>
      <c r="D48" s="214"/>
      <c r="E48" s="14"/>
      <c r="F48" s="192">
        <v>1213235052</v>
      </c>
      <c r="G48" s="16"/>
      <c r="H48" s="31">
        <v>1917902791</v>
      </c>
      <c r="I48" s="18"/>
    </row>
    <row r="49" spans="1:9" ht="24" x14ac:dyDescent="0.3">
      <c r="A49" s="6" t="s">
        <v>66</v>
      </c>
      <c r="B49" s="223" t="s">
        <v>67</v>
      </c>
      <c r="C49" s="223"/>
      <c r="D49" s="223"/>
      <c r="E49" s="7"/>
      <c r="F49" s="8"/>
      <c r="G49" s="28">
        <v>-532403739298</v>
      </c>
      <c r="H49" s="31"/>
      <c r="I49" s="11">
        <v>-532213582668</v>
      </c>
    </row>
    <row r="50" spans="1:9" ht="24" x14ac:dyDescent="0.3">
      <c r="A50" s="6" t="s">
        <v>68</v>
      </c>
      <c r="B50" s="223" t="s">
        <v>69</v>
      </c>
      <c r="C50" s="223"/>
      <c r="D50" s="223"/>
      <c r="E50" s="7"/>
      <c r="F50" s="8"/>
      <c r="G50" s="9">
        <v>50400985333</v>
      </c>
      <c r="H50" s="31"/>
      <c r="I50" s="11">
        <v>168415515687</v>
      </c>
    </row>
    <row r="51" spans="1:9" ht="24" x14ac:dyDescent="0.3">
      <c r="A51" s="12"/>
      <c r="B51" s="13"/>
      <c r="C51" s="214" t="s">
        <v>70</v>
      </c>
      <c r="D51" s="214"/>
      <c r="E51" s="14"/>
      <c r="F51" s="15">
        <v>2385498833</v>
      </c>
      <c r="G51" s="16"/>
      <c r="H51" s="31">
        <v>6452635830</v>
      </c>
      <c r="I51" s="18"/>
    </row>
    <row r="52" spans="1:9" ht="24" x14ac:dyDescent="0.3">
      <c r="A52" s="12"/>
      <c r="B52" s="13"/>
      <c r="C52" s="214" t="s">
        <v>71</v>
      </c>
      <c r="D52" s="214"/>
      <c r="E52" s="14"/>
      <c r="F52" s="15">
        <v>0</v>
      </c>
      <c r="G52" s="16"/>
      <c r="H52" s="31">
        <v>3104006</v>
      </c>
      <c r="I52" s="18"/>
    </row>
    <row r="53" spans="1:9" ht="24" x14ac:dyDescent="0.3">
      <c r="A53" s="12"/>
      <c r="B53" s="13"/>
      <c r="C53" s="214" t="s">
        <v>84</v>
      </c>
      <c r="D53" s="214"/>
      <c r="E53" s="14"/>
      <c r="F53" s="29">
        <v>1828803148</v>
      </c>
      <c r="G53" s="16"/>
      <c r="H53" s="31">
        <v>54010370</v>
      </c>
      <c r="I53" s="18"/>
    </row>
    <row r="54" spans="1:9" ht="24" x14ac:dyDescent="0.3">
      <c r="A54" s="12"/>
      <c r="B54" s="13"/>
      <c r="C54" s="214" t="s">
        <v>85</v>
      </c>
      <c r="D54" s="214"/>
      <c r="E54" s="14"/>
      <c r="F54" s="15">
        <v>2954099601</v>
      </c>
      <c r="G54" s="16"/>
      <c r="H54" s="31">
        <v>2025003473</v>
      </c>
      <c r="I54" s="18"/>
    </row>
    <row r="55" spans="1:9" ht="24" x14ac:dyDescent="0.3">
      <c r="A55" s="12"/>
      <c r="B55" s="13"/>
      <c r="C55" s="214" t="s">
        <v>86</v>
      </c>
      <c r="D55" s="214"/>
      <c r="E55" s="14"/>
      <c r="F55" s="15">
        <v>0</v>
      </c>
      <c r="G55" s="16"/>
      <c r="H55" s="31">
        <v>2458500</v>
      </c>
      <c r="I55" s="18"/>
    </row>
    <row r="56" spans="1:9" ht="24" hidden="1" x14ac:dyDescent="0.3">
      <c r="A56" s="12"/>
      <c r="B56" s="13"/>
      <c r="C56" s="214" t="s">
        <v>87</v>
      </c>
      <c r="D56" s="214"/>
      <c r="E56" s="14"/>
      <c r="F56" s="15">
        <v>0</v>
      </c>
      <c r="G56" s="16"/>
      <c r="H56" s="31">
        <v>0</v>
      </c>
      <c r="I56" s="18"/>
    </row>
    <row r="57" spans="1:9" ht="24" x14ac:dyDescent="0.3">
      <c r="A57" s="12"/>
      <c r="B57" s="13"/>
      <c r="C57" s="214" t="s">
        <v>72</v>
      </c>
      <c r="D57" s="214"/>
      <c r="E57" s="14"/>
      <c r="F57" s="15">
        <v>644493450</v>
      </c>
      <c r="G57" s="16"/>
      <c r="H57" s="31">
        <v>2638044239</v>
      </c>
      <c r="I57" s="18"/>
    </row>
    <row r="58" spans="1:9" ht="24" x14ac:dyDescent="0.3">
      <c r="A58" s="12"/>
      <c r="B58" s="13"/>
      <c r="C58" s="214" t="s">
        <v>88</v>
      </c>
      <c r="D58" s="214"/>
      <c r="E58" s="14"/>
      <c r="F58" s="15">
        <v>0</v>
      </c>
      <c r="G58" s="16"/>
      <c r="H58" s="31">
        <v>706955969</v>
      </c>
      <c r="I58" s="18"/>
    </row>
    <row r="59" spans="1:9" ht="24" x14ac:dyDescent="0.3">
      <c r="A59" s="12"/>
      <c r="B59" s="13"/>
      <c r="C59" s="214" t="s">
        <v>89</v>
      </c>
      <c r="D59" s="214"/>
      <c r="E59" s="14"/>
      <c r="F59" s="15">
        <v>13567301683</v>
      </c>
      <c r="G59" s="16"/>
      <c r="H59" s="31">
        <v>123977245538</v>
      </c>
      <c r="I59" s="18"/>
    </row>
    <row r="60" spans="1:9" ht="24" hidden="1" x14ac:dyDescent="0.3">
      <c r="A60" s="12"/>
      <c r="B60" s="13"/>
      <c r="C60" s="214" t="s">
        <v>90</v>
      </c>
      <c r="D60" s="214"/>
      <c r="E60" s="14"/>
      <c r="F60" s="15">
        <v>0</v>
      </c>
      <c r="G60" s="16"/>
      <c r="H60" s="31">
        <v>0</v>
      </c>
      <c r="I60" s="18"/>
    </row>
    <row r="61" spans="1:9" ht="24" x14ac:dyDescent="0.3">
      <c r="A61" s="12"/>
      <c r="B61" s="13"/>
      <c r="C61" s="222" t="s">
        <v>91</v>
      </c>
      <c r="D61" s="222"/>
      <c r="E61" s="14"/>
      <c r="F61" s="15">
        <v>7841607843</v>
      </c>
      <c r="G61" s="16"/>
      <c r="H61" s="31">
        <v>5559907735</v>
      </c>
      <c r="I61" s="18"/>
    </row>
    <row r="62" spans="1:9" ht="24" x14ac:dyDescent="0.3">
      <c r="A62" s="12"/>
      <c r="B62" s="13"/>
      <c r="C62" s="222" t="s">
        <v>92</v>
      </c>
      <c r="D62" s="222"/>
      <c r="E62" s="14"/>
      <c r="F62" s="29">
        <v>21179180775</v>
      </c>
      <c r="G62" s="16"/>
      <c r="H62" s="31">
        <v>26996150027</v>
      </c>
      <c r="I62" s="18"/>
    </row>
    <row r="63" spans="1:9" ht="24" x14ac:dyDescent="0.3">
      <c r="A63" s="6" t="s">
        <v>73</v>
      </c>
      <c r="B63" s="223" t="s">
        <v>74</v>
      </c>
      <c r="C63" s="223"/>
      <c r="D63" s="223"/>
      <c r="E63" s="7"/>
      <c r="F63" s="8"/>
      <c r="G63" s="9">
        <v>104464514180</v>
      </c>
      <c r="H63" s="31"/>
      <c r="I63" s="11">
        <v>175094600414</v>
      </c>
    </row>
    <row r="64" spans="1:9" ht="24" x14ac:dyDescent="0.3">
      <c r="A64" s="12"/>
      <c r="B64" s="13"/>
      <c r="C64" s="214" t="s">
        <v>75</v>
      </c>
      <c r="D64" s="214"/>
      <c r="E64" s="14"/>
      <c r="F64" s="15">
        <v>57821731366</v>
      </c>
      <c r="G64" s="16"/>
      <c r="H64" s="31">
        <v>62296810231</v>
      </c>
      <c r="I64" s="18"/>
    </row>
    <row r="65" spans="1:9" ht="24" x14ac:dyDescent="0.3">
      <c r="A65" s="12"/>
      <c r="B65" s="13"/>
      <c r="C65" s="214" t="s">
        <v>93</v>
      </c>
      <c r="D65" s="214"/>
      <c r="E65" s="14"/>
      <c r="F65" s="15">
        <v>298343755</v>
      </c>
      <c r="G65" s="16"/>
      <c r="H65" s="31">
        <v>5222378</v>
      </c>
      <c r="I65" s="18"/>
    </row>
    <row r="66" spans="1:9" ht="24" x14ac:dyDescent="0.3">
      <c r="A66" s="12"/>
      <c r="B66" s="13"/>
      <c r="C66" s="214" t="s">
        <v>94</v>
      </c>
      <c r="D66" s="214"/>
      <c r="E66" s="14"/>
      <c r="F66" s="129">
        <v>40484242</v>
      </c>
      <c r="G66" s="16"/>
      <c r="H66" s="31">
        <v>1366165850</v>
      </c>
      <c r="I66" s="18"/>
    </row>
    <row r="67" spans="1:9" ht="24" x14ac:dyDescent="0.3">
      <c r="A67" s="12"/>
      <c r="B67" s="13"/>
      <c r="C67" s="214" t="s">
        <v>95</v>
      </c>
      <c r="D67" s="214"/>
      <c r="E67" s="14"/>
      <c r="F67" s="15">
        <v>80000000</v>
      </c>
      <c r="G67" s="16"/>
      <c r="H67" s="31">
        <v>178502000</v>
      </c>
      <c r="I67" s="18"/>
    </row>
    <row r="68" spans="1:9" ht="24" x14ac:dyDescent="0.3">
      <c r="A68" s="12"/>
      <c r="B68" s="13"/>
      <c r="C68" s="214" t="s">
        <v>96</v>
      </c>
      <c r="D68" s="214"/>
      <c r="E68" s="14"/>
      <c r="F68" s="15">
        <v>0</v>
      </c>
      <c r="G68" s="16"/>
      <c r="H68" s="31">
        <v>4057922</v>
      </c>
      <c r="I68" s="18"/>
    </row>
    <row r="69" spans="1:9" ht="24" x14ac:dyDescent="0.3">
      <c r="A69" s="12"/>
      <c r="B69" s="13"/>
      <c r="C69" s="214" t="s">
        <v>97</v>
      </c>
      <c r="D69" s="214"/>
      <c r="E69" s="14"/>
      <c r="F69" s="15">
        <v>166510105</v>
      </c>
      <c r="G69" s="16"/>
      <c r="H69" s="31">
        <v>177740352</v>
      </c>
      <c r="I69" s="18"/>
    </row>
    <row r="70" spans="1:9" ht="24" x14ac:dyDescent="0.3">
      <c r="A70" s="12"/>
      <c r="B70" s="13"/>
      <c r="C70" s="214" t="s">
        <v>98</v>
      </c>
      <c r="D70" s="214"/>
      <c r="E70" s="14"/>
      <c r="F70" s="15">
        <v>2186805495</v>
      </c>
      <c r="G70" s="16"/>
      <c r="H70" s="31">
        <v>6879095457</v>
      </c>
      <c r="I70" s="18"/>
    </row>
    <row r="71" spans="1:9" ht="24" x14ac:dyDescent="0.3">
      <c r="A71" s="12"/>
      <c r="B71" s="13"/>
      <c r="C71" s="214" t="s">
        <v>99</v>
      </c>
      <c r="D71" s="214"/>
      <c r="E71" s="14"/>
      <c r="F71" s="15">
        <v>83549254</v>
      </c>
      <c r="G71" s="16"/>
      <c r="H71" s="31">
        <v>176802269</v>
      </c>
      <c r="I71" s="18"/>
    </row>
    <row r="72" spans="1:9" ht="24" x14ac:dyDescent="0.3">
      <c r="A72" s="12"/>
      <c r="B72" s="13"/>
      <c r="C72" s="214" t="s">
        <v>9</v>
      </c>
      <c r="D72" s="214"/>
      <c r="E72" s="14"/>
      <c r="F72" s="15">
        <v>8081234680</v>
      </c>
      <c r="G72" s="16"/>
      <c r="H72" s="31">
        <v>11083982201</v>
      </c>
      <c r="I72" s="18"/>
    </row>
    <row r="73" spans="1:9" ht="24" x14ac:dyDescent="0.3">
      <c r="A73" s="12"/>
      <c r="B73" s="13"/>
      <c r="C73" s="222" t="s">
        <v>100</v>
      </c>
      <c r="D73" s="222"/>
      <c r="E73" s="14"/>
      <c r="F73" s="15">
        <v>706134725</v>
      </c>
      <c r="G73" s="16"/>
      <c r="H73" s="31">
        <v>2105111102</v>
      </c>
      <c r="I73" s="18"/>
    </row>
    <row r="74" spans="1:9" ht="24" hidden="1" x14ac:dyDescent="0.3">
      <c r="A74" s="12"/>
      <c r="B74" s="13"/>
      <c r="C74" s="214" t="s">
        <v>101</v>
      </c>
      <c r="D74" s="214"/>
      <c r="E74" s="14"/>
      <c r="F74" s="15">
        <v>0</v>
      </c>
      <c r="G74" s="16"/>
      <c r="H74" s="31">
        <v>0</v>
      </c>
      <c r="I74" s="18"/>
    </row>
    <row r="75" spans="1:9" ht="24" x14ac:dyDescent="0.3">
      <c r="A75" s="12"/>
      <c r="B75" s="13"/>
      <c r="C75" s="214" t="s">
        <v>102</v>
      </c>
      <c r="D75" s="214"/>
      <c r="E75" s="14"/>
      <c r="F75" s="15">
        <v>34999720558</v>
      </c>
      <c r="G75" s="16"/>
      <c r="H75" s="31">
        <v>90821110652</v>
      </c>
      <c r="I75" s="18"/>
    </row>
    <row r="76" spans="1:9" ht="24" x14ac:dyDescent="0.3">
      <c r="A76" s="6" t="s">
        <v>76</v>
      </c>
      <c r="B76" s="223" t="s">
        <v>77</v>
      </c>
      <c r="C76" s="223"/>
      <c r="D76" s="223"/>
      <c r="E76" s="7"/>
      <c r="F76" s="8"/>
      <c r="G76" s="28">
        <v>-586467268145</v>
      </c>
      <c r="H76" s="10"/>
      <c r="I76" s="11">
        <v>-538892667395</v>
      </c>
    </row>
    <row r="77" spans="1:9" ht="24" x14ac:dyDescent="0.3">
      <c r="A77" s="6" t="s">
        <v>78</v>
      </c>
      <c r="B77" s="223" t="s">
        <v>79</v>
      </c>
      <c r="C77" s="223"/>
      <c r="D77" s="223"/>
      <c r="E77" s="7"/>
      <c r="F77" s="8"/>
      <c r="G77" s="9">
        <v>0</v>
      </c>
      <c r="H77" s="10"/>
      <c r="I77" s="9">
        <v>0</v>
      </c>
    </row>
    <row r="78" spans="1:9" ht="24.75" thickBot="1" x14ac:dyDescent="0.35">
      <c r="A78" s="32" t="s">
        <v>80</v>
      </c>
      <c r="B78" s="221" t="s">
        <v>81</v>
      </c>
      <c r="C78" s="221"/>
      <c r="D78" s="221"/>
      <c r="E78" s="33"/>
      <c r="F78" s="34"/>
      <c r="G78" s="35">
        <v>-586467268145</v>
      </c>
      <c r="H78" s="36"/>
      <c r="I78" s="37">
        <v>-538892667395</v>
      </c>
    </row>
  </sheetData>
  <mergeCells count="70">
    <mergeCell ref="C47:D47"/>
    <mergeCell ref="C48:D48"/>
    <mergeCell ref="C19:D19"/>
    <mergeCell ref="A1:I1"/>
    <mergeCell ref="A2:I2"/>
    <mergeCell ref="A3:I3"/>
    <mergeCell ref="A4:G4"/>
    <mergeCell ref="A5:D5"/>
    <mergeCell ref="B6:D6"/>
    <mergeCell ref="F6:G6"/>
    <mergeCell ref="H6:I6"/>
    <mergeCell ref="B7:D7"/>
    <mergeCell ref="C8:D8"/>
    <mergeCell ref="C12:D12"/>
    <mergeCell ref="B17:D17"/>
    <mergeCell ref="C18:D18"/>
    <mergeCell ref="C34:D34"/>
    <mergeCell ref="B23:D23"/>
    <mergeCell ref="B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6:D46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58:D58"/>
    <mergeCell ref="B49:D49"/>
    <mergeCell ref="B50:D50"/>
    <mergeCell ref="C51:D51"/>
    <mergeCell ref="C52:D52"/>
    <mergeCell ref="C53:D53"/>
    <mergeCell ref="C54:D54"/>
    <mergeCell ref="C55:D55"/>
    <mergeCell ref="C56:D56"/>
    <mergeCell ref="C57:D57"/>
    <mergeCell ref="C69:D69"/>
    <mergeCell ref="C59:D59"/>
    <mergeCell ref="C60:D60"/>
    <mergeCell ref="C61:D61"/>
    <mergeCell ref="C62:D62"/>
    <mergeCell ref="B63:D63"/>
    <mergeCell ref="C64:D64"/>
    <mergeCell ref="C65:D65"/>
    <mergeCell ref="C66:D66"/>
    <mergeCell ref="C67:D67"/>
    <mergeCell ref="C68:D68"/>
    <mergeCell ref="B78:D78"/>
    <mergeCell ref="C70:D70"/>
    <mergeCell ref="C71:D71"/>
    <mergeCell ref="C72:D72"/>
    <mergeCell ref="C73:D73"/>
    <mergeCell ref="C74:D74"/>
    <mergeCell ref="C75:D75"/>
    <mergeCell ref="B76:D76"/>
    <mergeCell ref="B77:D77"/>
  </mergeCells>
  <phoneticPr fontId="2" type="noConversion"/>
  <pageMargins left="0.7" right="0.7" top="0.75" bottom="0.75" header="0.3" footer="0.3"/>
  <pageSetup paperSize="9" scale="4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I36"/>
  <sheetViews>
    <sheetView view="pageBreakPreview" zoomScale="55" zoomScaleNormal="70" zoomScaleSheetLayoutView="55" workbookViewId="0">
      <selection activeCell="F39" sqref="F39"/>
    </sheetView>
  </sheetViews>
  <sheetFormatPr defaultRowHeight="16.5" x14ac:dyDescent="0.3"/>
  <cols>
    <col min="1" max="1" width="5" bestFit="1" customWidth="1"/>
    <col min="2" max="2" width="4.75" customWidth="1"/>
    <col min="3" max="3" width="35.625" customWidth="1"/>
    <col min="4" max="4" width="3.5" customWidth="1"/>
    <col min="5" max="8" width="26.375" customWidth="1"/>
  </cols>
  <sheetData>
    <row r="1" spans="1:9" ht="39" x14ac:dyDescent="0.3">
      <c r="A1" s="207" t="s">
        <v>269</v>
      </c>
      <c r="B1" s="207"/>
      <c r="C1" s="207"/>
      <c r="D1" s="207"/>
      <c r="E1" s="207"/>
      <c r="F1" s="207"/>
      <c r="G1" s="207"/>
      <c r="H1" s="207"/>
    </row>
    <row r="2" spans="1:9" ht="20.25" x14ac:dyDescent="0.3">
      <c r="A2" s="206" t="s">
        <v>305</v>
      </c>
      <c r="B2" s="206"/>
      <c r="C2" s="206"/>
      <c r="D2" s="206"/>
      <c r="E2" s="206"/>
      <c r="F2" s="206"/>
      <c r="G2" s="206"/>
      <c r="H2" s="206"/>
      <c r="I2" s="123"/>
    </row>
    <row r="3" spans="1:9" ht="20.25" x14ac:dyDescent="0.3">
      <c r="A3" s="206" t="s">
        <v>306</v>
      </c>
      <c r="B3" s="206"/>
      <c r="C3" s="206"/>
      <c r="D3" s="206"/>
      <c r="E3" s="206"/>
      <c r="F3" s="206"/>
      <c r="G3" s="206"/>
      <c r="H3" s="206"/>
      <c r="I3" s="123"/>
    </row>
    <row r="4" spans="1:9" x14ac:dyDescent="0.3">
      <c r="A4" s="208"/>
      <c r="B4" s="208"/>
      <c r="C4" s="208"/>
      <c r="D4" s="208"/>
      <c r="E4" s="208"/>
    </row>
    <row r="5" spans="1:9" ht="21" thickBot="1" x14ac:dyDescent="0.35">
      <c r="A5" s="224" t="s">
        <v>268</v>
      </c>
      <c r="B5" s="224"/>
      <c r="C5" s="224"/>
      <c r="D5" s="1"/>
      <c r="E5" s="3"/>
      <c r="H5" s="3" t="s">
        <v>13</v>
      </c>
    </row>
    <row r="6" spans="1:9" ht="53.25" customHeight="1" thickBot="1" x14ac:dyDescent="0.35">
      <c r="A6" s="122" t="s">
        <v>14</v>
      </c>
      <c r="B6" s="228" t="s">
        <v>267</v>
      </c>
      <c r="C6" s="228"/>
      <c r="D6" s="121"/>
      <c r="E6" s="229" t="s">
        <v>266</v>
      </c>
      <c r="F6" s="227"/>
      <c r="G6" s="226" t="s">
        <v>265</v>
      </c>
      <c r="H6" s="227"/>
    </row>
    <row r="7" spans="1:9" ht="27.95" customHeight="1" x14ac:dyDescent="0.3">
      <c r="A7" s="120" t="s">
        <v>18</v>
      </c>
      <c r="B7" s="230" t="s">
        <v>264</v>
      </c>
      <c r="C7" s="230"/>
      <c r="D7" s="119"/>
      <c r="E7" s="118"/>
      <c r="F7" s="117">
        <v>1191508772688</v>
      </c>
      <c r="G7" s="118"/>
      <c r="H7" s="117">
        <v>1200816424028</v>
      </c>
    </row>
    <row r="8" spans="1:9" ht="27.95" customHeight="1" x14ac:dyDescent="0.3">
      <c r="A8" s="12"/>
      <c r="B8" s="214" t="s">
        <v>263</v>
      </c>
      <c r="C8" s="214"/>
      <c r="D8" s="14"/>
      <c r="E8" s="115">
        <v>1077508630230</v>
      </c>
      <c r="F8" s="16"/>
      <c r="G8" s="115">
        <v>1076428943058</v>
      </c>
      <c r="H8" s="16"/>
    </row>
    <row r="9" spans="1:9" ht="27.95" customHeight="1" x14ac:dyDescent="0.3">
      <c r="A9" s="19"/>
      <c r="B9" s="214" t="s">
        <v>47</v>
      </c>
      <c r="C9" s="214"/>
      <c r="D9" s="14"/>
      <c r="E9" s="115">
        <v>114000142458</v>
      </c>
      <c r="F9" s="16"/>
      <c r="G9" s="115">
        <v>124387480970</v>
      </c>
      <c r="H9" s="16"/>
    </row>
    <row r="10" spans="1:9" ht="27.75" customHeight="1" x14ac:dyDescent="0.3">
      <c r="A10" s="6" t="s">
        <v>300</v>
      </c>
      <c r="B10" s="223" t="s">
        <v>262</v>
      </c>
      <c r="C10" s="223"/>
      <c r="D10" s="7"/>
      <c r="E10" s="116"/>
      <c r="F10" s="9">
        <v>1160183357630</v>
      </c>
      <c r="G10" s="115"/>
      <c r="H10" s="9">
        <v>1133786140596</v>
      </c>
    </row>
    <row r="11" spans="1:9" ht="27.95" customHeight="1" x14ac:dyDescent="0.3">
      <c r="A11" s="12"/>
      <c r="B11" s="214" t="s">
        <v>1</v>
      </c>
      <c r="C11" s="214"/>
      <c r="D11" s="14"/>
      <c r="E11" s="115">
        <v>164590592600</v>
      </c>
      <c r="F11" s="16"/>
      <c r="G11" s="115">
        <v>168795914605</v>
      </c>
      <c r="H11" s="16"/>
    </row>
    <row r="12" spans="1:9" ht="27.95" customHeight="1" x14ac:dyDescent="0.3">
      <c r="A12" s="12"/>
      <c r="B12" s="214" t="s">
        <v>261</v>
      </c>
      <c r="C12" s="214"/>
      <c r="D12" s="14"/>
      <c r="E12" s="115">
        <v>751873187</v>
      </c>
      <c r="F12" s="16"/>
      <c r="G12" s="115">
        <v>916139515</v>
      </c>
      <c r="H12" s="16"/>
    </row>
    <row r="13" spans="1:9" ht="27.95" customHeight="1" x14ac:dyDescent="0.3">
      <c r="A13" s="6"/>
      <c r="B13" s="214" t="s">
        <v>260</v>
      </c>
      <c r="C13" s="214"/>
      <c r="D13" s="7"/>
      <c r="E13" s="115">
        <v>192766161648</v>
      </c>
      <c r="F13" s="16"/>
      <c r="G13" s="115">
        <v>191220002342</v>
      </c>
      <c r="H13" s="16"/>
    </row>
    <row r="14" spans="1:9" ht="27.95" customHeight="1" x14ac:dyDescent="0.3">
      <c r="A14" s="6"/>
      <c r="B14" s="214" t="s">
        <v>259</v>
      </c>
      <c r="C14" s="214"/>
      <c r="D14" s="7"/>
      <c r="E14" s="115">
        <v>15708736189</v>
      </c>
      <c r="F14" s="16"/>
      <c r="G14" s="115">
        <v>13927004092</v>
      </c>
      <c r="H14" s="16"/>
    </row>
    <row r="15" spans="1:9" ht="27.95" customHeight="1" x14ac:dyDescent="0.3">
      <c r="A15" s="12"/>
      <c r="B15" s="214" t="s">
        <v>258</v>
      </c>
      <c r="C15" s="214"/>
      <c r="D15" s="14"/>
      <c r="E15" s="136">
        <v>4427180584</v>
      </c>
      <c r="F15" s="16"/>
      <c r="G15" s="115">
        <v>3232901012</v>
      </c>
      <c r="H15" s="16"/>
    </row>
    <row r="16" spans="1:9" ht="27.95" customHeight="1" x14ac:dyDescent="0.3">
      <c r="A16" s="12"/>
      <c r="B16" s="214" t="s">
        <v>257</v>
      </c>
      <c r="C16" s="214"/>
      <c r="D16" s="14"/>
      <c r="E16" s="115">
        <v>1112587543</v>
      </c>
      <c r="F16" s="16"/>
      <c r="G16" s="115">
        <v>1143280475</v>
      </c>
      <c r="H16" s="16"/>
    </row>
    <row r="17" spans="1:8" ht="27.95" customHeight="1" x14ac:dyDescent="0.3">
      <c r="A17" s="12"/>
      <c r="B17" s="214" t="s">
        <v>256</v>
      </c>
      <c r="C17" s="214"/>
      <c r="D17" s="14"/>
      <c r="E17" s="115">
        <v>1813292330</v>
      </c>
      <c r="F17" s="16"/>
      <c r="G17" s="115">
        <v>1745015244</v>
      </c>
      <c r="H17" s="16"/>
    </row>
    <row r="18" spans="1:8" ht="27.95" customHeight="1" x14ac:dyDescent="0.3">
      <c r="A18" s="12"/>
      <c r="B18" s="214" t="s">
        <v>255</v>
      </c>
      <c r="C18" s="214"/>
      <c r="D18" s="14"/>
      <c r="E18" s="136">
        <v>392433981054</v>
      </c>
      <c r="F18" s="16"/>
      <c r="G18" s="115">
        <v>389689407159</v>
      </c>
      <c r="H18" s="16"/>
    </row>
    <row r="19" spans="1:8" ht="27.95" customHeight="1" x14ac:dyDescent="0.3">
      <c r="A19" s="12"/>
      <c r="B19" s="214" t="s">
        <v>254</v>
      </c>
      <c r="C19" s="214"/>
      <c r="D19" s="14"/>
      <c r="E19" s="115">
        <v>242320248</v>
      </c>
      <c r="F19" s="16"/>
      <c r="G19" s="115">
        <v>177035547</v>
      </c>
      <c r="H19" s="16"/>
    </row>
    <row r="20" spans="1:8" ht="27.95" customHeight="1" x14ac:dyDescent="0.3">
      <c r="A20" s="12"/>
      <c r="B20" s="214" t="s">
        <v>253</v>
      </c>
      <c r="C20" s="214"/>
      <c r="D20" s="14"/>
      <c r="E20" s="115">
        <v>35892553468</v>
      </c>
      <c r="F20" s="16"/>
      <c r="G20" s="115">
        <v>34782307561</v>
      </c>
      <c r="H20" s="16"/>
    </row>
    <row r="21" spans="1:8" ht="27.95" customHeight="1" x14ac:dyDescent="0.3">
      <c r="A21" s="12"/>
      <c r="B21" s="214" t="s">
        <v>252</v>
      </c>
      <c r="C21" s="214"/>
      <c r="D21" s="14"/>
      <c r="E21" s="115">
        <v>485434923</v>
      </c>
      <c r="F21" s="16"/>
      <c r="G21" s="115">
        <v>489554809</v>
      </c>
      <c r="H21" s="16"/>
    </row>
    <row r="22" spans="1:8" ht="27.95" customHeight="1" x14ac:dyDescent="0.3">
      <c r="A22" s="12"/>
      <c r="B22" s="214" t="s">
        <v>251</v>
      </c>
      <c r="C22" s="214"/>
      <c r="D22" s="14"/>
      <c r="E22" s="115">
        <v>1155176024</v>
      </c>
      <c r="F22" s="16"/>
      <c r="G22" s="115">
        <v>1230817498</v>
      </c>
      <c r="H22" s="16"/>
    </row>
    <row r="23" spans="1:8" ht="27.95" customHeight="1" x14ac:dyDescent="0.3">
      <c r="A23" s="12"/>
      <c r="B23" s="214" t="s">
        <v>250</v>
      </c>
      <c r="C23" s="214"/>
      <c r="D23" s="14"/>
      <c r="E23" s="136">
        <v>279250437534</v>
      </c>
      <c r="F23" s="16"/>
      <c r="G23" s="115">
        <v>253194675737</v>
      </c>
      <c r="H23" s="16"/>
    </row>
    <row r="24" spans="1:8" ht="27.75" customHeight="1" x14ac:dyDescent="0.3">
      <c r="A24" s="12"/>
      <c r="B24" s="214" t="s">
        <v>249</v>
      </c>
      <c r="C24" s="214"/>
      <c r="D24" s="14"/>
      <c r="E24" s="115">
        <v>5051700</v>
      </c>
      <c r="F24" s="16"/>
      <c r="G24" s="115">
        <v>2584010</v>
      </c>
      <c r="H24" s="16"/>
    </row>
    <row r="25" spans="1:8" ht="27.95" customHeight="1" x14ac:dyDescent="0.3">
      <c r="A25" s="12"/>
      <c r="B25" s="214" t="s">
        <v>248</v>
      </c>
      <c r="C25" s="214"/>
      <c r="D25" s="14"/>
      <c r="E25" s="115">
        <v>5613200</v>
      </c>
      <c r="F25" s="16"/>
      <c r="G25" s="115">
        <v>3424866</v>
      </c>
      <c r="H25" s="16"/>
    </row>
    <row r="26" spans="1:8" ht="27.95" customHeight="1" x14ac:dyDescent="0.3">
      <c r="A26" s="12"/>
      <c r="B26" s="214" t="s">
        <v>247</v>
      </c>
      <c r="C26" s="214"/>
      <c r="D26" s="14"/>
      <c r="E26" s="115">
        <v>8399726445</v>
      </c>
      <c r="F26" s="16"/>
      <c r="G26" s="115">
        <v>7105000754</v>
      </c>
      <c r="H26" s="16"/>
    </row>
    <row r="27" spans="1:8" ht="27.95" hidden="1" customHeight="1" x14ac:dyDescent="0.3">
      <c r="A27" s="12"/>
      <c r="B27" s="214" t="s">
        <v>246</v>
      </c>
      <c r="C27" s="214"/>
      <c r="D27" s="14"/>
      <c r="E27" s="115">
        <v>0</v>
      </c>
      <c r="F27" s="16"/>
      <c r="G27" s="115">
        <v>0</v>
      </c>
      <c r="H27" s="16"/>
    </row>
    <row r="28" spans="1:8" ht="27.95" hidden="1" customHeight="1" x14ac:dyDescent="0.3">
      <c r="A28" s="12"/>
      <c r="B28" s="214" t="s">
        <v>245</v>
      </c>
      <c r="C28" s="214"/>
      <c r="D28" s="14"/>
      <c r="E28" s="115">
        <v>0</v>
      </c>
      <c r="F28" s="16"/>
      <c r="G28" s="115">
        <v>0</v>
      </c>
      <c r="H28" s="16"/>
    </row>
    <row r="29" spans="1:8" ht="27.95" customHeight="1" x14ac:dyDescent="0.3">
      <c r="A29" s="12"/>
      <c r="B29" s="214" t="s">
        <v>244</v>
      </c>
      <c r="C29" s="214"/>
      <c r="D29" s="14"/>
      <c r="E29" s="115">
        <v>142634220</v>
      </c>
      <c r="F29" s="16"/>
      <c r="G29" s="115">
        <v>455307542</v>
      </c>
      <c r="H29" s="16"/>
    </row>
    <row r="30" spans="1:8" ht="27.95" customHeight="1" x14ac:dyDescent="0.3">
      <c r="A30" s="12"/>
      <c r="B30" s="214" t="s">
        <v>65</v>
      </c>
      <c r="C30" s="214"/>
      <c r="D30" s="14"/>
      <c r="E30" s="115">
        <v>951965757</v>
      </c>
      <c r="F30" s="16"/>
      <c r="G30" s="115">
        <v>6162375410</v>
      </c>
      <c r="H30" s="16"/>
    </row>
    <row r="31" spans="1:8" ht="27.95" customHeight="1" x14ac:dyDescent="0.3">
      <c r="A31" s="12"/>
      <c r="B31" s="214" t="s">
        <v>243</v>
      </c>
      <c r="C31" s="214"/>
      <c r="D31" s="14"/>
      <c r="E31" s="136">
        <v>45657377865</v>
      </c>
      <c r="F31" s="16"/>
      <c r="G31" s="115">
        <v>45913214697</v>
      </c>
      <c r="H31" s="16"/>
    </row>
    <row r="32" spans="1:8" ht="27.95" customHeight="1" thickBot="1" x14ac:dyDescent="0.35">
      <c r="A32" s="111"/>
      <c r="B32" s="231" t="s">
        <v>242</v>
      </c>
      <c r="C32" s="231"/>
      <c r="D32" s="110"/>
      <c r="E32" s="136">
        <v>14390661111</v>
      </c>
      <c r="F32" s="112"/>
      <c r="G32" s="113">
        <v>13600177721</v>
      </c>
      <c r="H32" s="112"/>
    </row>
    <row r="33" spans="1:8" ht="27.95" customHeight="1" thickBot="1" x14ac:dyDescent="0.35">
      <c r="A33" s="111"/>
      <c r="B33" s="220" t="s">
        <v>241</v>
      </c>
      <c r="C33" s="220"/>
      <c r="D33" s="110"/>
      <c r="E33" s="128"/>
      <c r="F33" s="108">
        <v>2351692130318</v>
      </c>
      <c r="G33" s="109"/>
      <c r="H33" s="108">
        <v>2334602564624</v>
      </c>
    </row>
    <row r="34" spans="1:8" hidden="1" x14ac:dyDescent="0.3">
      <c r="F34" t="b">
        <f>F33='[1]#2. 손익계산서'!F18</f>
        <v>0</v>
      </c>
      <c r="H34" t="b">
        <f>H33='[1]#2. 손익계산서'!H18</f>
        <v>0</v>
      </c>
    </row>
    <row r="36" spans="1:8" x14ac:dyDescent="0.3">
      <c r="F36" t="b">
        <f>F33='#2. 손익계산서'!F18</f>
        <v>1</v>
      </c>
      <c r="H36" t="b">
        <f>H33='#2. 손익계산서'!H18</f>
        <v>1</v>
      </c>
    </row>
  </sheetData>
  <mergeCells count="35">
    <mergeCell ref="B24:C24"/>
    <mergeCell ref="B19:C19"/>
    <mergeCell ref="B20:C20"/>
    <mergeCell ref="B21:C21"/>
    <mergeCell ref="B22:C22"/>
    <mergeCell ref="B23:C23"/>
    <mergeCell ref="B17:C17"/>
    <mergeCell ref="B33:C33"/>
    <mergeCell ref="B9:C9"/>
    <mergeCell ref="B31:C31"/>
    <mergeCell ref="B32:C32"/>
    <mergeCell ref="B25:C25"/>
    <mergeCell ref="B26:C26"/>
    <mergeCell ref="B27:C27"/>
    <mergeCell ref="B28:C28"/>
    <mergeCell ref="B29:C29"/>
    <mergeCell ref="B18:C18"/>
    <mergeCell ref="B13:C13"/>
    <mergeCell ref="B14:C14"/>
    <mergeCell ref="B15:C15"/>
    <mergeCell ref="B16:C16"/>
    <mergeCell ref="B30:C30"/>
    <mergeCell ref="B7:C7"/>
    <mergeCell ref="B8:C8"/>
    <mergeCell ref="B12:C12"/>
    <mergeCell ref="B10:C10"/>
    <mergeCell ref="B11:C11"/>
    <mergeCell ref="G6:H6"/>
    <mergeCell ref="A1:H1"/>
    <mergeCell ref="A3:H3"/>
    <mergeCell ref="A2:H2"/>
    <mergeCell ref="A4:E4"/>
    <mergeCell ref="A5:C5"/>
    <mergeCell ref="B6:C6"/>
    <mergeCell ref="E6:F6"/>
  </mergeCells>
  <phoneticPr fontId="2" type="noConversion"/>
  <pageMargins left="0.7" right="0.7" top="0.75" bottom="0.75" header="0.3" footer="0.3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H38"/>
  <sheetViews>
    <sheetView view="pageBreakPreview" zoomScale="55" zoomScaleNormal="70" zoomScaleSheetLayoutView="55" workbookViewId="0">
      <selection activeCell="E16" sqref="E16"/>
    </sheetView>
  </sheetViews>
  <sheetFormatPr defaultRowHeight="16.5" x14ac:dyDescent="0.3"/>
  <cols>
    <col min="1" max="1" width="5" bestFit="1" customWidth="1"/>
    <col min="2" max="2" width="4.75" bestFit="1" customWidth="1"/>
    <col min="3" max="3" width="35.625" customWidth="1"/>
    <col min="4" max="4" width="3.5" customWidth="1"/>
    <col min="5" max="8" width="26" customWidth="1"/>
  </cols>
  <sheetData>
    <row r="1" spans="1:8" ht="39" x14ac:dyDescent="0.3">
      <c r="A1" s="207" t="s">
        <v>270</v>
      </c>
      <c r="B1" s="207"/>
      <c r="C1" s="207"/>
      <c r="D1" s="207"/>
      <c r="E1" s="207"/>
      <c r="F1" s="207"/>
      <c r="G1" s="207"/>
      <c r="H1" s="207"/>
    </row>
    <row r="2" spans="1:8" ht="20.25" x14ac:dyDescent="0.3">
      <c r="A2" s="206" t="s">
        <v>543</v>
      </c>
      <c r="B2" s="206"/>
      <c r="C2" s="206"/>
      <c r="D2" s="206"/>
      <c r="E2" s="206"/>
      <c r="F2" s="206"/>
      <c r="G2" s="206"/>
      <c r="H2" s="206"/>
    </row>
    <row r="3" spans="1:8" ht="20.25" x14ac:dyDescent="0.3">
      <c r="A3" s="206" t="s">
        <v>544</v>
      </c>
      <c r="B3" s="206"/>
      <c r="C3" s="206"/>
      <c r="D3" s="206"/>
      <c r="E3" s="206"/>
      <c r="F3" s="206"/>
      <c r="G3" s="206"/>
      <c r="H3" s="206"/>
    </row>
    <row r="4" spans="1:8" x14ac:dyDescent="0.3">
      <c r="A4" s="208"/>
      <c r="B4" s="208"/>
      <c r="C4" s="208"/>
      <c r="D4" s="208"/>
      <c r="E4" s="208"/>
    </row>
    <row r="5" spans="1:8" ht="21" thickBot="1" x14ac:dyDescent="0.35">
      <c r="A5" s="224" t="s">
        <v>12</v>
      </c>
      <c r="B5" s="224"/>
      <c r="C5" s="224"/>
      <c r="D5" s="1"/>
      <c r="E5" s="3"/>
      <c r="H5" s="3" t="s">
        <v>13</v>
      </c>
    </row>
    <row r="6" spans="1:8" ht="51" customHeight="1" thickBot="1" x14ac:dyDescent="0.35">
      <c r="A6" s="122" t="s">
        <v>14</v>
      </c>
      <c r="B6" s="228" t="s">
        <v>271</v>
      </c>
      <c r="C6" s="228"/>
      <c r="D6" s="121"/>
      <c r="E6" s="229" t="s">
        <v>272</v>
      </c>
      <c r="F6" s="227"/>
      <c r="G6" s="226" t="s">
        <v>273</v>
      </c>
      <c r="H6" s="227"/>
    </row>
    <row r="7" spans="1:8" ht="27.95" customHeight="1" x14ac:dyDescent="0.3">
      <c r="A7" s="120" t="s">
        <v>18</v>
      </c>
      <c r="B7" s="230" t="s">
        <v>274</v>
      </c>
      <c r="C7" s="230"/>
      <c r="D7" s="119"/>
      <c r="E7" s="118"/>
      <c r="F7" s="117">
        <v>33593473923</v>
      </c>
      <c r="G7" s="118"/>
      <c r="H7" s="117">
        <v>24871194458</v>
      </c>
    </row>
    <row r="8" spans="1:8" ht="27.95" customHeight="1" x14ac:dyDescent="0.3">
      <c r="A8" s="12"/>
      <c r="B8" s="214" t="s">
        <v>275</v>
      </c>
      <c r="C8" s="214"/>
      <c r="D8" s="14"/>
      <c r="E8" s="115">
        <v>30555847967</v>
      </c>
      <c r="F8" s="16"/>
      <c r="G8" s="115">
        <v>22566230267</v>
      </c>
      <c r="H8" s="16"/>
    </row>
    <row r="9" spans="1:8" ht="27.75" customHeight="1" x14ac:dyDescent="0.3">
      <c r="A9" s="19"/>
      <c r="B9" s="214" t="s">
        <v>47</v>
      </c>
      <c r="C9" s="214"/>
      <c r="D9" s="14"/>
      <c r="E9" s="115">
        <v>3037625956</v>
      </c>
      <c r="F9" s="16"/>
      <c r="G9" s="115">
        <v>2304964191</v>
      </c>
      <c r="H9" s="16"/>
    </row>
    <row r="10" spans="1:8" ht="27.95" customHeight="1" x14ac:dyDescent="0.3">
      <c r="A10" s="6" t="s">
        <v>36</v>
      </c>
      <c r="B10" s="223" t="s">
        <v>276</v>
      </c>
      <c r="C10" s="223"/>
      <c r="D10" s="7"/>
      <c r="E10" s="116"/>
      <c r="F10" s="9">
        <v>40690961485</v>
      </c>
      <c r="G10" s="115"/>
      <c r="H10" s="9">
        <v>38651986883</v>
      </c>
    </row>
    <row r="11" spans="1:8" ht="27.95" customHeight="1" x14ac:dyDescent="0.3">
      <c r="A11" s="12"/>
      <c r="B11" s="214" t="s">
        <v>277</v>
      </c>
      <c r="C11" s="214"/>
      <c r="D11" s="14"/>
      <c r="E11" s="115">
        <v>5708677430</v>
      </c>
      <c r="F11" s="16"/>
      <c r="G11" s="115">
        <v>2907002215</v>
      </c>
      <c r="H11" s="16"/>
    </row>
    <row r="12" spans="1:8" ht="27.95" customHeight="1" x14ac:dyDescent="0.3">
      <c r="A12" s="12"/>
      <c r="B12" s="214" t="s">
        <v>278</v>
      </c>
      <c r="C12" s="214"/>
      <c r="D12" s="14"/>
      <c r="E12" s="115">
        <v>17782276</v>
      </c>
      <c r="F12" s="16"/>
      <c r="G12" s="115">
        <v>4132270</v>
      </c>
      <c r="H12" s="16"/>
    </row>
    <row r="13" spans="1:8" ht="27.95" customHeight="1" x14ac:dyDescent="0.3">
      <c r="A13" s="6"/>
      <c r="B13" s="214" t="s">
        <v>82</v>
      </c>
      <c r="C13" s="214"/>
      <c r="D13" s="7"/>
      <c r="E13" s="115">
        <v>9782112089</v>
      </c>
      <c r="F13" s="16"/>
      <c r="G13" s="115">
        <v>4609787781</v>
      </c>
      <c r="H13" s="16"/>
    </row>
    <row r="14" spans="1:8" ht="27.95" customHeight="1" x14ac:dyDescent="0.3">
      <c r="A14" s="6"/>
      <c r="B14" s="214" t="s">
        <v>279</v>
      </c>
      <c r="C14" s="214"/>
      <c r="D14" s="7"/>
      <c r="E14" s="115">
        <v>406428021</v>
      </c>
      <c r="F14" s="16"/>
      <c r="G14" s="115">
        <v>177714272</v>
      </c>
      <c r="H14" s="16"/>
    </row>
    <row r="15" spans="1:8" ht="27.95" customHeight="1" x14ac:dyDescent="0.3">
      <c r="A15" s="12"/>
      <c r="B15" s="214" t="s">
        <v>50</v>
      </c>
      <c r="C15" s="214"/>
      <c r="D15" s="14"/>
      <c r="E15" s="115">
        <v>1073125983</v>
      </c>
      <c r="F15" s="16"/>
      <c r="G15" s="115">
        <v>628303443</v>
      </c>
      <c r="H15" s="16"/>
    </row>
    <row r="16" spans="1:8" ht="27.95" customHeight="1" x14ac:dyDescent="0.3">
      <c r="A16" s="12"/>
      <c r="B16" s="214" t="s">
        <v>51</v>
      </c>
      <c r="C16" s="214"/>
      <c r="D16" s="14"/>
      <c r="E16" s="115">
        <v>47596529</v>
      </c>
      <c r="F16" s="16"/>
      <c r="G16" s="115">
        <v>39773525</v>
      </c>
      <c r="H16" s="16"/>
    </row>
    <row r="17" spans="1:8" ht="27.95" customHeight="1" x14ac:dyDescent="0.3">
      <c r="A17" s="12"/>
      <c r="B17" s="214" t="s">
        <v>280</v>
      </c>
      <c r="C17" s="214"/>
      <c r="D17" s="14"/>
      <c r="E17" s="115">
        <v>771546925</v>
      </c>
      <c r="F17" s="16"/>
      <c r="G17" s="115">
        <v>760291098</v>
      </c>
      <c r="H17" s="16"/>
    </row>
    <row r="18" spans="1:8" ht="27.95" hidden="1" customHeight="1" x14ac:dyDescent="0.3">
      <c r="A18" s="12"/>
      <c r="B18" s="214" t="s">
        <v>281</v>
      </c>
      <c r="C18" s="214"/>
      <c r="D18" s="14"/>
      <c r="E18" s="115">
        <v>0</v>
      </c>
      <c r="F18" s="16"/>
      <c r="G18" s="115">
        <v>0</v>
      </c>
      <c r="H18" s="16"/>
    </row>
    <row r="19" spans="1:8" ht="27.95" hidden="1" customHeight="1" x14ac:dyDescent="0.3">
      <c r="A19" s="12"/>
      <c r="B19" s="214" t="s">
        <v>282</v>
      </c>
      <c r="C19" s="214"/>
      <c r="D19" s="14"/>
      <c r="E19" s="115">
        <v>0</v>
      </c>
      <c r="F19" s="16"/>
      <c r="G19" s="115">
        <v>0</v>
      </c>
      <c r="H19" s="16"/>
    </row>
    <row r="20" spans="1:8" ht="27.95" customHeight="1" x14ac:dyDescent="0.3">
      <c r="A20" s="12"/>
      <c r="B20" s="214" t="s">
        <v>283</v>
      </c>
      <c r="C20" s="214"/>
      <c r="D20" s="14"/>
      <c r="E20" s="115">
        <v>705369006</v>
      </c>
      <c r="F20" s="16"/>
      <c r="G20" s="115">
        <v>583519232</v>
      </c>
      <c r="H20" s="16"/>
    </row>
    <row r="21" spans="1:8" ht="27.95" customHeight="1" x14ac:dyDescent="0.3">
      <c r="A21" s="12"/>
      <c r="B21" s="214" t="s">
        <v>284</v>
      </c>
      <c r="C21" s="214"/>
      <c r="D21" s="14"/>
      <c r="E21" s="115">
        <v>3948184</v>
      </c>
      <c r="F21" s="16"/>
      <c r="G21" s="115">
        <v>2237006</v>
      </c>
      <c r="H21" s="16"/>
    </row>
    <row r="22" spans="1:8" ht="27.95" customHeight="1" x14ac:dyDescent="0.3">
      <c r="A22" s="12"/>
      <c r="B22" s="214" t="s">
        <v>57</v>
      </c>
      <c r="C22" s="214"/>
      <c r="D22" s="14"/>
      <c r="E22" s="115">
        <v>1099849980</v>
      </c>
      <c r="F22" s="16"/>
      <c r="G22" s="115">
        <v>0</v>
      </c>
      <c r="H22" s="16"/>
    </row>
    <row r="23" spans="1:8" ht="27.95" customHeight="1" x14ac:dyDescent="0.3">
      <c r="A23" s="12"/>
      <c r="B23" s="214" t="s">
        <v>285</v>
      </c>
      <c r="C23" s="214"/>
      <c r="D23" s="14"/>
      <c r="E23" s="115">
        <v>20362701224</v>
      </c>
      <c r="F23" s="16"/>
      <c r="G23" s="115">
        <v>28341121470</v>
      </c>
      <c r="H23" s="16"/>
    </row>
    <row r="24" spans="1:8" ht="27.95" customHeight="1" x14ac:dyDescent="0.3">
      <c r="A24" s="12"/>
      <c r="B24" s="214" t="s">
        <v>286</v>
      </c>
      <c r="C24" s="214"/>
      <c r="D24" s="14"/>
      <c r="E24" s="115">
        <v>9595840</v>
      </c>
      <c r="F24" s="16"/>
      <c r="G24" s="115">
        <v>1655250</v>
      </c>
      <c r="H24" s="16"/>
    </row>
    <row r="25" spans="1:8" ht="27.95" customHeight="1" x14ac:dyDescent="0.3">
      <c r="A25" s="12"/>
      <c r="B25" s="214" t="s">
        <v>60</v>
      </c>
      <c r="C25" s="214"/>
      <c r="D25" s="14"/>
      <c r="E25" s="115">
        <v>1320335</v>
      </c>
      <c r="F25" s="16"/>
      <c r="G25" s="115">
        <v>0</v>
      </c>
      <c r="H25" s="16"/>
    </row>
    <row r="26" spans="1:8" ht="27.95" customHeight="1" x14ac:dyDescent="0.3">
      <c r="A26" s="12"/>
      <c r="B26" s="214" t="s">
        <v>287</v>
      </c>
      <c r="C26" s="214"/>
      <c r="D26" s="14"/>
      <c r="E26" s="115">
        <v>92200131</v>
      </c>
      <c r="F26" s="16"/>
      <c r="G26" s="115">
        <v>34393816</v>
      </c>
      <c r="H26" s="16"/>
    </row>
    <row r="27" spans="1:8" ht="27.95" customHeight="1" x14ac:dyDescent="0.3">
      <c r="A27" s="12"/>
      <c r="B27" s="214" t="s">
        <v>288</v>
      </c>
      <c r="C27" s="214"/>
      <c r="D27" s="14"/>
      <c r="E27" s="115">
        <v>29880644</v>
      </c>
      <c r="F27" s="16"/>
      <c r="G27" s="115">
        <v>23154929</v>
      </c>
      <c r="H27" s="16"/>
    </row>
    <row r="28" spans="1:8" ht="27.95" hidden="1" customHeight="1" x14ac:dyDescent="0.3">
      <c r="A28" s="12"/>
      <c r="B28" s="214" t="s">
        <v>289</v>
      </c>
      <c r="C28" s="214"/>
      <c r="D28" s="14"/>
      <c r="E28" s="115">
        <v>0</v>
      </c>
      <c r="F28" s="16"/>
      <c r="G28" s="115">
        <v>0</v>
      </c>
      <c r="H28" s="16"/>
    </row>
    <row r="29" spans="1:8" ht="27.75" customHeight="1" x14ac:dyDescent="0.3">
      <c r="A29" s="12"/>
      <c r="B29" s="214" t="s">
        <v>290</v>
      </c>
      <c r="C29" s="214"/>
      <c r="D29" s="14"/>
      <c r="E29" s="115">
        <v>776000</v>
      </c>
      <c r="F29" s="16"/>
      <c r="G29" s="115">
        <v>0</v>
      </c>
      <c r="H29" s="16"/>
    </row>
    <row r="30" spans="1:8" ht="27.75" customHeight="1" x14ac:dyDescent="0.3">
      <c r="A30" s="12"/>
      <c r="B30" s="214" t="s">
        <v>291</v>
      </c>
      <c r="C30" s="214"/>
      <c r="D30" s="14"/>
      <c r="E30" s="115">
        <v>686620</v>
      </c>
      <c r="F30" s="16"/>
      <c r="G30" s="115">
        <v>0</v>
      </c>
      <c r="H30" s="16"/>
    </row>
    <row r="31" spans="1:8" ht="27.75" customHeight="1" x14ac:dyDescent="0.3">
      <c r="A31" s="12"/>
      <c r="B31" s="214" t="s">
        <v>292</v>
      </c>
      <c r="C31" s="214"/>
      <c r="D31" s="14"/>
      <c r="E31" s="115">
        <v>0</v>
      </c>
      <c r="F31" s="16"/>
      <c r="G31" s="115">
        <v>3522232</v>
      </c>
      <c r="H31" s="16"/>
    </row>
    <row r="32" spans="1:8" ht="27.95" customHeight="1" thickBot="1" x14ac:dyDescent="0.35">
      <c r="A32" s="12"/>
      <c r="B32" s="214" t="s">
        <v>242</v>
      </c>
      <c r="C32" s="214"/>
      <c r="D32" s="14"/>
      <c r="E32" s="115">
        <v>577364268</v>
      </c>
      <c r="F32" s="16"/>
      <c r="G32" s="115">
        <v>535378344</v>
      </c>
      <c r="H32" s="16"/>
    </row>
    <row r="33" spans="1:8" ht="27.95" hidden="1" customHeight="1" x14ac:dyDescent="0.3">
      <c r="A33" s="12"/>
      <c r="B33" s="214" t="s">
        <v>293</v>
      </c>
      <c r="C33" s="214"/>
      <c r="D33" s="14"/>
      <c r="E33" s="115">
        <v>0</v>
      </c>
      <c r="F33" s="16"/>
      <c r="G33" s="115" t="e">
        <v>#REF!</v>
      </c>
      <c r="H33" s="16"/>
    </row>
    <row r="34" spans="1:8" ht="27.95" hidden="1" customHeight="1" thickBot="1" x14ac:dyDescent="0.35">
      <c r="A34" s="111"/>
      <c r="B34" s="231" t="s">
        <v>294</v>
      </c>
      <c r="C34" s="231"/>
      <c r="D34" s="110"/>
      <c r="E34" s="114">
        <v>0</v>
      </c>
      <c r="F34" s="112"/>
      <c r="G34" s="114" t="e">
        <v>#REF!</v>
      </c>
      <c r="H34" s="112"/>
    </row>
    <row r="35" spans="1:8" ht="27.95" customHeight="1" thickBot="1" x14ac:dyDescent="0.35">
      <c r="A35" s="124"/>
      <c r="B35" s="232" t="s">
        <v>295</v>
      </c>
      <c r="C35" s="232"/>
      <c r="D35" s="125"/>
      <c r="E35" s="126"/>
      <c r="F35" s="127">
        <v>74284435408</v>
      </c>
      <c r="G35" s="126"/>
      <c r="H35" s="127">
        <v>63523181341</v>
      </c>
    </row>
    <row r="36" spans="1:8" hidden="1" x14ac:dyDescent="0.3">
      <c r="F36" t="b">
        <f>F35='[1]#2. 손익계산서'!F19</f>
        <v>0</v>
      </c>
      <c r="H36" t="b">
        <f>H35='[1]#2. 손익계산서'!H19</f>
        <v>0</v>
      </c>
    </row>
    <row r="38" spans="1:8" x14ac:dyDescent="0.3">
      <c r="F38" t="b">
        <f>F35='#2. 손익계산서'!F19</f>
        <v>1</v>
      </c>
      <c r="H38" t="b">
        <f>H35='#2. 손익계산서'!H19</f>
        <v>1</v>
      </c>
    </row>
  </sheetData>
  <mergeCells count="37">
    <mergeCell ref="B31:C31"/>
    <mergeCell ref="B32:C32"/>
    <mergeCell ref="B33:C33"/>
    <mergeCell ref="B34:C34"/>
    <mergeCell ref="B35:C35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E6:F6"/>
    <mergeCell ref="G6:H6"/>
    <mergeCell ref="A1:H1"/>
    <mergeCell ref="A2:H2"/>
    <mergeCell ref="A3:H3"/>
    <mergeCell ref="A4:E4"/>
    <mergeCell ref="A5:C5"/>
  </mergeCells>
  <phoneticPr fontId="2" type="noConversion"/>
  <pageMargins left="0.7" right="0.7" top="0.75" bottom="0.75" header="0.3" footer="0.3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L38"/>
  <sheetViews>
    <sheetView view="pageBreakPreview" zoomScale="55" zoomScaleNormal="70" zoomScaleSheetLayoutView="55" workbookViewId="0">
      <selection sqref="A1:H35"/>
    </sheetView>
  </sheetViews>
  <sheetFormatPr defaultRowHeight="16.5" x14ac:dyDescent="0.3"/>
  <cols>
    <col min="1" max="1" width="5" bestFit="1" customWidth="1"/>
    <col min="2" max="2" width="4.75" bestFit="1" customWidth="1"/>
    <col min="3" max="3" width="35.625" customWidth="1"/>
    <col min="4" max="4" width="3.5" customWidth="1"/>
    <col min="5" max="8" width="26.375" customWidth="1"/>
    <col min="9" max="9" width="18.125" bestFit="1" customWidth="1"/>
    <col min="11" max="11" width="16.125" customWidth="1"/>
    <col min="12" max="12" width="8.625" customWidth="1"/>
  </cols>
  <sheetData>
    <row r="1" spans="1:12" ht="39" x14ac:dyDescent="0.3">
      <c r="A1" s="207" t="s">
        <v>298</v>
      </c>
      <c r="B1" s="207"/>
      <c r="C1" s="207"/>
      <c r="D1" s="207"/>
      <c r="E1" s="207"/>
      <c r="F1" s="207"/>
      <c r="G1" s="207"/>
      <c r="H1" s="207"/>
    </row>
    <row r="2" spans="1:12" ht="20.25" x14ac:dyDescent="0.3">
      <c r="A2" s="206" t="s">
        <v>305</v>
      </c>
      <c r="B2" s="206"/>
      <c r="C2" s="206"/>
      <c r="D2" s="206"/>
      <c r="E2" s="206"/>
      <c r="F2" s="206"/>
      <c r="G2" s="206"/>
      <c r="H2" s="206"/>
      <c r="I2" s="123"/>
    </row>
    <row r="3" spans="1:12" ht="20.25" x14ac:dyDescent="0.3">
      <c r="A3" s="206" t="s">
        <v>306</v>
      </c>
      <c r="B3" s="206"/>
      <c r="C3" s="206"/>
      <c r="D3" s="206"/>
      <c r="E3" s="206"/>
      <c r="F3" s="206"/>
      <c r="G3" s="206"/>
      <c r="H3" s="206"/>
      <c r="I3" s="123"/>
    </row>
    <row r="4" spans="1:12" x14ac:dyDescent="0.3">
      <c r="A4" s="208"/>
      <c r="B4" s="208"/>
      <c r="C4" s="208"/>
      <c r="D4" s="208"/>
      <c r="E4" s="208"/>
    </row>
    <row r="5" spans="1:12" ht="21" thickBot="1" x14ac:dyDescent="0.35">
      <c r="A5" s="224" t="s">
        <v>268</v>
      </c>
      <c r="B5" s="224"/>
      <c r="C5" s="224"/>
      <c r="D5" s="1"/>
      <c r="E5" s="3"/>
      <c r="H5" s="3" t="s">
        <v>13</v>
      </c>
    </row>
    <row r="6" spans="1:12" ht="53.25" customHeight="1" thickBot="1" x14ac:dyDescent="0.35">
      <c r="A6" s="122" t="s">
        <v>14</v>
      </c>
      <c r="B6" s="228" t="s">
        <v>267</v>
      </c>
      <c r="C6" s="228"/>
      <c r="D6" s="132"/>
      <c r="E6" s="229" t="s">
        <v>266</v>
      </c>
      <c r="F6" s="227"/>
      <c r="G6" s="226" t="s">
        <v>17</v>
      </c>
      <c r="H6" s="227"/>
    </row>
    <row r="7" spans="1:12" ht="27.95" customHeight="1" x14ac:dyDescent="0.3">
      <c r="A7" s="120" t="s">
        <v>18</v>
      </c>
      <c r="B7" s="230" t="s">
        <v>264</v>
      </c>
      <c r="C7" s="230"/>
      <c r="D7" s="119"/>
      <c r="E7" s="118"/>
      <c r="F7" s="117">
        <v>1260178444652</v>
      </c>
      <c r="G7" s="118"/>
      <c r="H7" s="117">
        <v>1274759496001</v>
      </c>
      <c r="I7" s="41"/>
      <c r="J7" s="41"/>
    </row>
    <row r="8" spans="1:12" ht="27.95" customHeight="1" x14ac:dyDescent="0.3">
      <c r="A8" s="12"/>
      <c r="B8" s="214" t="s">
        <v>263</v>
      </c>
      <c r="C8" s="214"/>
      <c r="D8" s="14"/>
      <c r="E8" s="115">
        <v>1139434406064</v>
      </c>
      <c r="F8" s="16"/>
      <c r="G8" s="115">
        <v>1143403818661</v>
      </c>
      <c r="H8" s="16"/>
    </row>
    <row r="9" spans="1:12" ht="27.95" customHeight="1" x14ac:dyDescent="0.3">
      <c r="A9" s="19"/>
      <c r="B9" s="214" t="s">
        <v>0</v>
      </c>
      <c r="C9" s="214"/>
      <c r="D9" s="14"/>
      <c r="E9" s="115">
        <v>120744038588</v>
      </c>
      <c r="F9" s="16"/>
      <c r="G9" s="115">
        <v>131355677340</v>
      </c>
      <c r="H9" s="16"/>
    </row>
    <row r="10" spans="1:12" ht="27.95" customHeight="1" x14ac:dyDescent="0.3">
      <c r="A10" s="6" t="s">
        <v>36</v>
      </c>
      <c r="B10" s="223" t="s">
        <v>262</v>
      </c>
      <c r="C10" s="223"/>
      <c r="D10" s="7"/>
      <c r="E10" s="116"/>
      <c r="F10" s="9">
        <v>1276868697145</v>
      </c>
      <c r="G10" s="116"/>
      <c r="H10" s="9">
        <v>1243966052780</v>
      </c>
    </row>
    <row r="11" spans="1:12" ht="27.95" customHeight="1" x14ac:dyDescent="0.3">
      <c r="A11" s="12"/>
      <c r="B11" s="214" t="s">
        <v>48</v>
      </c>
      <c r="C11" s="214"/>
      <c r="D11" s="14"/>
      <c r="E11" s="115">
        <v>174556899166</v>
      </c>
      <c r="F11" s="16"/>
      <c r="G11" s="115">
        <v>179259687191</v>
      </c>
      <c r="H11" s="16"/>
      <c r="I11" s="214"/>
      <c r="J11" s="214"/>
      <c r="K11" s="214"/>
      <c r="L11" s="214"/>
    </row>
    <row r="12" spans="1:12" ht="27.95" customHeight="1" x14ac:dyDescent="0.3">
      <c r="A12" s="12"/>
      <c r="B12" s="214" t="s">
        <v>2</v>
      </c>
      <c r="C12" s="214"/>
      <c r="D12" s="14"/>
      <c r="E12" s="115">
        <v>1001840358</v>
      </c>
      <c r="F12" s="16"/>
      <c r="G12" s="115">
        <v>1170350208</v>
      </c>
      <c r="H12" s="16"/>
      <c r="I12" s="214"/>
      <c r="J12" s="214"/>
      <c r="K12" s="214"/>
      <c r="L12" s="214"/>
    </row>
    <row r="13" spans="1:12" ht="27.95" customHeight="1" x14ac:dyDescent="0.3">
      <c r="A13" s="6"/>
      <c r="B13" s="214" t="s">
        <v>4</v>
      </c>
      <c r="C13" s="214"/>
      <c r="D13" s="7"/>
      <c r="E13" s="115">
        <v>192971706250</v>
      </c>
      <c r="F13" s="16"/>
      <c r="G13" s="115">
        <v>191427342213</v>
      </c>
      <c r="H13" s="16"/>
      <c r="I13" s="234"/>
      <c r="J13" s="234"/>
      <c r="K13" s="234"/>
      <c r="L13" s="234"/>
    </row>
    <row r="14" spans="1:12" ht="27.95" customHeight="1" x14ac:dyDescent="0.3">
      <c r="A14" s="6"/>
      <c r="B14" s="214" t="s">
        <v>3</v>
      </c>
      <c r="C14" s="214"/>
      <c r="D14" s="7"/>
      <c r="E14" s="115">
        <v>16791255646</v>
      </c>
      <c r="F14" s="16"/>
      <c r="G14" s="115">
        <v>15618586235</v>
      </c>
      <c r="H14" s="16"/>
      <c r="I14" s="234"/>
      <c r="J14" s="234"/>
      <c r="K14" s="234"/>
      <c r="L14" s="234"/>
    </row>
    <row r="15" spans="1:12" ht="27.95" customHeight="1" x14ac:dyDescent="0.3">
      <c r="A15" s="12"/>
      <c r="B15" s="214" t="s">
        <v>5</v>
      </c>
      <c r="C15" s="214"/>
      <c r="D15" s="14"/>
      <c r="E15" s="115">
        <v>4843330031</v>
      </c>
      <c r="F15" s="16"/>
      <c r="G15" s="115">
        <v>3419951348</v>
      </c>
      <c r="H15" s="16"/>
      <c r="I15" s="214"/>
      <c r="J15" s="214"/>
      <c r="K15" s="214"/>
      <c r="L15" s="214"/>
    </row>
    <row r="16" spans="1:12" ht="27.95" customHeight="1" x14ac:dyDescent="0.3">
      <c r="A16" s="12"/>
      <c r="B16" s="214" t="s">
        <v>257</v>
      </c>
      <c r="C16" s="214"/>
      <c r="D16" s="14"/>
      <c r="E16" s="115">
        <v>1364530173</v>
      </c>
      <c r="F16" s="16"/>
      <c r="G16" s="115">
        <v>1399048228</v>
      </c>
      <c r="H16" s="16"/>
      <c r="I16" s="214"/>
      <c r="J16" s="214"/>
      <c r="K16" s="214"/>
      <c r="L16" s="214"/>
    </row>
    <row r="17" spans="1:12" ht="27.95" customHeight="1" x14ac:dyDescent="0.3">
      <c r="A17" s="12"/>
      <c r="B17" s="214" t="s">
        <v>256</v>
      </c>
      <c r="C17" s="214"/>
      <c r="D17" s="14"/>
      <c r="E17" s="115">
        <v>1969375909</v>
      </c>
      <c r="F17" s="16"/>
      <c r="G17" s="115">
        <v>1888339138</v>
      </c>
      <c r="H17" s="16"/>
      <c r="I17" s="214"/>
      <c r="J17" s="214"/>
      <c r="K17" s="214"/>
      <c r="L17" s="214"/>
    </row>
    <row r="18" spans="1:12" ht="27.95" customHeight="1" x14ac:dyDescent="0.3">
      <c r="A18" s="12"/>
      <c r="B18" s="214" t="s">
        <v>53</v>
      </c>
      <c r="C18" s="214"/>
      <c r="D18" s="14"/>
      <c r="E18" s="115">
        <v>395924128790</v>
      </c>
      <c r="F18" s="16"/>
      <c r="G18" s="115">
        <v>393027189713</v>
      </c>
      <c r="H18" s="16"/>
      <c r="I18" s="214"/>
      <c r="J18" s="214"/>
      <c r="K18" s="214"/>
      <c r="L18" s="214"/>
    </row>
    <row r="19" spans="1:12" ht="27.95" customHeight="1" x14ac:dyDescent="0.3">
      <c r="A19" s="12"/>
      <c r="B19" s="214" t="s">
        <v>254</v>
      </c>
      <c r="C19" s="214"/>
      <c r="D19" s="14"/>
      <c r="E19" s="115">
        <v>3051556626</v>
      </c>
      <c r="F19" s="16"/>
      <c r="G19" s="115">
        <v>2657483296</v>
      </c>
      <c r="H19" s="16"/>
      <c r="I19" s="214"/>
      <c r="J19" s="214"/>
      <c r="K19" s="214"/>
      <c r="L19" s="214"/>
    </row>
    <row r="20" spans="1:12" ht="27.95" customHeight="1" x14ac:dyDescent="0.3">
      <c r="A20" s="12"/>
      <c r="B20" s="214" t="s">
        <v>55</v>
      </c>
      <c r="C20" s="214"/>
      <c r="D20" s="14"/>
      <c r="E20" s="115">
        <v>36070402500</v>
      </c>
      <c r="F20" s="16"/>
      <c r="G20" s="115">
        <v>35023841644</v>
      </c>
      <c r="H20" s="16"/>
      <c r="I20" s="214"/>
      <c r="J20" s="214"/>
      <c r="K20" s="214"/>
      <c r="L20" s="214"/>
    </row>
    <row r="21" spans="1:12" ht="27.95" customHeight="1" x14ac:dyDescent="0.3">
      <c r="A21" s="12"/>
      <c r="B21" s="214" t="s">
        <v>7</v>
      </c>
      <c r="C21" s="214"/>
      <c r="D21" s="14"/>
      <c r="E21" s="115">
        <v>509442999</v>
      </c>
      <c r="F21" s="16"/>
      <c r="G21" s="115">
        <v>519797247</v>
      </c>
      <c r="H21" s="16"/>
      <c r="I21" s="214"/>
      <c r="J21" s="214"/>
      <c r="K21" s="214"/>
      <c r="L21" s="214"/>
    </row>
    <row r="22" spans="1:12" ht="27.95" customHeight="1" x14ac:dyDescent="0.3">
      <c r="A22" s="12"/>
      <c r="B22" s="214" t="s">
        <v>57</v>
      </c>
      <c r="C22" s="214"/>
      <c r="D22" s="14"/>
      <c r="E22" s="115">
        <v>1167774019</v>
      </c>
      <c r="F22" s="16"/>
      <c r="G22" s="115">
        <v>1243477930</v>
      </c>
      <c r="H22" s="16"/>
      <c r="I22" s="214"/>
      <c r="J22" s="214"/>
      <c r="K22" s="214"/>
      <c r="L22" s="214"/>
    </row>
    <row r="23" spans="1:12" ht="27.95" customHeight="1" x14ac:dyDescent="0.3">
      <c r="A23" s="12"/>
      <c r="B23" s="214" t="s">
        <v>250</v>
      </c>
      <c r="C23" s="214"/>
      <c r="D23" s="14"/>
      <c r="E23" s="115">
        <v>291004027186</v>
      </c>
      <c r="F23" s="16"/>
      <c r="G23" s="115">
        <v>263384265136</v>
      </c>
      <c r="H23" s="16"/>
      <c r="I23" s="214"/>
      <c r="J23" s="214"/>
      <c r="K23" s="214"/>
      <c r="L23" s="214"/>
    </row>
    <row r="24" spans="1:12" ht="27.75" customHeight="1" x14ac:dyDescent="0.3">
      <c r="A24" s="12"/>
      <c r="B24" s="214" t="s">
        <v>249</v>
      </c>
      <c r="C24" s="214"/>
      <c r="D24" s="14"/>
      <c r="E24" s="115">
        <v>182122684</v>
      </c>
      <c r="F24" s="16"/>
      <c r="G24" s="115">
        <v>149272348</v>
      </c>
      <c r="H24" s="16"/>
      <c r="I24" s="214"/>
      <c r="J24" s="214"/>
      <c r="K24" s="214"/>
      <c r="L24" s="214"/>
    </row>
    <row r="25" spans="1:12" ht="27.95" customHeight="1" x14ac:dyDescent="0.3">
      <c r="A25" s="12"/>
      <c r="B25" s="214" t="s">
        <v>248</v>
      </c>
      <c r="C25" s="214"/>
      <c r="D25" s="14"/>
      <c r="E25" s="115">
        <v>388115210</v>
      </c>
      <c r="F25" s="16"/>
      <c r="G25" s="115">
        <v>342665866</v>
      </c>
      <c r="H25" s="16"/>
      <c r="I25" s="214"/>
      <c r="J25" s="214"/>
      <c r="K25" s="214"/>
      <c r="L25" s="214"/>
    </row>
    <row r="26" spans="1:12" ht="27.95" customHeight="1" x14ac:dyDescent="0.3">
      <c r="A26" s="12"/>
      <c r="B26" s="214" t="s">
        <v>247</v>
      </c>
      <c r="C26" s="214"/>
      <c r="D26" s="14"/>
      <c r="E26" s="115">
        <v>9921699540</v>
      </c>
      <c r="F26" s="16"/>
      <c r="G26" s="115">
        <v>9658816545</v>
      </c>
      <c r="H26" s="16"/>
      <c r="I26" s="214"/>
      <c r="J26" s="214"/>
      <c r="K26" s="214"/>
      <c r="L26" s="214"/>
    </row>
    <row r="27" spans="1:12" ht="27.95" customHeight="1" x14ac:dyDescent="0.3">
      <c r="A27" s="12"/>
      <c r="B27" s="214" t="s">
        <v>246</v>
      </c>
      <c r="C27" s="214"/>
      <c r="D27" s="14"/>
      <c r="E27" s="115">
        <v>1754139137</v>
      </c>
      <c r="F27" s="16"/>
      <c r="G27" s="115">
        <v>1871946945</v>
      </c>
      <c r="H27" s="16"/>
      <c r="I27" s="214"/>
      <c r="J27" s="214"/>
      <c r="K27" s="214"/>
      <c r="L27" s="214"/>
    </row>
    <row r="28" spans="1:12" ht="27.95" customHeight="1" x14ac:dyDescent="0.3">
      <c r="A28" s="12"/>
      <c r="B28" s="214" t="s">
        <v>63</v>
      </c>
      <c r="C28" s="214"/>
      <c r="D28" s="14"/>
      <c r="E28" s="115">
        <v>843114581</v>
      </c>
      <c r="F28" s="16"/>
      <c r="G28" s="115">
        <v>945180687</v>
      </c>
      <c r="H28" s="16"/>
      <c r="I28" s="214"/>
      <c r="J28" s="214"/>
      <c r="K28" s="214"/>
      <c r="L28" s="214"/>
    </row>
    <row r="29" spans="1:12" ht="27.95" customHeight="1" x14ac:dyDescent="0.3">
      <c r="A29" s="12"/>
      <c r="B29" s="214" t="s">
        <v>244</v>
      </c>
      <c r="C29" s="214"/>
      <c r="D29" s="14"/>
      <c r="E29" s="115">
        <v>518847753</v>
      </c>
      <c r="F29" s="16"/>
      <c r="G29" s="115">
        <v>1629749517</v>
      </c>
      <c r="H29" s="16"/>
      <c r="I29" s="214"/>
      <c r="J29" s="214"/>
      <c r="K29" s="214"/>
      <c r="L29" s="214"/>
    </row>
    <row r="30" spans="1:12" ht="27.95" customHeight="1" x14ac:dyDescent="0.3">
      <c r="A30" s="12"/>
      <c r="B30" s="214" t="s">
        <v>8</v>
      </c>
      <c r="C30" s="214"/>
      <c r="D30" s="14"/>
      <c r="E30" s="115">
        <v>1287694576</v>
      </c>
      <c r="F30" s="16"/>
      <c r="G30" s="115">
        <v>6778636720</v>
      </c>
      <c r="H30" s="16"/>
      <c r="I30" s="214"/>
      <c r="J30" s="214"/>
      <c r="K30" s="214"/>
      <c r="L30" s="214"/>
    </row>
    <row r="31" spans="1:12" ht="27.95" customHeight="1" x14ac:dyDescent="0.3">
      <c r="A31" s="12"/>
      <c r="B31" s="214" t="s">
        <v>243</v>
      </c>
      <c r="C31" s="214"/>
      <c r="D31" s="14"/>
      <c r="E31" s="115">
        <v>45657377865</v>
      </c>
      <c r="F31" s="16"/>
      <c r="G31" s="115">
        <v>45913214697</v>
      </c>
      <c r="H31" s="16"/>
      <c r="I31" s="214"/>
      <c r="J31" s="214"/>
      <c r="K31" s="214"/>
      <c r="L31" s="214"/>
    </row>
    <row r="32" spans="1:12" ht="27.95" customHeight="1" x14ac:dyDescent="0.3">
      <c r="A32" s="12"/>
      <c r="B32" s="214" t="s">
        <v>301</v>
      </c>
      <c r="C32" s="214"/>
      <c r="D32" s="14"/>
      <c r="E32" s="137">
        <v>5200984575</v>
      </c>
      <c r="F32" s="16"/>
      <c r="G32" s="115">
        <v>7595948075</v>
      </c>
      <c r="H32" s="16"/>
      <c r="I32" s="133"/>
      <c r="J32" s="133"/>
      <c r="K32" s="133"/>
      <c r="L32" s="133"/>
    </row>
    <row r="33" spans="1:12" ht="27.95" customHeight="1" x14ac:dyDescent="0.3">
      <c r="A33" s="12"/>
      <c r="B33" s="214" t="s">
        <v>242</v>
      </c>
      <c r="C33" s="214"/>
      <c r="D33" s="14"/>
      <c r="E33" s="115">
        <v>15603896163</v>
      </c>
      <c r="F33" s="16"/>
      <c r="G33" s="115">
        <v>15518080512</v>
      </c>
      <c r="H33" s="16"/>
      <c r="I33" s="233"/>
      <c r="J33" s="214"/>
      <c r="K33" s="214"/>
      <c r="L33" s="214"/>
    </row>
    <row r="34" spans="1:12" ht="27.95" customHeight="1" thickBot="1" x14ac:dyDescent="0.35">
      <c r="A34" s="111"/>
      <c r="B34" s="231" t="s">
        <v>299</v>
      </c>
      <c r="C34" s="231"/>
      <c r="D34" s="110"/>
      <c r="E34" s="115">
        <v>74284435408</v>
      </c>
      <c r="F34" s="112"/>
      <c r="G34" s="115">
        <v>63523181341</v>
      </c>
      <c r="H34" s="112"/>
    </row>
    <row r="35" spans="1:12" ht="27.95" customHeight="1" thickBot="1" x14ac:dyDescent="0.35">
      <c r="A35" s="111"/>
      <c r="B35" s="220" t="s">
        <v>241</v>
      </c>
      <c r="C35" s="220"/>
      <c r="D35" s="110"/>
      <c r="E35" s="128"/>
      <c r="F35" s="108">
        <v>2537047141797</v>
      </c>
      <c r="G35" s="128"/>
      <c r="H35" s="108">
        <v>2518725548781</v>
      </c>
    </row>
    <row r="36" spans="1:12" hidden="1" x14ac:dyDescent="0.3">
      <c r="F36" t="b">
        <f>F35='[1]#2. 손익계산서'!F18</f>
        <v>0</v>
      </c>
      <c r="H36" t="b">
        <f>H35='[1]#2. 손익계산서'!H18</f>
        <v>0</v>
      </c>
    </row>
    <row r="38" spans="1:12" x14ac:dyDescent="0.3">
      <c r="F38" t="b">
        <f>F35='#2. 손익계산서'!G17+'#2. 손익계산서'!G24</f>
        <v>1</v>
      </c>
      <c r="H38" t="b">
        <f>H35='#2. 손익계산서'!I17+'#2. 손익계산서'!I24</f>
        <v>1</v>
      </c>
    </row>
  </sheetData>
  <mergeCells count="81">
    <mergeCell ref="B34:C34"/>
    <mergeCell ref="B35:C35"/>
    <mergeCell ref="B33:C33"/>
    <mergeCell ref="B25:C25"/>
    <mergeCell ref="B26:C26"/>
    <mergeCell ref="B27:C27"/>
    <mergeCell ref="B28:C28"/>
    <mergeCell ref="B29:C29"/>
    <mergeCell ref="B30:C30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A1:H1"/>
    <mergeCell ref="A2:H2"/>
    <mergeCell ref="A3:H3"/>
    <mergeCell ref="A4:E4"/>
    <mergeCell ref="A5:C5"/>
    <mergeCell ref="B6:C6"/>
    <mergeCell ref="E6:F6"/>
    <mergeCell ref="G6:H6"/>
    <mergeCell ref="B7:C7"/>
    <mergeCell ref="B8:C8"/>
    <mergeCell ref="B9:C9"/>
    <mergeCell ref="B10:C10"/>
    <mergeCell ref="B11:C11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K21:L21"/>
    <mergeCell ref="K22:L22"/>
    <mergeCell ref="K23:L23"/>
    <mergeCell ref="K24:L24"/>
    <mergeCell ref="I26:J26"/>
    <mergeCell ref="I21:J21"/>
    <mergeCell ref="I22:J22"/>
    <mergeCell ref="I23:J23"/>
    <mergeCell ref="I24:J24"/>
    <mergeCell ref="I25:J25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30:L30"/>
    <mergeCell ref="K31:L31"/>
    <mergeCell ref="K33:L33"/>
    <mergeCell ref="B32:C32"/>
    <mergeCell ref="K25:L25"/>
    <mergeCell ref="K26:L26"/>
    <mergeCell ref="K27:L27"/>
    <mergeCell ref="K28:L28"/>
    <mergeCell ref="K29:L29"/>
    <mergeCell ref="I31:J31"/>
    <mergeCell ref="I33:J33"/>
    <mergeCell ref="I27:J27"/>
    <mergeCell ref="I28:J28"/>
    <mergeCell ref="I29:J29"/>
    <mergeCell ref="I30:J30"/>
    <mergeCell ref="B31:C31"/>
  </mergeCells>
  <phoneticPr fontId="2" type="noConversion"/>
  <pageMargins left="0.7" right="0.7" top="0.75" bottom="0.75" header="0.3" footer="0.3"/>
  <pageSetup paperSize="9" scale="5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17"/>
  <sheetViews>
    <sheetView view="pageBreakPreview" zoomScale="70" zoomScaleNormal="55" zoomScaleSheetLayoutView="70" workbookViewId="0">
      <selection activeCell="B11" sqref="B11"/>
    </sheetView>
  </sheetViews>
  <sheetFormatPr defaultRowHeight="16.5" x14ac:dyDescent="0.3"/>
  <cols>
    <col min="1" max="1" width="35.875" customWidth="1"/>
    <col min="2" max="2" width="27.875" bestFit="1" customWidth="1"/>
    <col min="3" max="3" width="26.25" bestFit="1" customWidth="1"/>
    <col min="4" max="4" width="28.875" bestFit="1" customWidth="1"/>
    <col min="5" max="5" width="26.25" bestFit="1" customWidth="1"/>
  </cols>
  <sheetData>
    <row r="1" spans="1:5" ht="39" x14ac:dyDescent="0.3">
      <c r="A1" s="235" t="s">
        <v>317</v>
      </c>
      <c r="B1" s="235"/>
      <c r="C1" s="235"/>
      <c r="D1" s="235"/>
      <c r="E1" s="235"/>
    </row>
    <row r="2" spans="1:5" ht="20.25" x14ac:dyDescent="0.3">
      <c r="A2" s="236" t="s">
        <v>319</v>
      </c>
      <c r="B2" s="236"/>
      <c r="C2" s="236"/>
      <c r="D2" s="236"/>
      <c r="E2" s="236"/>
    </row>
    <row r="3" spans="1:5" ht="20.25" x14ac:dyDescent="0.3">
      <c r="A3" s="236" t="s">
        <v>318</v>
      </c>
      <c r="B3" s="236"/>
      <c r="C3" s="236"/>
      <c r="D3" s="236"/>
      <c r="E3" s="236"/>
    </row>
    <row r="4" spans="1:5" ht="21" thickBot="1" x14ac:dyDescent="0.4">
      <c r="A4" s="151" t="s">
        <v>311</v>
      </c>
      <c r="B4" s="152"/>
      <c r="C4" s="152"/>
      <c r="D4" s="152"/>
      <c r="E4" s="153" t="s">
        <v>13</v>
      </c>
    </row>
    <row r="5" spans="1:5" ht="24" x14ac:dyDescent="0.3">
      <c r="A5" s="154" t="s">
        <v>312</v>
      </c>
      <c r="B5" s="155" t="s">
        <v>313</v>
      </c>
      <c r="C5" s="155" t="s">
        <v>153</v>
      </c>
      <c r="D5" s="155" t="s">
        <v>314</v>
      </c>
      <c r="E5" s="156" t="s">
        <v>315</v>
      </c>
    </row>
    <row r="6" spans="1:5" ht="24" x14ac:dyDescent="0.3">
      <c r="A6" s="157" t="s">
        <v>325</v>
      </c>
      <c r="B6" s="158">
        <v>19526953625013</v>
      </c>
      <c r="C6" s="158">
        <v>2832006217935</v>
      </c>
      <c r="D6" s="158">
        <v>-13829344864203</v>
      </c>
      <c r="E6" s="159">
        <v>8529614978745</v>
      </c>
    </row>
    <row r="7" spans="1:5" ht="24" x14ac:dyDescent="0.3">
      <c r="A7" s="157" t="s">
        <v>327</v>
      </c>
      <c r="B7" s="158">
        <v>132281600000</v>
      </c>
      <c r="C7" s="158" t="s">
        <v>316</v>
      </c>
      <c r="D7" s="158" t="s">
        <v>316</v>
      </c>
      <c r="E7" s="159">
        <v>132281600000</v>
      </c>
    </row>
    <row r="8" spans="1:5" ht="24" x14ac:dyDescent="0.3">
      <c r="A8" s="157" t="s">
        <v>320</v>
      </c>
      <c r="B8" s="158" t="s">
        <v>316</v>
      </c>
      <c r="C8" s="158">
        <v>-689893867</v>
      </c>
      <c r="D8" s="158" t="s">
        <v>316</v>
      </c>
      <c r="E8" s="159">
        <v>-689893867</v>
      </c>
    </row>
    <row r="9" spans="1:5" ht="24" x14ac:dyDescent="0.3">
      <c r="A9" s="157" t="s">
        <v>321</v>
      </c>
      <c r="B9" s="158" t="s">
        <v>316</v>
      </c>
      <c r="C9" s="158">
        <v>7530770</v>
      </c>
      <c r="D9" s="158" t="s">
        <v>316</v>
      </c>
      <c r="E9" s="159">
        <v>7530770</v>
      </c>
    </row>
    <row r="10" spans="1:5" ht="24" x14ac:dyDescent="0.3">
      <c r="A10" s="157" t="s">
        <v>322</v>
      </c>
      <c r="B10" s="158" t="s">
        <v>316</v>
      </c>
      <c r="C10" s="158" t="s">
        <v>328</v>
      </c>
      <c r="D10" s="158">
        <v>-538892667395</v>
      </c>
      <c r="E10" s="159">
        <v>-538892667395</v>
      </c>
    </row>
    <row r="11" spans="1:5" ht="24" x14ac:dyDescent="0.3">
      <c r="A11" s="157" t="s">
        <v>324</v>
      </c>
      <c r="B11" s="158">
        <v>19659235225013</v>
      </c>
      <c r="C11" s="158">
        <v>2831323854838</v>
      </c>
      <c r="D11" s="158">
        <v>-14368237531598</v>
      </c>
      <c r="E11" s="159">
        <v>8122321548253</v>
      </c>
    </row>
    <row r="12" spans="1:5" ht="24" x14ac:dyDescent="0.3">
      <c r="A12" s="157" t="s">
        <v>323</v>
      </c>
      <c r="B12" s="158">
        <v>19659235225013</v>
      </c>
      <c r="C12" s="158">
        <v>2831323854838</v>
      </c>
      <c r="D12" s="158">
        <v>-14368237531598</v>
      </c>
      <c r="E12" s="159">
        <v>8122321548253</v>
      </c>
    </row>
    <row r="13" spans="1:5" ht="24" x14ac:dyDescent="0.3">
      <c r="A13" s="157" t="s">
        <v>538</v>
      </c>
      <c r="B13" s="158">
        <v>182834500000</v>
      </c>
      <c r="C13" s="158" t="s">
        <v>316</v>
      </c>
      <c r="D13" s="158" t="s">
        <v>329</v>
      </c>
      <c r="E13" s="159">
        <v>182834500000</v>
      </c>
    </row>
    <row r="14" spans="1:5" ht="24" x14ac:dyDescent="0.3">
      <c r="A14" s="157" t="s">
        <v>539</v>
      </c>
      <c r="B14" s="158">
        <v>834865664434</v>
      </c>
      <c r="C14" s="158" t="s">
        <v>316</v>
      </c>
      <c r="D14" s="158" t="s">
        <v>316</v>
      </c>
      <c r="E14" s="159">
        <v>834865664434</v>
      </c>
    </row>
    <row r="15" spans="1:5" ht="24" x14ac:dyDescent="0.3">
      <c r="A15" s="157" t="s">
        <v>540</v>
      </c>
      <c r="B15" s="158" t="s">
        <v>316</v>
      </c>
      <c r="C15" s="158">
        <v>20194020</v>
      </c>
      <c r="D15" s="158" t="s">
        <v>316</v>
      </c>
      <c r="E15" s="159">
        <v>20194020</v>
      </c>
    </row>
    <row r="16" spans="1:5" ht="24" x14ac:dyDescent="0.3">
      <c r="A16" s="157" t="s">
        <v>541</v>
      </c>
      <c r="B16" s="158" t="s">
        <v>316</v>
      </c>
      <c r="C16" s="158" t="s">
        <v>328</v>
      </c>
      <c r="D16" s="158">
        <v>-586467268145</v>
      </c>
      <c r="E16" s="159">
        <v>-586467268145</v>
      </c>
    </row>
    <row r="17" spans="1:5" ht="24.75" thickBot="1" x14ac:dyDescent="0.35">
      <c r="A17" s="160" t="s">
        <v>326</v>
      </c>
      <c r="B17" s="161">
        <v>20676935389447</v>
      </c>
      <c r="C17" s="161">
        <v>2831344048858</v>
      </c>
      <c r="D17" s="161">
        <v>-14954704799743</v>
      </c>
      <c r="E17" s="161">
        <v>8553574638562</v>
      </c>
    </row>
  </sheetData>
  <mergeCells count="3">
    <mergeCell ref="A1:E1"/>
    <mergeCell ref="A2:E2"/>
    <mergeCell ref="A3:E3"/>
  </mergeCells>
  <phoneticPr fontId="2" type="noConversion"/>
  <pageMargins left="0.7" right="0.7" top="0.75" bottom="0.75" header="0.3" footer="0.3"/>
  <pageSetup paperSize="9" scale="55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97"/>
  <sheetViews>
    <sheetView view="pageBreakPreview" zoomScale="55" zoomScaleNormal="55" zoomScaleSheetLayoutView="55" workbookViewId="0">
      <selection sqref="A1:E97"/>
    </sheetView>
  </sheetViews>
  <sheetFormatPr defaultRowHeight="16.5" x14ac:dyDescent="0.3"/>
  <cols>
    <col min="1" max="1" width="66.125" customWidth="1"/>
    <col min="2" max="2" width="26" bestFit="1" customWidth="1"/>
    <col min="3" max="3" width="25.75" bestFit="1" customWidth="1"/>
    <col min="4" max="4" width="27" bestFit="1" customWidth="1"/>
    <col min="5" max="5" width="25.75" bestFit="1" customWidth="1"/>
    <col min="11" max="11" width="49.875" bestFit="1" customWidth="1"/>
    <col min="12" max="13" width="25.375" style="107" bestFit="1" customWidth="1"/>
    <col min="14" max="14" width="27.625" style="107" bestFit="1" customWidth="1"/>
    <col min="15" max="15" width="25.375" style="107" bestFit="1" customWidth="1"/>
  </cols>
  <sheetData>
    <row r="1" spans="1:15" ht="39" x14ac:dyDescent="0.3">
      <c r="A1" s="237" t="s">
        <v>330</v>
      </c>
      <c r="B1" s="237"/>
      <c r="C1" s="237"/>
      <c r="D1" s="237"/>
      <c r="E1" s="237"/>
    </row>
    <row r="2" spans="1:15" ht="27.95" customHeight="1" x14ac:dyDescent="0.3">
      <c r="A2" s="236" t="s">
        <v>319</v>
      </c>
      <c r="B2" s="236"/>
      <c r="C2" s="236"/>
      <c r="D2" s="236"/>
      <c r="E2" s="236"/>
    </row>
    <row r="3" spans="1:15" ht="27.95" customHeight="1" x14ac:dyDescent="0.3">
      <c r="A3" s="236" t="s">
        <v>318</v>
      </c>
      <c r="B3" s="236"/>
      <c r="C3" s="236"/>
      <c r="D3" s="236"/>
      <c r="E3" s="236"/>
    </row>
    <row r="4" spans="1:15" ht="27.95" customHeight="1" x14ac:dyDescent="0.35">
      <c r="A4" s="151" t="s">
        <v>311</v>
      </c>
      <c r="B4" s="152"/>
      <c r="C4" s="152"/>
      <c r="D4" s="152"/>
      <c r="E4" s="153" t="s">
        <v>13</v>
      </c>
    </row>
    <row r="5" spans="1:15" s="163" customFormat="1" ht="27.95" customHeight="1" x14ac:dyDescent="0.3">
      <c r="A5" s="162" t="s">
        <v>331</v>
      </c>
      <c r="B5" s="238" t="s">
        <v>16</v>
      </c>
      <c r="C5" s="239"/>
      <c r="D5" s="238" t="s">
        <v>332</v>
      </c>
      <c r="E5" s="239"/>
      <c r="L5" s="177"/>
      <c r="M5" s="177"/>
      <c r="N5" s="177"/>
      <c r="O5" s="177"/>
    </row>
    <row r="6" spans="1:15" s="166" customFormat="1" ht="27.95" customHeight="1" x14ac:dyDescent="0.3">
      <c r="A6" s="164" t="s">
        <v>381</v>
      </c>
      <c r="B6" s="165"/>
      <c r="C6" s="165">
        <v>-101311481782</v>
      </c>
      <c r="D6" s="165"/>
      <c r="E6" s="165">
        <v>-170032935845</v>
      </c>
      <c r="L6" s="178"/>
      <c r="M6" s="178"/>
      <c r="N6" s="178"/>
      <c r="O6" s="178"/>
    </row>
    <row r="7" spans="1:15" s="163" customFormat="1" ht="27.95" customHeight="1" x14ac:dyDescent="0.3">
      <c r="A7" s="167" t="s">
        <v>382</v>
      </c>
      <c r="B7" s="168">
        <v>-586467268145</v>
      </c>
      <c r="C7" s="168"/>
      <c r="D7" s="168">
        <v>-538892667395</v>
      </c>
      <c r="E7" s="168"/>
      <c r="L7" s="177"/>
      <c r="M7" s="177"/>
      <c r="N7" s="177"/>
      <c r="O7" s="177"/>
    </row>
    <row r="8" spans="1:15" s="163" customFormat="1" ht="27.95" customHeight="1" x14ac:dyDescent="0.3">
      <c r="A8" s="167" t="s">
        <v>383</v>
      </c>
      <c r="B8" s="168">
        <v>539767159185</v>
      </c>
      <c r="C8" s="168"/>
      <c r="D8" s="168">
        <v>559059327640</v>
      </c>
      <c r="E8" s="168"/>
      <c r="L8" s="177"/>
      <c r="M8" s="177"/>
      <c r="N8" s="177"/>
      <c r="O8" s="177"/>
    </row>
    <row r="9" spans="1:15" s="163" customFormat="1" ht="27.95" customHeight="1" x14ac:dyDescent="0.3">
      <c r="A9" s="169" t="s">
        <v>422</v>
      </c>
      <c r="B9" s="168">
        <v>123781664544</v>
      </c>
      <c r="C9" s="168"/>
      <c r="D9" s="168">
        <v>133660641531</v>
      </c>
      <c r="E9" s="168"/>
      <c r="L9" s="177"/>
      <c r="M9" s="177"/>
      <c r="N9" s="177"/>
      <c r="O9" s="177"/>
    </row>
    <row r="10" spans="1:15" s="163" customFormat="1" ht="27.95" customHeight="1" x14ac:dyDescent="0.3">
      <c r="A10" s="169" t="s">
        <v>423</v>
      </c>
      <c r="B10" s="168">
        <v>395924128790</v>
      </c>
      <c r="C10" s="168"/>
      <c r="D10" s="168">
        <v>393027189713</v>
      </c>
      <c r="E10" s="168"/>
      <c r="L10" s="177"/>
      <c r="M10" s="177"/>
      <c r="N10" s="177"/>
      <c r="O10" s="177"/>
    </row>
    <row r="11" spans="1:15" s="163" customFormat="1" ht="27.95" customHeight="1" x14ac:dyDescent="0.3">
      <c r="A11" s="169" t="s">
        <v>424</v>
      </c>
      <c r="B11" s="168" t="s">
        <v>379</v>
      </c>
      <c r="C11" s="168"/>
      <c r="D11" s="168">
        <v>4057922</v>
      </c>
      <c r="E11" s="168"/>
      <c r="L11" s="177"/>
      <c r="M11" s="177"/>
      <c r="N11" s="177"/>
      <c r="O11" s="177"/>
    </row>
    <row r="12" spans="1:15" s="163" customFormat="1" ht="27.95" customHeight="1" x14ac:dyDescent="0.3">
      <c r="A12" s="169" t="s">
        <v>425</v>
      </c>
      <c r="B12" s="168">
        <v>3051556626</v>
      </c>
      <c r="C12" s="168"/>
      <c r="D12" s="168">
        <v>2657483296</v>
      </c>
      <c r="E12" s="168"/>
      <c r="L12" s="177"/>
      <c r="M12" s="177"/>
      <c r="N12" s="177"/>
      <c r="O12" s="177"/>
    </row>
    <row r="13" spans="1:15" s="163" customFormat="1" ht="27.95" customHeight="1" x14ac:dyDescent="0.3">
      <c r="A13" s="169" t="s">
        <v>426</v>
      </c>
      <c r="B13" s="168">
        <v>5200984575</v>
      </c>
      <c r="C13" s="168"/>
      <c r="D13" s="168">
        <v>7595948075</v>
      </c>
      <c r="E13" s="168"/>
      <c r="L13" s="177"/>
      <c r="M13" s="177"/>
      <c r="N13" s="177"/>
      <c r="O13" s="177"/>
    </row>
    <row r="14" spans="1:15" s="163" customFormat="1" ht="27.95" customHeight="1" x14ac:dyDescent="0.3">
      <c r="A14" s="169" t="s">
        <v>427</v>
      </c>
      <c r="B14" s="168">
        <v>245762394</v>
      </c>
      <c r="C14" s="168"/>
      <c r="D14" s="168">
        <v>319887494</v>
      </c>
      <c r="E14" s="168"/>
      <c r="L14" s="177"/>
      <c r="M14" s="177"/>
      <c r="N14" s="177"/>
      <c r="O14" s="177"/>
    </row>
    <row r="15" spans="1:15" s="163" customFormat="1" ht="27.95" customHeight="1" x14ac:dyDescent="0.3">
      <c r="A15" s="169" t="s">
        <v>428</v>
      </c>
      <c r="B15" s="168" t="s">
        <v>379</v>
      </c>
      <c r="C15" s="168"/>
      <c r="D15" s="168">
        <v>1366165850</v>
      </c>
      <c r="E15" s="168"/>
      <c r="L15" s="177"/>
      <c r="M15" s="177"/>
      <c r="N15" s="177"/>
      <c r="O15" s="177"/>
    </row>
    <row r="16" spans="1:15" s="163" customFormat="1" ht="27.95" customHeight="1" x14ac:dyDescent="0.3">
      <c r="A16" s="169" t="s">
        <v>429</v>
      </c>
      <c r="B16" s="168">
        <v>40484242</v>
      </c>
      <c r="C16" s="168"/>
      <c r="D16" s="168" t="s">
        <v>379</v>
      </c>
      <c r="E16" s="168"/>
      <c r="L16" s="177"/>
      <c r="M16" s="177"/>
      <c r="N16" s="177"/>
      <c r="O16" s="177"/>
    </row>
    <row r="17" spans="1:15" s="163" customFormat="1" ht="27.95" customHeight="1" x14ac:dyDescent="0.3">
      <c r="A17" s="169" t="s">
        <v>430</v>
      </c>
      <c r="B17" s="168">
        <v>166510105</v>
      </c>
      <c r="C17" s="168"/>
      <c r="D17" s="168">
        <v>177740352</v>
      </c>
      <c r="E17" s="168"/>
      <c r="L17" s="177"/>
      <c r="M17" s="177"/>
      <c r="N17" s="177"/>
      <c r="O17" s="177"/>
    </row>
    <row r="18" spans="1:15" s="163" customFormat="1" ht="27.95" customHeight="1" x14ac:dyDescent="0.3">
      <c r="A18" s="169" t="s">
        <v>431</v>
      </c>
      <c r="B18" s="168">
        <v>2186805495</v>
      </c>
      <c r="C18" s="168"/>
      <c r="D18" s="168">
        <v>6879095457</v>
      </c>
      <c r="E18" s="168"/>
      <c r="L18" s="177"/>
      <c r="M18" s="177"/>
      <c r="N18" s="177"/>
      <c r="O18" s="177"/>
    </row>
    <row r="19" spans="1:15" s="163" customFormat="1" ht="27.95" customHeight="1" x14ac:dyDescent="0.3">
      <c r="A19" s="169" t="s">
        <v>432</v>
      </c>
      <c r="B19" s="168">
        <v>83549254</v>
      </c>
      <c r="C19" s="168"/>
      <c r="D19" s="168">
        <v>176802269</v>
      </c>
      <c r="E19" s="168"/>
      <c r="L19" s="177"/>
      <c r="M19" s="177"/>
      <c r="N19" s="177"/>
      <c r="O19" s="177"/>
    </row>
    <row r="20" spans="1:15" s="163" customFormat="1" ht="27.95" customHeight="1" x14ac:dyDescent="0.3">
      <c r="A20" s="169" t="s">
        <v>433</v>
      </c>
      <c r="B20" s="168">
        <v>298343755</v>
      </c>
      <c r="C20" s="168"/>
      <c r="D20" s="168">
        <v>5222378</v>
      </c>
      <c r="E20" s="168"/>
      <c r="L20" s="177"/>
      <c r="M20" s="177"/>
      <c r="N20" s="177"/>
      <c r="O20" s="177"/>
    </row>
    <row r="21" spans="1:15" s="163" customFormat="1" ht="27.95" customHeight="1" x14ac:dyDescent="0.3">
      <c r="A21" s="169" t="s">
        <v>434</v>
      </c>
      <c r="B21" s="168">
        <v>8081234680</v>
      </c>
      <c r="C21" s="168"/>
      <c r="D21" s="168">
        <v>11083982201</v>
      </c>
      <c r="E21" s="168"/>
      <c r="L21" s="177"/>
      <c r="M21" s="177"/>
      <c r="N21" s="177"/>
      <c r="O21" s="177"/>
    </row>
    <row r="22" spans="1:15" s="163" customFormat="1" ht="27.95" customHeight="1" x14ac:dyDescent="0.3">
      <c r="A22" s="169" t="s">
        <v>435</v>
      </c>
      <c r="B22" s="168">
        <v>706134725</v>
      </c>
      <c r="C22" s="168"/>
      <c r="D22" s="168">
        <v>2105111102</v>
      </c>
      <c r="E22" s="168"/>
      <c r="L22" s="177"/>
      <c r="M22" s="177"/>
      <c r="N22" s="177"/>
      <c r="O22" s="177"/>
    </row>
    <row r="23" spans="1:15" s="163" customFormat="1" ht="27.95" customHeight="1" x14ac:dyDescent="0.3">
      <c r="A23" s="169" t="s">
        <v>384</v>
      </c>
      <c r="B23" s="168">
        <v>-23882208124</v>
      </c>
      <c r="C23" s="168"/>
      <c r="D23" s="168">
        <v>-132938622351</v>
      </c>
      <c r="E23" s="168"/>
      <c r="L23" s="177"/>
      <c r="M23" s="177"/>
      <c r="N23" s="177"/>
      <c r="O23" s="177"/>
    </row>
    <row r="24" spans="1:15" s="163" customFormat="1" ht="27.95" customHeight="1" x14ac:dyDescent="0.3">
      <c r="A24" s="169" t="s">
        <v>436</v>
      </c>
      <c r="B24" s="168">
        <v>1828803148</v>
      </c>
      <c r="C24" s="168"/>
      <c r="D24" s="168">
        <v>54010370</v>
      </c>
      <c r="E24" s="168"/>
      <c r="L24" s="177"/>
      <c r="M24" s="177"/>
      <c r="N24" s="177"/>
      <c r="O24" s="177"/>
    </row>
    <row r="25" spans="1:15" s="163" customFormat="1" ht="27.95" customHeight="1" x14ac:dyDescent="0.3">
      <c r="A25" s="169" t="s">
        <v>437</v>
      </c>
      <c r="B25" s="168">
        <v>644493450</v>
      </c>
      <c r="C25" s="168"/>
      <c r="D25" s="168">
        <v>2638044239</v>
      </c>
      <c r="E25" s="168"/>
      <c r="L25" s="177"/>
      <c r="M25" s="177"/>
      <c r="N25" s="177"/>
      <c r="O25" s="177"/>
    </row>
    <row r="26" spans="1:15" s="163" customFormat="1" ht="27.95" customHeight="1" x14ac:dyDescent="0.3">
      <c r="A26" s="169" t="s">
        <v>438</v>
      </c>
      <c r="B26" s="168" t="s">
        <v>379</v>
      </c>
      <c r="C26" s="168"/>
      <c r="D26" s="168">
        <v>706955969</v>
      </c>
      <c r="E26" s="168"/>
      <c r="L26" s="177"/>
      <c r="M26" s="177"/>
      <c r="N26" s="177"/>
      <c r="O26" s="177"/>
    </row>
    <row r="27" spans="1:15" s="163" customFormat="1" ht="27.95" customHeight="1" x14ac:dyDescent="0.3">
      <c r="A27" s="169" t="s">
        <v>439</v>
      </c>
      <c r="B27" s="168">
        <v>13567301683</v>
      </c>
      <c r="C27" s="168"/>
      <c r="D27" s="168">
        <v>123977245538</v>
      </c>
      <c r="E27" s="168"/>
      <c r="L27" s="177"/>
      <c r="M27" s="177"/>
      <c r="N27" s="177"/>
      <c r="O27" s="177"/>
    </row>
    <row r="28" spans="1:15" s="163" customFormat="1" ht="27.95" customHeight="1" x14ac:dyDescent="0.3">
      <c r="A28" s="169" t="s">
        <v>440</v>
      </c>
      <c r="B28" s="168">
        <v>7841607843</v>
      </c>
      <c r="C28" s="168"/>
      <c r="D28" s="168">
        <v>5559907735</v>
      </c>
      <c r="E28" s="168"/>
      <c r="L28" s="177"/>
      <c r="M28" s="177"/>
      <c r="N28" s="177"/>
      <c r="O28" s="177"/>
    </row>
    <row r="29" spans="1:15" s="163" customFormat="1" ht="27.95" customHeight="1" x14ac:dyDescent="0.3">
      <c r="A29" s="167" t="s">
        <v>441</v>
      </c>
      <c r="B29" s="168" t="s">
        <v>379</v>
      </c>
      <c r="C29" s="168"/>
      <c r="D29" s="168">
        <v>2458500</v>
      </c>
      <c r="E29" s="168"/>
      <c r="L29" s="177"/>
      <c r="M29" s="177"/>
      <c r="N29" s="177"/>
      <c r="O29" s="177"/>
    </row>
    <row r="30" spans="1:15" s="163" customFormat="1" ht="27.95" customHeight="1" x14ac:dyDescent="0.3">
      <c r="A30" s="169" t="s">
        <v>442</v>
      </c>
      <c r="B30" s="168">
        <v>2000</v>
      </c>
      <c r="C30" s="168"/>
      <c r="D30" s="168" t="s">
        <v>379</v>
      </c>
      <c r="E30" s="168"/>
      <c r="L30" s="177"/>
      <c r="M30" s="177"/>
      <c r="N30" s="177"/>
      <c r="O30" s="177"/>
    </row>
    <row r="31" spans="1:15" s="163" customFormat="1" ht="27.95" customHeight="1" x14ac:dyDescent="0.3">
      <c r="A31" s="169" t="s">
        <v>385</v>
      </c>
      <c r="B31" s="168">
        <v>-30729164698</v>
      </c>
      <c r="C31" s="168"/>
      <c r="D31" s="168">
        <v>-57260973739</v>
      </c>
      <c r="E31" s="168"/>
      <c r="L31" s="177"/>
      <c r="M31" s="177"/>
      <c r="N31" s="177"/>
      <c r="O31" s="177"/>
    </row>
    <row r="32" spans="1:15" s="163" customFormat="1" ht="27.95" customHeight="1" x14ac:dyDescent="0.3">
      <c r="A32" s="169" t="s">
        <v>443</v>
      </c>
      <c r="B32" s="168">
        <v>5223232023</v>
      </c>
      <c r="C32" s="168"/>
      <c r="D32" s="168">
        <v>-19645875608</v>
      </c>
      <c r="E32" s="168"/>
      <c r="L32" s="177"/>
      <c r="M32" s="177"/>
      <c r="N32" s="177"/>
      <c r="O32" s="177"/>
    </row>
    <row r="33" spans="1:15" s="163" customFormat="1" ht="27.95" customHeight="1" x14ac:dyDescent="0.3">
      <c r="A33" s="169" t="s">
        <v>444</v>
      </c>
      <c r="B33" s="168">
        <v>-12120224172</v>
      </c>
      <c r="C33" s="168"/>
      <c r="D33" s="168">
        <v>-13732872365</v>
      </c>
      <c r="E33" s="168"/>
      <c r="L33" s="177"/>
      <c r="M33" s="177"/>
      <c r="N33" s="177"/>
      <c r="O33" s="177"/>
    </row>
    <row r="34" spans="1:15" s="163" customFormat="1" ht="27.95" customHeight="1" x14ac:dyDescent="0.3">
      <c r="A34" s="169" t="s">
        <v>445</v>
      </c>
      <c r="B34" s="168">
        <v>-445733</v>
      </c>
      <c r="C34" s="168"/>
      <c r="D34" s="168">
        <v>91357169</v>
      </c>
      <c r="E34" s="168"/>
      <c r="L34" s="177"/>
      <c r="M34" s="177"/>
      <c r="N34" s="177"/>
      <c r="O34" s="177"/>
    </row>
    <row r="35" spans="1:15" s="163" customFormat="1" ht="27.95" customHeight="1" x14ac:dyDescent="0.3">
      <c r="A35" s="169" t="s">
        <v>446</v>
      </c>
      <c r="B35" s="168">
        <v>-4987389253</v>
      </c>
      <c r="C35" s="168"/>
      <c r="D35" s="168">
        <v>-4398742959</v>
      </c>
      <c r="E35" s="168"/>
      <c r="L35" s="177"/>
      <c r="M35" s="177"/>
      <c r="N35" s="177"/>
      <c r="O35" s="177"/>
    </row>
    <row r="36" spans="1:15" s="163" customFormat="1" ht="27.95" customHeight="1" x14ac:dyDescent="0.3">
      <c r="A36" s="169" t="s">
        <v>447</v>
      </c>
      <c r="B36" s="168">
        <v>50806449</v>
      </c>
      <c r="C36" s="168"/>
      <c r="D36" s="168">
        <v>442554208</v>
      </c>
      <c r="E36" s="168"/>
      <c r="L36" s="177"/>
      <c r="M36" s="177"/>
      <c r="N36" s="177"/>
      <c r="O36" s="177"/>
    </row>
    <row r="37" spans="1:15" s="163" customFormat="1" ht="27.95" customHeight="1" x14ac:dyDescent="0.3">
      <c r="A37" s="169" t="s">
        <v>448</v>
      </c>
      <c r="B37" s="168">
        <v>495200356</v>
      </c>
      <c r="C37" s="168"/>
      <c r="D37" s="168">
        <v>-449541870</v>
      </c>
      <c r="E37" s="168"/>
      <c r="L37" s="177"/>
      <c r="M37" s="177"/>
      <c r="N37" s="177"/>
      <c r="O37" s="177"/>
    </row>
    <row r="38" spans="1:15" s="163" customFormat="1" ht="27.95" customHeight="1" x14ac:dyDescent="0.3">
      <c r="A38" s="169" t="s">
        <v>449</v>
      </c>
      <c r="B38" s="168">
        <v>815723014</v>
      </c>
      <c r="C38" s="168"/>
      <c r="D38" s="168">
        <v>-1139091074</v>
      </c>
      <c r="E38" s="168"/>
      <c r="L38" s="177"/>
      <c r="M38" s="177"/>
      <c r="N38" s="177"/>
      <c r="O38" s="177"/>
    </row>
    <row r="39" spans="1:15" s="163" customFormat="1" ht="27.95" customHeight="1" x14ac:dyDescent="0.3">
      <c r="A39" s="169" t="s">
        <v>450</v>
      </c>
      <c r="B39" s="168">
        <v>1539087153</v>
      </c>
      <c r="C39" s="168"/>
      <c r="D39" s="168">
        <v>8701623083</v>
      </c>
      <c r="E39" s="168"/>
      <c r="L39" s="177"/>
      <c r="M39" s="177"/>
      <c r="N39" s="177"/>
      <c r="O39" s="177"/>
    </row>
    <row r="40" spans="1:15" s="163" customFormat="1" ht="27.95" customHeight="1" x14ac:dyDescent="0.3">
      <c r="A40" s="169" t="s">
        <v>451</v>
      </c>
      <c r="B40" s="168">
        <v>-7999546963</v>
      </c>
      <c r="C40" s="168"/>
      <c r="D40" s="168">
        <v>64159344209</v>
      </c>
      <c r="E40" s="168"/>
      <c r="L40" s="177"/>
      <c r="M40" s="177"/>
      <c r="N40" s="177"/>
      <c r="O40" s="177"/>
    </row>
    <row r="41" spans="1:15" s="163" customFormat="1" ht="27.95" customHeight="1" x14ac:dyDescent="0.3">
      <c r="A41" s="169" t="s">
        <v>452</v>
      </c>
      <c r="B41" s="168">
        <v>-15466492912</v>
      </c>
      <c r="C41" s="168"/>
      <c r="D41" s="168">
        <v>16439732561</v>
      </c>
      <c r="E41" s="168"/>
      <c r="L41" s="177"/>
      <c r="M41" s="177"/>
      <c r="N41" s="177"/>
      <c r="O41" s="177"/>
    </row>
    <row r="42" spans="1:15" s="163" customFormat="1" ht="27.95" customHeight="1" x14ac:dyDescent="0.3">
      <c r="A42" s="169" t="s">
        <v>453</v>
      </c>
      <c r="B42" s="168">
        <v>11263881926</v>
      </c>
      <c r="C42" s="168"/>
      <c r="D42" s="168">
        <v>7356130542</v>
      </c>
      <c r="E42" s="168"/>
      <c r="L42" s="177"/>
      <c r="M42" s="177"/>
      <c r="N42" s="177"/>
      <c r="O42" s="177"/>
    </row>
    <row r="43" spans="1:15" s="163" customFormat="1" ht="27.95" customHeight="1" x14ac:dyDescent="0.3">
      <c r="A43" s="169" t="s">
        <v>454</v>
      </c>
      <c r="B43" s="168">
        <v>81190630744</v>
      </c>
      <c r="C43" s="168"/>
      <c r="D43" s="168">
        <v>-35988993976</v>
      </c>
      <c r="E43" s="168"/>
      <c r="L43" s="177"/>
      <c r="M43" s="177"/>
      <c r="N43" s="177"/>
      <c r="O43" s="177"/>
    </row>
    <row r="44" spans="1:15" s="163" customFormat="1" ht="27.95" customHeight="1" x14ac:dyDescent="0.3">
      <c r="A44" s="169" t="s">
        <v>455</v>
      </c>
      <c r="B44" s="168">
        <v>160835569</v>
      </c>
      <c r="C44" s="168"/>
      <c r="D44" s="168">
        <v>86287839</v>
      </c>
      <c r="E44" s="168"/>
      <c r="L44" s="177"/>
      <c r="M44" s="177"/>
      <c r="N44" s="177"/>
      <c r="O44" s="177"/>
    </row>
    <row r="45" spans="1:15" s="163" customFormat="1" ht="27.95" customHeight="1" x14ac:dyDescent="0.3">
      <c r="A45" s="169" t="s">
        <v>456</v>
      </c>
      <c r="B45" s="168">
        <v>-7947830827</v>
      </c>
      <c r="C45" s="168"/>
      <c r="D45" s="168">
        <v>-9158931283</v>
      </c>
      <c r="E45" s="168"/>
      <c r="L45" s="177"/>
      <c r="M45" s="177"/>
      <c r="N45" s="177"/>
      <c r="O45" s="177"/>
    </row>
    <row r="46" spans="1:15" s="163" customFormat="1" ht="27.95" customHeight="1" x14ac:dyDescent="0.3">
      <c r="A46" s="169" t="s">
        <v>457</v>
      </c>
      <c r="B46" s="168">
        <v>28782024376</v>
      </c>
      <c r="C46" s="168"/>
      <c r="D46" s="168">
        <v>66367519985</v>
      </c>
      <c r="E46" s="168"/>
      <c r="L46" s="177"/>
      <c r="M46" s="177"/>
      <c r="N46" s="177"/>
      <c r="O46" s="177"/>
    </row>
    <row r="47" spans="1:15" s="163" customFormat="1" ht="27.95" customHeight="1" x14ac:dyDescent="0.3">
      <c r="A47" s="169" t="s">
        <v>458</v>
      </c>
      <c r="B47" s="168">
        <v>-9917386375</v>
      </c>
      <c r="C47" s="168"/>
      <c r="D47" s="168">
        <v>4542031051</v>
      </c>
      <c r="E47" s="168"/>
      <c r="L47" s="177"/>
      <c r="M47" s="177"/>
      <c r="N47" s="177"/>
      <c r="O47" s="177"/>
    </row>
    <row r="48" spans="1:15" s="163" customFormat="1" ht="27.95" customHeight="1" x14ac:dyDescent="0.3">
      <c r="A48" s="169" t="s">
        <v>459</v>
      </c>
      <c r="B48" s="168">
        <v>-71301701</v>
      </c>
      <c r="C48" s="168"/>
      <c r="D48" s="168">
        <v>136322271</v>
      </c>
      <c r="E48" s="168"/>
      <c r="L48" s="177"/>
      <c r="M48" s="177"/>
      <c r="N48" s="177"/>
      <c r="O48" s="177"/>
    </row>
    <row r="49" spans="1:15" s="163" customFormat="1" ht="27.95" customHeight="1" x14ac:dyDescent="0.3">
      <c r="A49" s="169" t="s">
        <v>460</v>
      </c>
      <c r="B49" s="168">
        <v>-3075632620</v>
      </c>
      <c r="C49" s="168"/>
      <c r="D49" s="168" t="s">
        <v>379</v>
      </c>
      <c r="E49" s="168"/>
      <c r="L49" s="177"/>
      <c r="M49" s="177"/>
      <c r="N49" s="177"/>
      <c r="O49" s="177"/>
    </row>
    <row r="50" spans="1:15" s="163" customFormat="1" ht="27.95" customHeight="1" x14ac:dyDescent="0.3">
      <c r="A50" s="169" t="s">
        <v>461</v>
      </c>
      <c r="B50" s="168">
        <v>31788414257</v>
      </c>
      <c r="C50" s="168"/>
      <c r="D50" s="168">
        <v>-6938327721</v>
      </c>
      <c r="E50" s="168"/>
      <c r="L50" s="177"/>
      <c r="M50" s="177"/>
      <c r="N50" s="177"/>
      <c r="O50" s="177"/>
    </row>
    <row r="51" spans="1:15" s="163" customFormat="1" ht="27.95" customHeight="1" x14ac:dyDescent="0.3">
      <c r="A51" s="167" t="s">
        <v>462</v>
      </c>
      <c r="B51" s="168">
        <v>-130477920609</v>
      </c>
      <c r="C51" s="168"/>
      <c r="D51" s="168">
        <v>-134162632201</v>
      </c>
      <c r="E51" s="168"/>
      <c r="L51" s="177"/>
      <c r="M51" s="177"/>
      <c r="N51" s="177"/>
      <c r="O51" s="177"/>
    </row>
    <row r="52" spans="1:15" s="163" customFormat="1" ht="27.95" customHeight="1" x14ac:dyDescent="0.3">
      <c r="A52" s="169" t="s">
        <v>463</v>
      </c>
      <c r="B52" s="168">
        <v>25170600</v>
      </c>
      <c r="C52" s="168"/>
      <c r="D52" s="168">
        <v>31132400</v>
      </c>
      <c r="E52" s="168"/>
      <c r="L52" s="177"/>
      <c r="M52" s="177"/>
      <c r="N52" s="177"/>
      <c r="O52" s="177"/>
    </row>
    <row r="53" spans="1:15" s="166" customFormat="1" ht="27.95" customHeight="1" x14ac:dyDescent="0.3">
      <c r="A53" s="179" t="s">
        <v>386</v>
      </c>
      <c r="B53" s="165"/>
      <c r="C53" s="165">
        <v>-435164227211</v>
      </c>
      <c r="D53" s="165"/>
      <c r="E53" s="165">
        <v>-404076137576</v>
      </c>
      <c r="L53" s="178"/>
      <c r="M53" s="178"/>
      <c r="N53" s="178"/>
      <c r="O53" s="178"/>
    </row>
    <row r="54" spans="1:15" s="163" customFormat="1" ht="27.95" customHeight="1" x14ac:dyDescent="0.3">
      <c r="A54" s="169" t="s">
        <v>387</v>
      </c>
      <c r="B54" s="168">
        <v>29144330134</v>
      </c>
      <c r="C54" s="168"/>
      <c r="D54" s="168">
        <v>20542399561</v>
      </c>
      <c r="E54" s="168"/>
      <c r="L54" s="177"/>
      <c r="M54" s="177"/>
      <c r="N54" s="177"/>
      <c r="O54" s="177"/>
    </row>
    <row r="55" spans="1:15" s="163" customFormat="1" ht="27.95" customHeight="1" x14ac:dyDescent="0.3">
      <c r="A55" s="169" t="s">
        <v>464</v>
      </c>
      <c r="B55" s="168" t="s">
        <v>379</v>
      </c>
      <c r="C55" s="168"/>
      <c r="D55" s="168">
        <v>87988662</v>
      </c>
      <c r="E55" s="168"/>
      <c r="L55" s="177"/>
      <c r="M55" s="177"/>
      <c r="N55" s="177"/>
      <c r="O55" s="177"/>
    </row>
    <row r="56" spans="1:15" s="163" customFormat="1" ht="27.95" customHeight="1" x14ac:dyDescent="0.3">
      <c r="A56" s="169" t="s">
        <v>465</v>
      </c>
      <c r="B56" s="168">
        <v>2570654530</v>
      </c>
      <c r="C56" s="168"/>
      <c r="D56" s="168" t="s">
        <v>379</v>
      </c>
      <c r="E56" s="168"/>
      <c r="L56" s="177"/>
      <c r="M56" s="177"/>
      <c r="N56" s="177"/>
      <c r="O56" s="177"/>
    </row>
    <row r="57" spans="1:15" s="163" customFormat="1" ht="27.95" customHeight="1" x14ac:dyDescent="0.3">
      <c r="A57" s="169" t="s">
        <v>466</v>
      </c>
      <c r="B57" s="168">
        <v>16075734597</v>
      </c>
      <c r="C57" s="168"/>
      <c r="D57" s="168">
        <v>14733629105</v>
      </c>
      <c r="E57" s="168"/>
      <c r="L57" s="177"/>
      <c r="M57" s="177"/>
      <c r="N57" s="177"/>
      <c r="O57" s="177"/>
    </row>
    <row r="58" spans="1:15" s="163" customFormat="1" ht="27.95" customHeight="1" x14ac:dyDescent="0.3">
      <c r="A58" s="169" t="s">
        <v>467</v>
      </c>
      <c r="B58" s="168">
        <v>7146909915</v>
      </c>
      <c r="C58" s="168"/>
      <c r="D58" s="168">
        <v>200000000</v>
      </c>
      <c r="E58" s="168"/>
      <c r="L58" s="177"/>
      <c r="M58" s="177"/>
      <c r="N58" s="177"/>
      <c r="O58" s="177"/>
    </row>
    <row r="59" spans="1:15" s="163" customFormat="1" ht="27.95" customHeight="1" x14ac:dyDescent="0.3">
      <c r="A59" s="169" t="s">
        <v>468</v>
      </c>
      <c r="B59" s="168" t="s">
        <v>379</v>
      </c>
      <c r="C59" s="168"/>
      <c r="D59" s="168">
        <v>3184212450</v>
      </c>
      <c r="E59" s="168"/>
      <c r="L59" s="177"/>
      <c r="M59" s="177"/>
      <c r="N59" s="177"/>
      <c r="O59" s="177"/>
    </row>
    <row r="60" spans="1:15" s="163" customFormat="1" ht="27.95" customHeight="1" x14ac:dyDescent="0.3">
      <c r="A60" s="167" t="s">
        <v>469</v>
      </c>
      <c r="B60" s="168" t="s">
        <v>379</v>
      </c>
      <c r="C60" s="168"/>
      <c r="D60" s="168">
        <v>177740352</v>
      </c>
      <c r="E60" s="168"/>
      <c r="L60" s="177"/>
      <c r="M60" s="177"/>
      <c r="N60" s="177"/>
      <c r="O60" s="177"/>
    </row>
    <row r="61" spans="1:15" s="163" customFormat="1" ht="27.95" customHeight="1" x14ac:dyDescent="0.3">
      <c r="A61" s="169" t="s">
        <v>470</v>
      </c>
      <c r="B61" s="168">
        <v>85000000</v>
      </c>
      <c r="C61" s="168"/>
      <c r="D61" s="168">
        <v>130000000</v>
      </c>
      <c r="E61" s="168"/>
      <c r="L61" s="177"/>
      <c r="M61" s="177"/>
      <c r="N61" s="177"/>
      <c r="O61" s="177"/>
    </row>
    <row r="62" spans="1:15" s="163" customFormat="1" ht="27.95" customHeight="1" x14ac:dyDescent="0.3">
      <c r="A62" s="169" t="s">
        <v>471</v>
      </c>
      <c r="B62" s="168">
        <v>3266031092</v>
      </c>
      <c r="C62" s="168"/>
      <c r="D62" s="168">
        <v>2028828992</v>
      </c>
      <c r="E62" s="168"/>
      <c r="L62" s="177"/>
      <c r="M62" s="177"/>
      <c r="N62" s="177"/>
      <c r="O62" s="177"/>
    </row>
    <row r="63" spans="1:15" s="163" customFormat="1" ht="27.95" customHeight="1" x14ac:dyDescent="0.3">
      <c r="A63" s="169" t="s">
        <v>388</v>
      </c>
      <c r="B63" s="168">
        <v>-464308557345</v>
      </c>
      <c r="C63" s="168"/>
      <c r="D63" s="168">
        <v>-424618537137</v>
      </c>
      <c r="E63" s="168"/>
      <c r="L63" s="177"/>
      <c r="M63" s="177"/>
      <c r="N63" s="177"/>
      <c r="O63" s="177"/>
    </row>
    <row r="64" spans="1:15" s="163" customFormat="1" ht="27.95" customHeight="1" x14ac:dyDescent="0.3">
      <c r="A64" s="169" t="s">
        <v>389</v>
      </c>
      <c r="B64" s="168">
        <v>13291816795</v>
      </c>
      <c r="C64" s="168"/>
      <c r="D64" s="168">
        <v>8228430850</v>
      </c>
      <c r="E64" s="168"/>
      <c r="L64" s="177"/>
      <c r="M64" s="177"/>
      <c r="N64" s="177"/>
      <c r="O64" s="177"/>
    </row>
    <row r="65" spans="1:15" s="163" customFormat="1" ht="27.95" customHeight="1" x14ac:dyDescent="0.3">
      <c r="A65" s="169" t="s">
        <v>390</v>
      </c>
      <c r="B65" s="168" t="s">
        <v>379</v>
      </c>
      <c r="C65" s="168"/>
      <c r="D65" s="168">
        <v>5000000000</v>
      </c>
      <c r="E65" s="168"/>
      <c r="L65" s="177"/>
      <c r="M65" s="177"/>
      <c r="N65" s="177"/>
      <c r="O65" s="177"/>
    </row>
    <row r="66" spans="1:15" s="163" customFormat="1" ht="27.95" customHeight="1" x14ac:dyDescent="0.3">
      <c r="A66" s="169" t="s">
        <v>391</v>
      </c>
      <c r="B66" s="168">
        <v>373060600</v>
      </c>
      <c r="C66" s="168"/>
      <c r="D66" s="168">
        <v>2000000</v>
      </c>
      <c r="E66" s="168"/>
      <c r="L66" s="177"/>
      <c r="M66" s="177"/>
      <c r="N66" s="177"/>
      <c r="O66" s="177"/>
    </row>
    <row r="67" spans="1:15" s="163" customFormat="1" ht="27.95" customHeight="1" x14ac:dyDescent="0.3">
      <c r="A67" s="169" t="s">
        <v>392</v>
      </c>
      <c r="B67" s="168">
        <v>5023614289</v>
      </c>
      <c r="C67" s="168"/>
      <c r="D67" s="168">
        <v>5142882659</v>
      </c>
      <c r="E67" s="168"/>
      <c r="L67" s="177"/>
      <c r="M67" s="177"/>
      <c r="N67" s="177"/>
      <c r="O67" s="177"/>
    </row>
    <row r="68" spans="1:15" s="163" customFormat="1" ht="27.95" customHeight="1" x14ac:dyDescent="0.3">
      <c r="A68" s="169" t="s">
        <v>393</v>
      </c>
      <c r="B68" s="168">
        <v>95264658906</v>
      </c>
      <c r="C68" s="168"/>
      <c r="D68" s="168">
        <v>21697880607</v>
      </c>
      <c r="E68" s="168"/>
      <c r="L68" s="177"/>
      <c r="M68" s="177"/>
      <c r="N68" s="177"/>
      <c r="O68" s="177"/>
    </row>
    <row r="69" spans="1:15" s="163" customFormat="1" ht="27.95" customHeight="1" x14ac:dyDescent="0.3">
      <c r="A69" s="169" t="s">
        <v>394</v>
      </c>
      <c r="B69" s="168">
        <v>72550732525</v>
      </c>
      <c r="C69" s="168"/>
      <c r="D69" s="168">
        <v>22193210130</v>
      </c>
      <c r="E69" s="168"/>
      <c r="L69" s="177"/>
      <c r="M69" s="177"/>
      <c r="N69" s="177"/>
      <c r="O69" s="177"/>
    </row>
    <row r="70" spans="1:15" s="163" customFormat="1" ht="27.95" customHeight="1" x14ac:dyDescent="0.3">
      <c r="A70" s="169" t="s">
        <v>395</v>
      </c>
      <c r="B70" s="168">
        <v>2794256899</v>
      </c>
      <c r="C70" s="168"/>
      <c r="D70" s="168">
        <v>2365406868</v>
      </c>
      <c r="E70" s="168"/>
      <c r="L70" s="177"/>
      <c r="M70" s="177"/>
      <c r="N70" s="177"/>
      <c r="O70" s="177"/>
    </row>
    <row r="71" spans="1:15" s="163" customFormat="1" ht="27.95" customHeight="1" x14ac:dyDescent="0.3">
      <c r="A71" s="169" t="s">
        <v>396</v>
      </c>
      <c r="B71" s="168">
        <v>63686566834</v>
      </c>
      <c r="C71" s="168"/>
      <c r="D71" s="168">
        <v>736575000</v>
      </c>
      <c r="E71" s="168"/>
      <c r="L71" s="177"/>
      <c r="M71" s="177"/>
      <c r="N71" s="177"/>
      <c r="O71" s="177"/>
    </row>
    <row r="72" spans="1:15" s="163" customFormat="1" ht="27.95" customHeight="1" x14ac:dyDescent="0.3">
      <c r="A72" s="169" t="s">
        <v>397</v>
      </c>
      <c r="B72" s="168">
        <v>312670540</v>
      </c>
      <c r="C72" s="168"/>
      <c r="D72" s="168">
        <v>144271750</v>
      </c>
      <c r="E72" s="168"/>
      <c r="L72" s="177"/>
      <c r="M72" s="177"/>
      <c r="N72" s="177"/>
      <c r="O72" s="177"/>
    </row>
    <row r="73" spans="1:15" s="163" customFormat="1" ht="27.95" customHeight="1" x14ac:dyDescent="0.3">
      <c r="A73" s="169" t="s">
        <v>398</v>
      </c>
      <c r="B73" s="168">
        <v>14292647935</v>
      </c>
      <c r="C73" s="168"/>
      <c r="D73" s="168">
        <v>5517235440</v>
      </c>
      <c r="E73" s="168"/>
      <c r="L73" s="177"/>
      <c r="M73" s="177"/>
      <c r="N73" s="177"/>
      <c r="O73" s="177"/>
    </row>
    <row r="74" spans="1:15" s="163" customFormat="1" ht="27.95" customHeight="1" x14ac:dyDescent="0.3">
      <c r="A74" s="169" t="s">
        <v>399</v>
      </c>
      <c r="B74" s="168">
        <v>104109000</v>
      </c>
      <c r="C74" s="168"/>
      <c r="D74" s="168">
        <v>99740878</v>
      </c>
      <c r="E74" s="168"/>
      <c r="L74" s="177"/>
      <c r="M74" s="177"/>
      <c r="N74" s="177"/>
      <c r="O74" s="177"/>
    </row>
    <row r="75" spans="1:15" s="163" customFormat="1" ht="27.95" customHeight="1" x14ac:dyDescent="0.3">
      <c r="A75" s="169" t="s">
        <v>400</v>
      </c>
      <c r="B75" s="168">
        <v>194918002818</v>
      </c>
      <c r="C75" s="168"/>
      <c r="D75" s="168">
        <v>351960160418</v>
      </c>
      <c r="E75" s="168"/>
      <c r="L75" s="177"/>
      <c r="M75" s="177"/>
      <c r="N75" s="177"/>
      <c r="O75" s="177"/>
    </row>
    <row r="76" spans="1:15" s="163" customFormat="1" ht="27.95" customHeight="1" x14ac:dyDescent="0.3">
      <c r="A76" s="169" t="s">
        <v>401</v>
      </c>
      <c r="B76" s="168">
        <v>1619795619</v>
      </c>
      <c r="C76" s="168"/>
      <c r="D76" s="168" t="s">
        <v>379</v>
      </c>
      <c r="E76" s="168"/>
      <c r="L76" s="177"/>
      <c r="M76" s="177"/>
      <c r="N76" s="177"/>
      <c r="O76" s="177"/>
    </row>
    <row r="77" spans="1:15" s="163" customFormat="1" ht="27.95" customHeight="1" x14ac:dyDescent="0.3">
      <c r="A77" s="169" t="s">
        <v>402</v>
      </c>
      <c r="B77" s="168">
        <v>61624585</v>
      </c>
      <c r="C77" s="168"/>
      <c r="D77" s="168" t="s">
        <v>379</v>
      </c>
      <c r="E77" s="168"/>
      <c r="L77" s="177"/>
      <c r="M77" s="177"/>
      <c r="N77" s="177"/>
      <c r="O77" s="177"/>
    </row>
    <row r="78" spans="1:15" s="163" customFormat="1" ht="27.95" customHeight="1" x14ac:dyDescent="0.3">
      <c r="A78" s="180" t="s">
        <v>472</v>
      </c>
      <c r="B78" s="168" t="s">
        <v>379</v>
      </c>
      <c r="C78" s="168"/>
      <c r="D78" s="168">
        <v>21968900</v>
      </c>
      <c r="E78" s="168"/>
      <c r="L78" s="177"/>
      <c r="M78" s="177"/>
      <c r="N78" s="177"/>
      <c r="O78" s="177"/>
    </row>
    <row r="79" spans="1:15" s="163" customFormat="1" ht="27.95" customHeight="1" x14ac:dyDescent="0.3">
      <c r="A79" s="169" t="s">
        <v>403</v>
      </c>
      <c r="B79" s="168" t="s">
        <v>379</v>
      </c>
      <c r="C79" s="168"/>
      <c r="D79" s="168">
        <v>1123230037</v>
      </c>
      <c r="E79" s="168"/>
      <c r="L79" s="177"/>
      <c r="M79" s="177"/>
      <c r="N79" s="177"/>
      <c r="O79" s="177"/>
    </row>
    <row r="80" spans="1:15" s="163" customFormat="1" ht="27.75" customHeight="1" x14ac:dyDescent="0.3">
      <c r="A80" s="169" t="s">
        <v>404</v>
      </c>
      <c r="B80" s="168" t="s">
        <v>379</v>
      </c>
      <c r="C80" s="168"/>
      <c r="D80" s="168">
        <v>380543600</v>
      </c>
      <c r="E80" s="168"/>
      <c r="L80" s="177"/>
      <c r="M80" s="177"/>
      <c r="N80" s="177"/>
      <c r="O80" s="177"/>
    </row>
    <row r="81" spans="1:15" s="163" customFormat="1" ht="27.95" customHeight="1" x14ac:dyDescent="0.3">
      <c r="A81" s="169" t="s">
        <v>405</v>
      </c>
      <c r="B81" s="168">
        <v>15000000</v>
      </c>
      <c r="C81" s="168"/>
      <c r="D81" s="168">
        <v>5000000</v>
      </c>
      <c r="E81" s="168"/>
      <c r="L81" s="177"/>
      <c r="M81" s="177"/>
      <c r="N81" s="177"/>
      <c r="O81" s="177"/>
    </row>
    <row r="82" spans="1:15" s="166" customFormat="1" ht="27.95" customHeight="1" x14ac:dyDescent="0.3">
      <c r="A82" s="179" t="s">
        <v>406</v>
      </c>
      <c r="B82" s="165"/>
      <c r="C82" s="165">
        <v>455972296151</v>
      </c>
      <c r="D82" s="165"/>
      <c r="E82" s="165">
        <v>625475269208</v>
      </c>
      <c r="L82" s="178"/>
      <c r="M82" s="178"/>
      <c r="N82" s="178"/>
      <c r="O82" s="178"/>
    </row>
    <row r="83" spans="1:15" s="163" customFormat="1" ht="27.95" customHeight="1" x14ac:dyDescent="0.3">
      <c r="A83" s="169" t="s">
        <v>407</v>
      </c>
      <c r="B83" s="168">
        <v>717520890792</v>
      </c>
      <c r="C83" s="168"/>
      <c r="D83" s="168">
        <v>1144621542523</v>
      </c>
      <c r="E83" s="168"/>
      <c r="L83" s="177"/>
      <c r="M83" s="177"/>
      <c r="N83" s="177"/>
      <c r="O83" s="177"/>
    </row>
    <row r="84" spans="1:15" s="163" customFormat="1" ht="27.95" customHeight="1" x14ac:dyDescent="0.3">
      <c r="A84" s="169" t="s">
        <v>408</v>
      </c>
      <c r="B84" s="168">
        <v>123375730000</v>
      </c>
      <c r="C84" s="168"/>
      <c r="D84" s="168">
        <v>505381590000</v>
      </c>
      <c r="E84" s="168"/>
      <c r="L84" s="177"/>
      <c r="M84" s="177"/>
      <c r="N84" s="177"/>
      <c r="O84" s="177"/>
    </row>
    <row r="85" spans="1:15" s="163" customFormat="1" ht="27.95" customHeight="1" x14ac:dyDescent="0.3">
      <c r="A85" s="169" t="s">
        <v>409</v>
      </c>
      <c r="B85" s="168">
        <v>179959688400</v>
      </c>
      <c r="C85" s="168"/>
      <c r="D85" s="168">
        <v>350000000000</v>
      </c>
      <c r="E85" s="168"/>
      <c r="L85" s="177"/>
      <c r="M85" s="177"/>
      <c r="N85" s="177"/>
      <c r="O85" s="177"/>
    </row>
    <row r="86" spans="1:15" s="163" customFormat="1" ht="27.95" customHeight="1" x14ac:dyDescent="0.3">
      <c r="A86" s="169" t="s">
        <v>410</v>
      </c>
      <c r="B86" s="168">
        <v>175000000000</v>
      </c>
      <c r="C86" s="168"/>
      <c r="D86" s="168">
        <v>70000000000</v>
      </c>
      <c r="E86" s="168"/>
      <c r="L86" s="177"/>
      <c r="M86" s="177"/>
      <c r="N86" s="177"/>
      <c r="O86" s="177"/>
    </row>
    <row r="87" spans="1:15" s="163" customFormat="1" ht="27.95" customHeight="1" x14ac:dyDescent="0.3">
      <c r="A87" s="169" t="s">
        <v>411</v>
      </c>
      <c r="B87" s="168">
        <v>15042996667</v>
      </c>
      <c r="C87" s="168"/>
      <c r="D87" s="168">
        <v>2961310223</v>
      </c>
      <c r="E87" s="168"/>
      <c r="L87" s="177"/>
      <c r="M87" s="177"/>
      <c r="N87" s="177"/>
      <c r="O87" s="177"/>
    </row>
    <row r="88" spans="1:15" s="163" customFormat="1" ht="27.95" customHeight="1" x14ac:dyDescent="0.3">
      <c r="A88" s="169" t="s">
        <v>412</v>
      </c>
      <c r="B88" s="168">
        <v>182834500000</v>
      </c>
      <c r="C88" s="168"/>
      <c r="D88" s="168">
        <v>132281600000</v>
      </c>
      <c r="E88" s="168"/>
      <c r="L88" s="177"/>
      <c r="M88" s="177"/>
      <c r="N88" s="177"/>
      <c r="O88" s="177"/>
    </row>
    <row r="89" spans="1:15" s="163" customFormat="1" ht="27.95" customHeight="1" x14ac:dyDescent="0.3">
      <c r="A89" s="169" t="s">
        <v>413</v>
      </c>
      <c r="B89" s="168">
        <v>38614917032</v>
      </c>
      <c r="C89" s="168"/>
      <c r="D89" s="168">
        <v>83997042300</v>
      </c>
      <c r="E89" s="168"/>
      <c r="L89" s="177"/>
      <c r="M89" s="177"/>
      <c r="N89" s="177"/>
      <c r="O89" s="177"/>
    </row>
    <row r="90" spans="1:15" s="163" customFormat="1" ht="27.95" customHeight="1" x14ac:dyDescent="0.3">
      <c r="A90" s="169" t="s">
        <v>414</v>
      </c>
      <c r="B90" s="168">
        <v>2693058693</v>
      </c>
      <c r="C90" s="168"/>
      <c r="D90" s="168" t="s">
        <v>379</v>
      </c>
      <c r="E90" s="168"/>
      <c r="L90" s="177"/>
      <c r="M90" s="177"/>
      <c r="N90" s="177"/>
      <c r="O90" s="177"/>
    </row>
    <row r="91" spans="1:15" s="163" customFormat="1" ht="27.95" customHeight="1" x14ac:dyDescent="0.3">
      <c r="A91" s="169" t="s">
        <v>415</v>
      </c>
      <c r="B91" s="168">
        <v>-261548594641</v>
      </c>
      <c r="C91" s="168"/>
      <c r="D91" s="168">
        <v>-519146273315</v>
      </c>
      <c r="E91" s="168"/>
      <c r="L91" s="177"/>
      <c r="M91" s="177"/>
      <c r="N91" s="177"/>
      <c r="O91" s="177"/>
    </row>
    <row r="92" spans="1:15" s="163" customFormat="1" ht="27.95" customHeight="1" x14ac:dyDescent="0.3">
      <c r="A92" s="169" t="s">
        <v>416</v>
      </c>
      <c r="B92" s="168">
        <v>209772194036</v>
      </c>
      <c r="C92" s="168"/>
      <c r="D92" s="168">
        <v>519146273315</v>
      </c>
      <c r="E92" s="168"/>
      <c r="L92" s="177"/>
      <c r="M92" s="177"/>
      <c r="N92" s="177"/>
      <c r="O92" s="177"/>
    </row>
    <row r="93" spans="1:15" s="163" customFormat="1" ht="27.95" customHeight="1" x14ac:dyDescent="0.3">
      <c r="A93" s="169" t="s">
        <v>417</v>
      </c>
      <c r="B93" s="168">
        <v>25987293358</v>
      </c>
      <c r="C93" s="168"/>
      <c r="D93" s="168" t="s">
        <v>379</v>
      </c>
      <c r="E93" s="168"/>
      <c r="L93" s="177"/>
      <c r="M93" s="177"/>
      <c r="N93" s="177"/>
      <c r="O93" s="177"/>
    </row>
    <row r="94" spans="1:15" s="163" customFormat="1" ht="27.95" customHeight="1" x14ac:dyDescent="0.3">
      <c r="A94" s="169" t="s">
        <v>418</v>
      </c>
      <c r="B94" s="168">
        <v>25789107247</v>
      </c>
      <c r="C94" s="168"/>
      <c r="D94" s="168" t="s">
        <v>379</v>
      </c>
      <c r="E94" s="168"/>
      <c r="L94" s="177"/>
      <c r="M94" s="177"/>
      <c r="N94" s="177"/>
      <c r="O94" s="177"/>
    </row>
    <row r="95" spans="1:15" s="163" customFormat="1" ht="27.95" customHeight="1" x14ac:dyDescent="0.3">
      <c r="A95" s="164" t="s">
        <v>419</v>
      </c>
      <c r="B95" s="165"/>
      <c r="C95" s="165">
        <v>-80503412842</v>
      </c>
      <c r="D95" s="165"/>
      <c r="E95" s="165">
        <v>51366195787</v>
      </c>
      <c r="L95" s="177"/>
      <c r="M95" s="177"/>
      <c r="N95" s="177"/>
      <c r="O95" s="177"/>
    </row>
    <row r="96" spans="1:15" s="163" customFormat="1" ht="27.95" customHeight="1" x14ac:dyDescent="0.3">
      <c r="A96" s="164" t="s">
        <v>420</v>
      </c>
      <c r="B96" s="165"/>
      <c r="C96" s="165">
        <v>273060463855</v>
      </c>
      <c r="D96" s="165"/>
      <c r="E96" s="165">
        <v>221694268068</v>
      </c>
      <c r="L96" s="177"/>
      <c r="M96" s="177"/>
      <c r="N96" s="177"/>
      <c r="O96" s="177"/>
    </row>
    <row r="97" spans="1:15" s="163" customFormat="1" ht="27.95" customHeight="1" x14ac:dyDescent="0.3">
      <c r="A97" s="170" t="s">
        <v>421</v>
      </c>
      <c r="B97" s="171"/>
      <c r="C97" s="171">
        <v>192557051013</v>
      </c>
      <c r="D97" s="171"/>
      <c r="E97" s="171">
        <v>273060463855</v>
      </c>
      <c r="L97" s="177"/>
      <c r="M97" s="177"/>
      <c r="N97" s="177"/>
      <c r="O97" s="177"/>
    </row>
  </sheetData>
  <mergeCells count="5">
    <mergeCell ref="A1:E1"/>
    <mergeCell ref="A2:E2"/>
    <mergeCell ref="A3:E3"/>
    <mergeCell ref="B5:C5"/>
    <mergeCell ref="D5:E5"/>
  </mergeCells>
  <phoneticPr fontId="2" type="noConversion"/>
  <pageMargins left="0.7" right="0.7" top="0.75" bottom="0.75" header="0.3" footer="0.3"/>
  <pageSetup paperSize="9" scale="4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214"/>
  <sheetViews>
    <sheetView view="pageBreakPreview" zoomScale="55" zoomScaleNormal="100" zoomScaleSheetLayoutView="55" workbookViewId="0">
      <selection sqref="A1:E214"/>
    </sheetView>
  </sheetViews>
  <sheetFormatPr defaultRowHeight="16.5" x14ac:dyDescent="0.3"/>
  <cols>
    <col min="1" max="1" width="30.375" style="187" bestFit="1" customWidth="1"/>
    <col min="2" max="2" width="32" style="187" bestFit="1" customWidth="1"/>
    <col min="3" max="3" width="84" style="187" bestFit="1" customWidth="1"/>
    <col min="4" max="4" width="32" style="187" bestFit="1" customWidth="1"/>
    <col min="5" max="5" width="29.25" style="187" bestFit="1" customWidth="1"/>
  </cols>
  <sheetData>
    <row r="1" spans="1:5" ht="39" x14ac:dyDescent="0.3">
      <c r="A1" s="235" t="s">
        <v>333</v>
      </c>
      <c r="B1" s="235"/>
      <c r="C1" s="235"/>
      <c r="D1" s="235"/>
      <c r="E1" s="235"/>
    </row>
    <row r="2" spans="1:5" x14ac:dyDescent="0.3">
      <c r="A2"/>
      <c r="B2"/>
      <c r="C2"/>
      <c r="D2"/>
      <c r="E2"/>
    </row>
    <row r="3" spans="1:5" s="152" customFormat="1" ht="20.25" x14ac:dyDescent="0.3">
      <c r="A3" s="42" t="s">
        <v>334</v>
      </c>
      <c r="B3" s="42"/>
      <c r="C3" s="42"/>
      <c r="D3" s="42"/>
      <c r="E3" s="172" t="s">
        <v>335</v>
      </c>
    </row>
    <row r="4" spans="1:5" s="163" customFormat="1" ht="24.75" thickBot="1" x14ac:dyDescent="0.35">
      <c r="A4" s="173" t="s">
        <v>336</v>
      </c>
      <c r="B4" s="174" t="s">
        <v>296</v>
      </c>
      <c r="C4" s="175" t="s">
        <v>380</v>
      </c>
      <c r="D4" s="174" t="s">
        <v>297</v>
      </c>
      <c r="E4" s="176" t="s">
        <v>337</v>
      </c>
    </row>
    <row r="5" spans="1:5" s="163" customFormat="1" ht="24" x14ac:dyDescent="0.3">
      <c r="A5" s="184">
        <v>3534887340</v>
      </c>
      <c r="B5" s="185">
        <v>429403554053</v>
      </c>
      <c r="C5" s="185" t="s">
        <v>338</v>
      </c>
      <c r="D5" s="185">
        <v>425868666713</v>
      </c>
      <c r="E5" s="186">
        <v>0</v>
      </c>
    </row>
    <row r="6" spans="1:5" s="163" customFormat="1" ht="24" x14ac:dyDescent="0.3">
      <c r="A6" s="181">
        <v>0</v>
      </c>
      <c r="B6" s="182">
        <v>730352800000</v>
      </c>
      <c r="C6" s="182" t="s">
        <v>339</v>
      </c>
      <c r="D6" s="182">
        <v>730352800000</v>
      </c>
      <c r="E6" s="183">
        <v>0</v>
      </c>
    </row>
    <row r="7" spans="1:5" s="163" customFormat="1" ht="24" x14ac:dyDescent="0.3">
      <c r="A7" s="181">
        <v>26974607810</v>
      </c>
      <c r="B7" s="182">
        <v>25662020249515</v>
      </c>
      <c r="C7" s="182" t="s">
        <v>340</v>
      </c>
      <c r="D7" s="182">
        <v>25635045641705</v>
      </c>
      <c r="E7" s="183">
        <v>0</v>
      </c>
    </row>
    <row r="8" spans="1:5" s="163" customFormat="1" ht="24" x14ac:dyDescent="0.3">
      <c r="A8" s="181">
        <v>3296657653</v>
      </c>
      <c r="B8" s="182">
        <v>6209155824</v>
      </c>
      <c r="C8" s="182" t="s">
        <v>341</v>
      </c>
      <c r="D8" s="182">
        <v>2912498171</v>
      </c>
      <c r="E8" s="183">
        <v>0</v>
      </c>
    </row>
    <row r="9" spans="1:5" s="163" customFormat="1" ht="24" x14ac:dyDescent="0.3">
      <c r="A9" s="181">
        <v>158750898210</v>
      </c>
      <c r="B9" s="182">
        <v>10152049446180</v>
      </c>
      <c r="C9" s="182" t="s">
        <v>342</v>
      </c>
      <c r="D9" s="182">
        <v>9993298547970</v>
      </c>
      <c r="E9" s="183">
        <v>0</v>
      </c>
    </row>
    <row r="10" spans="1:5" s="163" customFormat="1" ht="24" x14ac:dyDescent="0.3">
      <c r="A10" s="181">
        <v>0</v>
      </c>
      <c r="B10" s="182">
        <v>141579779993</v>
      </c>
      <c r="C10" s="182" t="s">
        <v>109</v>
      </c>
      <c r="D10" s="182">
        <v>241584637437</v>
      </c>
      <c r="E10" s="183">
        <v>100004857444</v>
      </c>
    </row>
    <row r="11" spans="1:5" s="163" customFormat="1" ht="24" x14ac:dyDescent="0.3">
      <c r="A11" s="181">
        <v>0</v>
      </c>
      <c r="B11" s="182">
        <v>3217327461</v>
      </c>
      <c r="C11" s="182" t="s">
        <v>473</v>
      </c>
      <c r="D11" s="182">
        <v>6721208074</v>
      </c>
      <c r="E11" s="183">
        <v>3503880613</v>
      </c>
    </row>
    <row r="12" spans="1:5" s="163" customFormat="1" ht="24" x14ac:dyDescent="0.3">
      <c r="A12" s="181">
        <v>76086314824</v>
      </c>
      <c r="B12" s="182">
        <v>2137486688555</v>
      </c>
      <c r="C12" s="182" t="s">
        <v>344</v>
      </c>
      <c r="D12" s="182">
        <v>2061400373731</v>
      </c>
      <c r="E12" s="183">
        <v>0</v>
      </c>
    </row>
    <row r="13" spans="1:5" s="163" customFormat="1" ht="24" x14ac:dyDescent="0.3">
      <c r="A13" s="181">
        <v>0</v>
      </c>
      <c r="B13" s="182">
        <v>386055410</v>
      </c>
      <c r="C13" s="182" t="s">
        <v>345</v>
      </c>
      <c r="D13" s="182">
        <v>14170204373</v>
      </c>
      <c r="E13" s="183">
        <v>13784148963</v>
      </c>
    </row>
    <row r="14" spans="1:5" s="163" customFormat="1" ht="24" x14ac:dyDescent="0.3">
      <c r="A14" s="181">
        <v>1915569210</v>
      </c>
      <c r="B14" s="182">
        <v>4486223740</v>
      </c>
      <c r="C14" s="182" t="s">
        <v>346</v>
      </c>
      <c r="D14" s="182">
        <v>2570654530</v>
      </c>
      <c r="E14" s="183">
        <v>0</v>
      </c>
    </row>
    <row r="15" spans="1:5" s="163" customFormat="1" ht="24" x14ac:dyDescent="0.3">
      <c r="A15" s="181">
        <v>36074228163</v>
      </c>
      <c r="B15" s="182">
        <v>220381539289</v>
      </c>
      <c r="C15" s="182" t="s">
        <v>347</v>
      </c>
      <c r="D15" s="182">
        <v>184307311126</v>
      </c>
      <c r="E15" s="183">
        <v>0</v>
      </c>
    </row>
    <row r="16" spans="1:5" s="163" customFormat="1" ht="24" x14ac:dyDescent="0.3">
      <c r="A16" s="181">
        <v>0</v>
      </c>
      <c r="B16" s="182">
        <v>40542500</v>
      </c>
      <c r="C16" s="182" t="s">
        <v>345</v>
      </c>
      <c r="D16" s="182">
        <v>22831912723</v>
      </c>
      <c r="E16" s="183">
        <v>22791370223</v>
      </c>
    </row>
    <row r="17" spans="1:5" s="163" customFormat="1" ht="24" x14ac:dyDescent="0.3">
      <c r="A17" s="181">
        <v>445733</v>
      </c>
      <c r="B17" s="182">
        <v>634000042</v>
      </c>
      <c r="C17" s="182" t="s">
        <v>348</v>
      </c>
      <c r="D17" s="182">
        <v>633554309</v>
      </c>
      <c r="E17" s="183">
        <v>0</v>
      </c>
    </row>
    <row r="18" spans="1:5" s="163" customFormat="1" ht="24" x14ac:dyDescent="0.3">
      <c r="A18" s="181">
        <v>12527262561</v>
      </c>
      <c r="B18" s="182">
        <v>107403110946</v>
      </c>
      <c r="C18" s="182" t="s">
        <v>105</v>
      </c>
      <c r="D18" s="182">
        <v>94875848385</v>
      </c>
      <c r="E18" s="183">
        <v>0</v>
      </c>
    </row>
    <row r="19" spans="1:5" s="163" customFormat="1" ht="24" x14ac:dyDescent="0.3">
      <c r="A19" s="181">
        <v>313300187</v>
      </c>
      <c r="B19" s="182">
        <v>11081672695</v>
      </c>
      <c r="C19" s="182" t="s">
        <v>474</v>
      </c>
      <c r="D19" s="182">
        <v>10768372508</v>
      </c>
      <c r="E19" s="183">
        <v>0</v>
      </c>
    </row>
    <row r="20" spans="1:5" s="163" customFormat="1" ht="24" x14ac:dyDescent="0.3">
      <c r="A20" s="181">
        <v>0</v>
      </c>
      <c r="B20" s="182">
        <v>189520000</v>
      </c>
      <c r="C20" s="182" t="s">
        <v>475</v>
      </c>
      <c r="D20" s="182">
        <v>189520000</v>
      </c>
      <c r="E20" s="183">
        <v>0</v>
      </c>
    </row>
    <row r="21" spans="1:5" s="163" customFormat="1" ht="24" x14ac:dyDescent="0.3">
      <c r="A21" s="181">
        <v>446177534</v>
      </c>
      <c r="B21" s="182">
        <v>1342807210</v>
      </c>
      <c r="C21" s="182" t="s">
        <v>476</v>
      </c>
      <c r="D21" s="182">
        <v>896629676</v>
      </c>
      <c r="E21" s="183">
        <v>0</v>
      </c>
    </row>
    <row r="22" spans="1:5" s="163" customFormat="1" ht="24" x14ac:dyDescent="0.3">
      <c r="A22" s="181">
        <v>41697081</v>
      </c>
      <c r="B22" s="182">
        <v>41697081</v>
      </c>
      <c r="C22" s="182" t="s">
        <v>477</v>
      </c>
      <c r="D22" s="182">
        <v>0</v>
      </c>
      <c r="E22" s="183"/>
    </row>
    <row r="23" spans="1:5" s="163" customFormat="1" ht="24" x14ac:dyDescent="0.3">
      <c r="A23" s="181">
        <v>1468617124</v>
      </c>
      <c r="B23" s="182">
        <v>148077127455</v>
      </c>
      <c r="C23" s="182" t="s">
        <v>478</v>
      </c>
      <c r="D23" s="182">
        <v>146608510331</v>
      </c>
      <c r="E23" s="183">
        <v>0</v>
      </c>
    </row>
    <row r="24" spans="1:5" s="163" customFormat="1" ht="24" x14ac:dyDescent="0.3">
      <c r="A24" s="181">
        <v>52989011274</v>
      </c>
      <c r="B24" s="182">
        <v>126544066858</v>
      </c>
      <c r="C24" s="182" t="s">
        <v>349</v>
      </c>
      <c r="D24" s="182">
        <v>73555055584</v>
      </c>
      <c r="E24" s="183">
        <v>0</v>
      </c>
    </row>
    <row r="25" spans="1:5" s="163" customFormat="1" ht="24" x14ac:dyDescent="0.3">
      <c r="A25" s="181">
        <v>5394684008</v>
      </c>
      <c r="B25" s="182">
        <v>11783224777</v>
      </c>
      <c r="C25" s="182" t="s">
        <v>350</v>
      </c>
      <c r="D25" s="182">
        <v>6388540769</v>
      </c>
      <c r="E25" s="183">
        <v>0</v>
      </c>
    </row>
    <row r="26" spans="1:5" s="163" customFormat="1" ht="24" x14ac:dyDescent="0.3">
      <c r="A26" s="181">
        <v>400737620</v>
      </c>
      <c r="B26" s="182">
        <v>400737620</v>
      </c>
      <c r="C26" s="182" t="s">
        <v>343</v>
      </c>
      <c r="D26" s="182">
        <v>0</v>
      </c>
      <c r="E26" s="183">
        <v>0</v>
      </c>
    </row>
    <row r="27" spans="1:5" s="163" customFormat="1" ht="24" x14ac:dyDescent="0.3">
      <c r="A27" s="181">
        <v>55961110540</v>
      </c>
      <c r="B27" s="182">
        <v>72036845137</v>
      </c>
      <c r="C27" s="182" t="s">
        <v>351</v>
      </c>
      <c r="D27" s="182">
        <v>16075734597</v>
      </c>
      <c r="E27" s="183">
        <v>0</v>
      </c>
    </row>
    <row r="28" spans="1:5" s="163" customFormat="1" ht="24" x14ac:dyDescent="0.3">
      <c r="A28" s="181">
        <v>19327606148</v>
      </c>
      <c r="B28" s="182">
        <v>32008415284</v>
      </c>
      <c r="C28" s="182" t="s">
        <v>352</v>
      </c>
      <c r="D28" s="182">
        <v>12680809136</v>
      </c>
      <c r="E28" s="183">
        <v>0</v>
      </c>
    </row>
    <row r="29" spans="1:5" s="163" customFormat="1" ht="24" x14ac:dyDescent="0.3">
      <c r="A29" s="181">
        <v>3520085114300</v>
      </c>
      <c r="B29" s="182">
        <v>3520085114300</v>
      </c>
      <c r="C29" s="182" t="s">
        <v>106</v>
      </c>
      <c r="D29" s="182">
        <v>0</v>
      </c>
      <c r="E29" s="183">
        <v>0</v>
      </c>
    </row>
    <row r="30" spans="1:5" s="163" customFormat="1" ht="24" x14ac:dyDescent="0.3">
      <c r="A30" s="181">
        <v>452542702541</v>
      </c>
      <c r="B30" s="182">
        <v>508312098801</v>
      </c>
      <c r="C30" s="182" t="s">
        <v>107</v>
      </c>
      <c r="D30" s="182">
        <v>55769396260</v>
      </c>
      <c r="E30" s="183">
        <v>0</v>
      </c>
    </row>
    <row r="31" spans="1:5" s="163" customFormat="1" ht="24" x14ac:dyDescent="0.3">
      <c r="A31" s="181">
        <v>0</v>
      </c>
      <c r="B31" s="182">
        <v>51791834179</v>
      </c>
      <c r="C31" s="182" t="s">
        <v>108</v>
      </c>
      <c r="D31" s="182">
        <v>350433951746</v>
      </c>
      <c r="E31" s="183">
        <v>298642117567</v>
      </c>
    </row>
    <row r="32" spans="1:5" s="163" customFormat="1" ht="24" x14ac:dyDescent="0.3">
      <c r="A32" s="181">
        <v>0</v>
      </c>
      <c r="B32" s="182">
        <v>82107638</v>
      </c>
      <c r="C32" s="182" t="s">
        <v>109</v>
      </c>
      <c r="D32" s="182">
        <v>753196107</v>
      </c>
      <c r="E32" s="183">
        <v>671088469</v>
      </c>
    </row>
    <row r="33" spans="1:5" s="163" customFormat="1" ht="24" x14ac:dyDescent="0.3">
      <c r="A33" s="181">
        <v>147325705</v>
      </c>
      <c r="B33" s="182">
        <v>202018417</v>
      </c>
      <c r="C33" s="182" t="s">
        <v>110</v>
      </c>
      <c r="D33" s="182">
        <v>54692712</v>
      </c>
      <c r="E33" s="183">
        <v>0</v>
      </c>
    </row>
    <row r="34" spans="1:5" s="163" customFormat="1" ht="24" x14ac:dyDescent="0.3">
      <c r="A34" s="181">
        <v>92695433375</v>
      </c>
      <c r="B34" s="182">
        <v>98883693404</v>
      </c>
      <c r="C34" s="182" t="s">
        <v>111</v>
      </c>
      <c r="D34" s="182">
        <v>6188260029</v>
      </c>
      <c r="E34" s="183">
        <v>0</v>
      </c>
    </row>
    <row r="35" spans="1:5" s="163" customFormat="1" ht="24" x14ac:dyDescent="0.3">
      <c r="A35" s="181">
        <v>0</v>
      </c>
      <c r="B35" s="182">
        <v>4716316214</v>
      </c>
      <c r="C35" s="182" t="s">
        <v>108</v>
      </c>
      <c r="D35" s="182">
        <v>61241632352</v>
      </c>
      <c r="E35" s="183">
        <v>56525316138</v>
      </c>
    </row>
    <row r="36" spans="1:5" s="163" customFormat="1" ht="24" x14ac:dyDescent="0.3">
      <c r="A36" s="181">
        <v>11707905628584</v>
      </c>
      <c r="B36" s="182">
        <v>18006873332944</v>
      </c>
      <c r="C36" s="182" t="s">
        <v>112</v>
      </c>
      <c r="D36" s="182">
        <v>6298967704360</v>
      </c>
      <c r="E36" s="183">
        <v>0</v>
      </c>
    </row>
    <row r="37" spans="1:5" s="163" customFormat="1" ht="24" x14ac:dyDescent="0.3">
      <c r="A37" s="181">
        <v>0</v>
      </c>
      <c r="B37" s="182">
        <v>2147690175141</v>
      </c>
      <c r="C37" s="182" t="s">
        <v>108</v>
      </c>
      <c r="D37" s="182">
        <v>6652200719220</v>
      </c>
      <c r="E37" s="183">
        <v>4504510544079</v>
      </c>
    </row>
    <row r="38" spans="1:5" s="163" customFormat="1" ht="24" x14ac:dyDescent="0.3">
      <c r="A38" s="181">
        <v>0</v>
      </c>
      <c r="B38" s="182">
        <v>10809531644</v>
      </c>
      <c r="C38" s="182" t="s">
        <v>109</v>
      </c>
      <c r="D38" s="182">
        <v>79088119500</v>
      </c>
      <c r="E38" s="183">
        <v>68278587856</v>
      </c>
    </row>
    <row r="39" spans="1:5" s="163" customFormat="1" ht="24" x14ac:dyDescent="0.3">
      <c r="A39" s="181">
        <v>3177335033</v>
      </c>
      <c r="B39" s="182">
        <v>4175684534</v>
      </c>
      <c r="C39" s="182" t="s">
        <v>110</v>
      </c>
      <c r="D39" s="182">
        <v>998349501</v>
      </c>
      <c r="E39" s="183">
        <v>0</v>
      </c>
    </row>
    <row r="40" spans="1:5" s="163" customFormat="1" ht="24" x14ac:dyDescent="0.3">
      <c r="A40" s="181">
        <v>2058873263616</v>
      </c>
      <c r="B40" s="182">
        <v>2694081723296</v>
      </c>
      <c r="C40" s="182" t="s">
        <v>113</v>
      </c>
      <c r="D40" s="182">
        <v>635208459680</v>
      </c>
      <c r="E40" s="183">
        <v>0</v>
      </c>
    </row>
    <row r="41" spans="1:5" s="163" customFormat="1" ht="24" x14ac:dyDescent="0.3">
      <c r="A41" s="181">
        <v>0</v>
      </c>
      <c r="B41" s="182">
        <v>590533070881</v>
      </c>
      <c r="C41" s="182" t="s">
        <v>108</v>
      </c>
      <c r="D41" s="182">
        <v>1915130434306</v>
      </c>
      <c r="E41" s="183">
        <v>1324597363425</v>
      </c>
    </row>
    <row r="42" spans="1:5" s="163" customFormat="1" ht="24" x14ac:dyDescent="0.3">
      <c r="A42" s="181">
        <v>0</v>
      </c>
      <c r="B42" s="182">
        <v>1554545647</v>
      </c>
      <c r="C42" s="182" t="s">
        <v>109</v>
      </c>
      <c r="D42" s="182">
        <v>24399758088</v>
      </c>
      <c r="E42" s="183">
        <v>22845212441</v>
      </c>
    </row>
    <row r="43" spans="1:5" s="163" customFormat="1" ht="24" x14ac:dyDescent="0.3">
      <c r="A43" s="181">
        <v>2292595672</v>
      </c>
      <c r="B43" s="182">
        <v>3020801885</v>
      </c>
      <c r="C43" s="182" t="s">
        <v>110</v>
      </c>
      <c r="D43" s="182">
        <v>728206213</v>
      </c>
      <c r="E43" s="183">
        <v>0</v>
      </c>
    </row>
    <row r="44" spans="1:5" s="163" customFormat="1" ht="24" x14ac:dyDescent="0.3">
      <c r="A44" s="181">
        <v>2672417306931</v>
      </c>
      <c r="B44" s="182">
        <v>2728805586450</v>
      </c>
      <c r="C44" s="182" t="s">
        <v>353</v>
      </c>
      <c r="D44" s="182">
        <v>56388279519</v>
      </c>
      <c r="E44" s="183">
        <v>0</v>
      </c>
    </row>
    <row r="45" spans="1:5" s="163" customFormat="1" ht="24" x14ac:dyDescent="0.3">
      <c r="A45" s="181">
        <v>0</v>
      </c>
      <c r="B45" s="182">
        <v>55418085424</v>
      </c>
      <c r="C45" s="182" t="s">
        <v>108</v>
      </c>
      <c r="D45" s="182">
        <v>1879173940675</v>
      </c>
      <c r="E45" s="183">
        <v>1823755855251</v>
      </c>
    </row>
    <row r="46" spans="1:5" s="163" customFormat="1" ht="24" x14ac:dyDescent="0.3">
      <c r="A46" s="181">
        <v>4999292547</v>
      </c>
      <c r="B46" s="182">
        <v>5341068322</v>
      </c>
      <c r="C46" s="182" t="s">
        <v>354</v>
      </c>
      <c r="D46" s="182">
        <v>341775775</v>
      </c>
      <c r="E46" s="183">
        <v>0</v>
      </c>
    </row>
    <row r="47" spans="1:5" s="163" customFormat="1" ht="24" x14ac:dyDescent="0.3">
      <c r="A47" s="181">
        <v>0</v>
      </c>
      <c r="B47" s="182">
        <v>344021339</v>
      </c>
      <c r="C47" s="182" t="s">
        <v>479</v>
      </c>
      <c r="D47" s="182">
        <v>4882728670</v>
      </c>
      <c r="E47" s="183">
        <v>4538707331</v>
      </c>
    </row>
    <row r="48" spans="1:5" s="163" customFormat="1" ht="24" x14ac:dyDescent="0.3">
      <c r="A48" s="181">
        <v>0</v>
      </c>
      <c r="B48" s="182">
        <v>0</v>
      </c>
      <c r="C48" s="182" t="s">
        <v>109</v>
      </c>
      <c r="D48" s="182">
        <v>54000000</v>
      </c>
      <c r="E48" s="183">
        <v>54000000</v>
      </c>
    </row>
    <row r="49" spans="1:5" s="163" customFormat="1" ht="24" x14ac:dyDescent="0.3">
      <c r="A49" s="181">
        <v>1800000</v>
      </c>
      <c r="B49" s="182">
        <v>1800000</v>
      </c>
      <c r="C49" s="182" t="s">
        <v>110</v>
      </c>
      <c r="D49" s="182">
        <v>0</v>
      </c>
      <c r="E49" s="183">
        <v>0</v>
      </c>
    </row>
    <row r="50" spans="1:5" s="163" customFormat="1" ht="24" x14ac:dyDescent="0.3">
      <c r="A50" s="181">
        <v>124253743865</v>
      </c>
      <c r="B50" s="182">
        <v>162860725202</v>
      </c>
      <c r="C50" s="182" t="s">
        <v>114</v>
      </c>
      <c r="D50" s="182">
        <v>38606981337</v>
      </c>
      <c r="E50" s="183">
        <v>0</v>
      </c>
    </row>
    <row r="51" spans="1:5" s="163" customFormat="1" ht="24" x14ac:dyDescent="0.3">
      <c r="A51" s="181">
        <v>0</v>
      </c>
      <c r="B51" s="182">
        <v>25616901810</v>
      </c>
      <c r="C51" s="182" t="s">
        <v>108</v>
      </c>
      <c r="D51" s="182">
        <v>124535851679</v>
      </c>
      <c r="E51" s="183">
        <v>98918949869</v>
      </c>
    </row>
    <row r="52" spans="1:5" s="163" customFormat="1" ht="24" x14ac:dyDescent="0.3">
      <c r="A52" s="181">
        <v>0</v>
      </c>
      <c r="B52" s="182">
        <v>16095362</v>
      </c>
      <c r="C52" s="182" t="s">
        <v>109</v>
      </c>
      <c r="D52" s="182">
        <v>152972052</v>
      </c>
      <c r="E52" s="183">
        <v>136876690</v>
      </c>
    </row>
    <row r="53" spans="1:5" s="163" customFormat="1" ht="24" x14ac:dyDescent="0.3">
      <c r="A53" s="181">
        <v>99461047</v>
      </c>
      <c r="B53" s="182">
        <v>100265815</v>
      </c>
      <c r="C53" s="182" t="s">
        <v>110</v>
      </c>
      <c r="D53" s="182">
        <v>804768</v>
      </c>
      <c r="E53" s="183">
        <v>0</v>
      </c>
    </row>
    <row r="54" spans="1:5" s="163" customFormat="1" ht="24" x14ac:dyDescent="0.3">
      <c r="A54" s="181">
        <v>375266376177</v>
      </c>
      <c r="B54" s="182">
        <v>1585681564745</v>
      </c>
      <c r="C54" s="182" t="s">
        <v>116</v>
      </c>
      <c r="D54" s="182">
        <v>1210415188568</v>
      </c>
      <c r="E54" s="183">
        <v>0</v>
      </c>
    </row>
    <row r="55" spans="1:5" s="163" customFormat="1" ht="24" x14ac:dyDescent="0.3">
      <c r="A55" s="181">
        <v>0</v>
      </c>
      <c r="B55" s="182">
        <v>43977437186</v>
      </c>
      <c r="C55" s="182" t="s">
        <v>109</v>
      </c>
      <c r="D55" s="182">
        <v>95933347413</v>
      </c>
      <c r="E55" s="183">
        <v>51955910227</v>
      </c>
    </row>
    <row r="56" spans="1:5" s="163" customFormat="1" ht="24" x14ac:dyDescent="0.3">
      <c r="A56" s="181">
        <v>8399656014</v>
      </c>
      <c r="B56" s="182">
        <v>8423859919</v>
      </c>
      <c r="C56" s="182" t="s">
        <v>115</v>
      </c>
      <c r="D56" s="182">
        <v>24203905</v>
      </c>
      <c r="E56" s="183">
        <v>0</v>
      </c>
    </row>
    <row r="57" spans="1:5" s="163" customFormat="1" ht="24" x14ac:dyDescent="0.3">
      <c r="A57" s="181">
        <v>0</v>
      </c>
      <c r="B57" s="182">
        <v>22352615</v>
      </c>
      <c r="C57" s="182" t="s">
        <v>108</v>
      </c>
      <c r="D57" s="182">
        <v>5515936423</v>
      </c>
      <c r="E57" s="183">
        <v>5493583808</v>
      </c>
    </row>
    <row r="58" spans="1:5" s="163" customFormat="1" ht="24" x14ac:dyDescent="0.3">
      <c r="A58" s="181">
        <v>22595880</v>
      </c>
      <c r="B58" s="182">
        <v>22595880</v>
      </c>
      <c r="C58" s="182" t="s">
        <v>117</v>
      </c>
      <c r="D58" s="182">
        <v>0</v>
      </c>
      <c r="E58" s="183">
        <v>0</v>
      </c>
    </row>
    <row r="59" spans="1:5" s="163" customFormat="1" ht="24" x14ac:dyDescent="0.3">
      <c r="A59" s="181">
        <v>0</v>
      </c>
      <c r="B59" s="182">
        <v>4519177</v>
      </c>
      <c r="C59" s="182" t="s">
        <v>129</v>
      </c>
      <c r="D59" s="182">
        <v>11026188</v>
      </c>
      <c r="E59" s="183">
        <v>6507011</v>
      </c>
    </row>
    <row r="60" spans="1:5" s="163" customFormat="1" ht="24" x14ac:dyDescent="0.3">
      <c r="A60" s="181">
        <v>0</v>
      </c>
      <c r="B60" s="182">
        <v>0</v>
      </c>
      <c r="C60" s="182" t="s">
        <v>123</v>
      </c>
      <c r="D60" s="182">
        <v>16088869</v>
      </c>
      <c r="E60" s="183">
        <v>16088869</v>
      </c>
    </row>
    <row r="61" spans="1:5" s="163" customFormat="1" ht="24" x14ac:dyDescent="0.3">
      <c r="A61" s="181">
        <v>3295239919</v>
      </c>
      <c r="B61" s="182">
        <v>3295239919</v>
      </c>
      <c r="C61" s="182" t="s">
        <v>118</v>
      </c>
      <c r="D61" s="182">
        <v>0</v>
      </c>
      <c r="E61" s="183">
        <v>0</v>
      </c>
    </row>
    <row r="62" spans="1:5" s="163" customFormat="1" ht="24" x14ac:dyDescent="0.3">
      <c r="A62" s="181">
        <v>0</v>
      </c>
      <c r="B62" s="182">
        <v>88085593</v>
      </c>
      <c r="C62" s="182" t="s">
        <v>130</v>
      </c>
      <c r="D62" s="182">
        <v>3142991655</v>
      </c>
      <c r="E62" s="183">
        <v>3054906062</v>
      </c>
    </row>
    <row r="63" spans="1:5" s="163" customFormat="1" ht="24" x14ac:dyDescent="0.3">
      <c r="A63" s="181">
        <v>0</v>
      </c>
      <c r="B63" s="182">
        <v>50652</v>
      </c>
      <c r="C63" s="182" t="s">
        <v>124</v>
      </c>
      <c r="D63" s="182">
        <v>240384509</v>
      </c>
      <c r="E63" s="183">
        <v>240333857</v>
      </c>
    </row>
    <row r="64" spans="1:5" s="163" customFormat="1" ht="24" x14ac:dyDescent="0.3">
      <c r="A64" s="181">
        <v>8904696364</v>
      </c>
      <c r="B64" s="182">
        <v>8904696364</v>
      </c>
      <c r="C64" s="182" t="s">
        <v>119</v>
      </c>
      <c r="D64" s="182">
        <v>0</v>
      </c>
      <c r="E64" s="183">
        <v>0</v>
      </c>
    </row>
    <row r="65" spans="1:5" s="163" customFormat="1" ht="24" x14ac:dyDescent="0.3">
      <c r="A65" s="181">
        <v>0</v>
      </c>
      <c r="B65" s="182">
        <v>439106656</v>
      </c>
      <c r="C65" s="182" t="s">
        <v>131</v>
      </c>
      <c r="D65" s="182">
        <v>6198793985</v>
      </c>
      <c r="E65" s="183">
        <v>5759687329</v>
      </c>
    </row>
    <row r="66" spans="1:5" s="163" customFormat="1" ht="24" x14ac:dyDescent="0.3">
      <c r="A66" s="181">
        <v>0</v>
      </c>
      <c r="B66" s="182">
        <v>64690</v>
      </c>
      <c r="C66" s="182" t="s">
        <v>125</v>
      </c>
      <c r="D66" s="182">
        <v>3145073725</v>
      </c>
      <c r="E66" s="183">
        <v>3145009035</v>
      </c>
    </row>
    <row r="67" spans="1:5" s="163" customFormat="1" ht="24" x14ac:dyDescent="0.3">
      <c r="A67" s="181">
        <v>57143778173</v>
      </c>
      <c r="B67" s="182">
        <v>57143778173</v>
      </c>
      <c r="C67" s="182" t="s">
        <v>120</v>
      </c>
      <c r="D67" s="182">
        <v>0</v>
      </c>
      <c r="E67" s="183">
        <v>0</v>
      </c>
    </row>
    <row r="68" spans="1:5" s="163" customFormat="1" ht="24" x14ac:dyDescent="0.3">
      <c r="A68" s="181">
        <v>0</v>
      </c>
      <c r="B68" s="182">
        <v>1723571730</v>
      </c>
      <c r="C68" s="182" t="s">
        <v>132</v>
      </c>
      <c r="D68" s="182">
        <v>46937187065</v>
      </c>
      <c r="E68" s="183">
        <v>45213615335</v>
      </c>
    </row>
    <row r="69" spans="1:5" s="163" customFormat="1" ht="24" x14ac:dyDescent="0.3">
      <c r="A69" s="181">
        <v>0</v>
      </c>
      <c r="B69" s="182">
        <v>0</v>
      </c>
      <c r="C69" s="182" t="s">
        <v>126</v>
      </c>
      <c r="D69" s="182">
        <v>11930162838</v>
      </c>
      <c r="E69" s="183">
        <v>11930162838</v>
      </c>
    </row>
    <row r="70" spans="1:5" s="163" customFormat="1" ht="24" x14ac:dyDescent="0.3">
      <c r="A70" s="181">
        <v>15633970</v>
      </c>
      <c r="B70" s="182">
        <v>15633970</v>
      </c>
      <c r="C70" s="182" t="s">
        <v>121</v>
      </c>
      <c r="D70" s="182">
        <v>0</v>
      </c>
      <c r="E70" s="183">
        <v>0</v>
      </c>
    </row>
    <row r="71" spans="1:5" s="163" customFormat="1" ht="24" x14ac:dyDescent="0.3">
      <c r="A71" s="181">
        <v>0</v>
      </c>
      <c r="B71" s="182">
        <v>0</v>
      </c>
      <c r="C71" s="182" t="s">
        <v>133</v>
      </c>
      <c r="D71" s="182">
        <v>1000</v>
      </c>
      <c r="E71" s="183">
        <v>1000</v>
      </c>
    </row>
    <row r="72" spans="1:5" s="163" customFormat="1" ht="24" x14ac:dyDescent="0.3">
      <c r="A72" s="181">
        <v>0</v>
      </c>
      <c r="B72" s="182">
        <v>0</v>
      </c>
      <c r="C72" s="182" t="s">
        <v>127</v>
      </c>
      <c r="D72" s="182">
        <v>15632970</v>
      </c>
      <c r="E72" s="183">
        <v>15632970</v>
      </c>
    </row>
    <row r="73" spans="1:5" s="163" customFormat="1" ht="24" x14ac:dyDescent="0.3">
      <c r="A73" s="181">
        <v>1403222372</v>
      </c>
      <c r="B73" s="182">
        <v>1403222372</v>
      </c>
      <c r="C73" s="182" t="s">
        <v>122</v>
      </c>
      <c r="D73" s="182">
        <v>0</v>
      </c>
      <c r="E73" s="183">
        <v>0</v>
      </c>
    </row>
    <row r="74" spans="1:5" s="163" customFormat="1" ht="24" x14ac:dyDescent="0.3">
      <c r="A74" s="181">
        <v>0</v>
      </c>
      <c r="B74" s="182">
        <v>0</v>
      </c>
      <c r="C74" s="182" t="s">
        <v>134</v>
      </c>
      <c r="D74" s="182">
        <v>63282713</v>
      </c>
      <c r="E74" s="183">
        <v>63282713</v>
      </c>
    </row>
    <row r="75" spans="1:5" s="163" customFormat="1" ht="24" x14ac:dyDescent="0.3">
      <c r="A75" s="181">
        <v>0</v>
      </c>
      <c r="B75" s="182">
        <v>93748015</v>
      </c>
      <c r="C75" s="182" t="s">
        <v>134</v>
      </c>
      <c r="D75" s="182">
        <v>372884151</v>
      </c>
      <c r="E75" s="183">
        <v>279136136</v>
      </c>
    </row>
    <row r="76" spans="1:5" s="163" customFormat="1" ht="24" x14ac:dyDescent="0.3">
      <c r="A76" s="181">
        <v>0</v>
      </c>
      <c r="B76" s="182">
        <v>157726</v>
      </c>
      <c r="C76" s="182" t="s">
        <v>128</v>
      </c>
      <c r="D76" s="182">
        <v>1060961249</v>
      </c>
      <c r="E76" s="183">
        <v>1060803523</v>
      </c>
    </row>
    <row r="77" spans="1:5" s="163" customFormat="1" ht="24" x14ac:dyDescent="0.3">
      <c r="A77" s="181">
        <v>163540000</v>
      </c>
      <c r="B77" s="182">
        <v>1763034121</v>
      </c>
      <c r="C77" s="182" t="s">
        <v>355</v>
      </c>
      <c r="D77" s="182">
        <v>1599494121</v>
      </c>
      <c r="E77" s="183">
        <v>0</v>
      </c>
    </row>
    <row r="78" spans="1:5" s="163" customFormat="1" ht="24" x14ac:dyDescent="0.3">
      <c r="A78" s="181">
        <v>0</v>
      </c>
      <c r="B78" s="182">
        <v>496089014</v>
      </c>
      <c r="C78" s="182" t="s">
        <v>356</v>
      </c>
      <c r="D78" s="182">
        <v>659629014</v>
      </c>
      <c r="E78" s="183">
        <v>163540000</v>
      </c>
    </row>
    <row r="79" spans="1:5" s="163" customFormat="1" ht="24" x14ac:dyDescent="0.3">
      <c r="A79" s="181">
        <v>131314432</v>
      </c>
      <c r="B79" s="182">
        <v>159468816</v>
      </c>
      <c r="C79" s="182" t="s">
        <v>135</v>
      </c>
      <c r="D79" s="182">
        <v>28154384</v>
      </c>
      <c r="E79" s="183">
        <v>0</v>
      </c>
    </row>
    <row r="80" spans="1:5" s="163" customFormat="1" ht="24" x14ac:dyDescent="0.3">
      <c r="A80" s="181">
        <v>3047577</v>
      </c>
      <c r="B80" s="182">
        <v>5186393</v>
      </c>
      <c r="C80" s="182" t="s">
        <v>136</v>
      </c>
      <c r="D80" s="182">
        <v>2138816</v>
      </c>
      <c r="E80" s="183">
        <v>0</v>
      </c>
    </row>
    <row r="81" spans="1:5" s="163" customFormat="1" ht="24" x14ac:dyDescent="0.3">
      <c r="A81" s="181">
        <v>755753</v>
      </c>
      <c r="B81" s="182">
        <v>1267753</v>
      </c>
      <c r="C81" s="182" t="s">
        <v>137</v>
      </c>
      <c r="D81" s="182">
        <v>512000</v>
      </c>
      <c r="E81" s="183">
        <v>0</v>
      </c>
    </row>
    <row r="82" spans="1:5" s="163" customFormat="1" ht="24" x14ac:dyDescent="0.3">
      <c r="A82" s="181">
        <v>29911274</v>
      </c>
      <c r="B82" s="182">
        <v>33619324</v>
      </c>
      <c r="C82" s="182" t="s">
        <v>138</v>
      </c>
      <c r="D82" s="182">
        <v>3708050</v>
      </c>
      <c r="E82" s="183">
        <v>0</v>
      </c>
    </row>
    <row r="83" spans="1:5" s="163" customFormat="1" ht="24" x14ac:dyDescent="0.3">
      <c r="A83" s="181">
        <v>99598023461</v>
      </c>
      <c r="B83" s="182">
        <v>99598023461</v>
      </c>
      <c r="C83" s="182" t="s">
        <v>480</v>
      </c>
      <c r="D83" s="182">
        <v>0</v>
      </c>
      <c r="E83" s="183">
        <v>0</v>
      </c>
    </row>
    <row r="84" spans="1:5" s="163" customFormat="1" ht="24" x14ac:dyDescent="0.3">
      <c r="A84" s="181">
        <v>9105751211</v>
      </c>
      <c r="B84" s="182">
        <v>15731273587</v>
      </c>
      <c r="C84" s="182" t="s">
        <v>481</v>
      </c>
      <c r="D84" s="182">
        <v>6625522376</v>
      </c>
      <c r="E84" s="183">
        <v>0</v>
      </c>
    </row>
    <row r="85" spans="1:5" s="163" customFormat="1" ht="24" x14ac:dyDescent="0.3">
      <c r="A85" s="181">
        <v>87570845</v>
      </c>
      <c r="B85" s="182">
        <v>87570845</v>
      </c>
      <c r="C85" s="182" t="s">
        <v>139</v>
      </c>
      <c r="D85" s="182">
        <v>0</v>
      </c>
      <c r="E85" s="183">
        <v>0</v>
      </c>
    </row>
    <row r="86" spans="1:5" s="163" customFormat="1" ht="24" x14ac:dyDescent="0.3">
      <c r="A86" s="181">
        <v>0</v>
      </c>
      <c r="B86" s="182">
        <v>4484454</v>
      </c>
      <c r="C86" s="182" t="s">
        <v>141</v>
      </c>
      <c r="D86" s="182">
        <v>65085964</v>
      </c>
      <c r="E86" s="183">
        <v>60601510</v>
      </c>
    </row>
    <row r="87" spans="1:5" s="163" customFormat="1" ht="24" x14ac:dyDescent="0.3">
      <c r="A87" s="181">
        <v>0</v>
      </c>
      <c r="B87" s="182">
        <v>0</v>
      </c>
      <c r="C87" s="182" t="s">
        <v>140</v>
      </c>
      <c r="D87" s="182">
        <v>26969335</v>
      </c>
      <c r="E87" s="183">
        <v>26969335</v>
      </c>
    </row>
    <row r="88" spans="1:5" s="163" customFormat="1" ht="24" x14ac:dyDescent="0.3">
      <c r="A88" s="181">
        <v>1241309884</v>
      </c>
      <c r="B88" s="182">
        <v>1241309884</v>
      </c>
      <c r="C88" s="182" t="s">
        <v>482</v>
      </c>
      <c r="D88" s="182">
        <v>0</v>
      </c>
      <c r="E88" s="183">
        <v>0</v>
      </c>
    </row>
    <row r="89" spans="1:5" s="163" customFormat="1" ht="24" x14ac:dyDescent="0.3">
      <c r="A89" s="181">
        <v>0</v>
      </c>
      <c r="B89" s="182">
        <v>0</v>
      </c>
      <c r="C89" s="182" t="s">
        <v>345</v>
      </c>
      <c r="D89" s="182">
        <v>1179746238</v>
      </c>
      <c r="E89" s="183">
        <v>1179746238</v>
      </c>
    </row>
    <row r="90" spans="1:5" s="163" customFormat="1" ht="24" x14ac:dyDescent="0.3">
      <c r="A90" s="181">
        <v>2276665500</v>
      </c>
      <c r="B90" s="182">
        <v>2227865500</v>
      </c>
      <c r="C90" s="182" t="s">
        <v>483</v>
      </c>
      <c r="D90" s="182">
        <v>-48800000</v>
      </c>
      <c r="E90" s="183">
        <v>0</v>
      </c>
    </row>
    <row r="91" spans="1:5" s="163" customFormat="1" ht="24" x14ac:dyDescent="0.3">
      <c r="A91" s="181">
        <v>10185286597</v>
      </c>
      <c r="B91" s="182">
        <v>11068517001</v>
      </c>
      <c r="C91" s="182" t="s">
        <v>484</v>
      </c>
      <c r="D91" s="182">
        <v>883230404</v>
      </c>
      <c r="E91" s="183">
        <v>0</v>
      </c>
    </row>
    <row r="92" spans="1:5" s="163" customFormat="1" ht="24" x14ac:dyDescent="0.3">
      <c r="A92" s="181">
        <v>0</v>
      </c>
      <c r="B92" s="182">
        <v>1340000000000</v>
      </c>
      <c r="C92" s="182" t="s">
        <v>357</v>
      </c>
      <c r="D92" s="182">
        <v>1340000000000</v>
      </c>
      <c r="E92" s="183">
        <v>0</v>
      </c>
    </row>
    <row r="93" spans="1:5" s="163" customFormat="1" ht="24" x14ac:dyDescent="0.3">
      <c r="A93" s="181">
        <v>0</v>
      </c>
      <c r="B93" s="182">
        <v>76722000000</v>
      </c>
      <c r="C93" s="182" t="s">
        <v>485</v>
      </c>
      <c r="D93" s="182">
        <v>76722000000</v>
      </c>
      <c r="E93" s="183">
        <v>0</v>
      </c>
    </row>
    <row r="94" spans="1:5" s="163" customFormat="1" ht="24" x14ac:dyDescent="0.3">
      <c r="A94" s="181">
        <v>0</v>
      </c>
      <c r="B94" s="182">
        <v>2305220982862</v>
      </c>
      <c r="C94" s="182" t="s">
        <v>486</v>
      </c>
      <c r="D94" s="182">
        <v>2685535620559</v>
      </c>
      <c r="E94" s="183">
        <v>380314637697</v>
      </c>
    </row>
    <row r="95" spans="1:5" s="163" customFormat="1" ht="24" x14ac:dyDescent="0.3">
      <c r="A95" s="181">
        <v>0</v>
      </c>
      <c r="B95" s="182">
        <v>3081897265875</v>
      </c>
      <c r="C95" s="182" t="s">
        <v>487</v>
      </c>
      <c r="D95" s="182">
        <v>3090021950445</v>
      </c>
      <c r="E95" s="183">
        <v>8124684570</v>
      </c>
    </row>
    <row r="96" spans="1:5" s="163" customFormat="1" ht="24" x14ac:dyDescent="0.3">
      <c r="A96" s="181">
        <v>0</v>
      </c>
      <c r="B96" s="182">
        <v>412545063366</v>
      </c>
      <c r="C96" s="182" t="s">
        <v>488</v>
      </c>
      <c r="D96" s="182">
        <v>476304879816</v>
      </c>
      <c r="E96" s="183">
        <v>63759816450</v>
      </c>
    </row>
    <row r="97" spans="1:5" s="163" customFormat="1" ht="24" x14ac:dyDescent="0.3">
      <c r="A97" s="181">
        <v>0</v>
      </c>
      <c r="B97" s="182">
        <v>1149323343650</v>
      </c>
      <c r="C97" s="182" t="s">
        <v>489</v>
      </c>
      <c r="D97" s="182">
        <v>1297757805480</v>
      </c>
      <c r="E97" s="183">
        <v>148434461830</v>
      </c>
    </row>
    <row r="98" spans="1:5" s="163" customFormat="1" ht="24" x14ac:dyDescent="0.3">
      <c r="A98" s="181">
        <v>0</v>
      </c>
      <c r="B98" s="182">
        <v>34638059820</v>
      </c>
      <c r="C98" s="182" t="s">
        <v>142</v>
      </c>
      <c r="D98" s="182">
        <v>40662140312</v>
      </c>
      <c r="E98" s="183">
        <v>6024080492</v>
      </c>
    </row>
    <row r="99" spans="1:5" s="163" customFormat="1" ht="24" x14ac:dyDescent="0.3">
      <c r="A99" s="181">
        <v>0</v>
      </c>
      <c r="B99" s="182">
        <v>385023730000</v>
      </c>
      <c r="C99" s="182" t="s">
        <v>358</v>
      </c>
      <c r="D99" s="182">
        <v>577423730000</v>
      </c>
      <c r="E99" s="183">
        <v>192400000000</v>
      </c>
    </row>
    <row r="100" spans="1:5" s="163" customFormat="1" ht="24" x14ac:dyDescent="0.3">
      <c r="A100" s="181">
        <v>0</v>
      </c>
      <c r="B100" s="182">
        <v>64865109502</v>
      </c>
      <c r="C100" s="182" t="s">
        <v>490</v>
      </c>
      <c r="D100" s="182">
        <v>72634130885</v>
      </c>
      <c r="E100" s="183">
        <v>7769021383</v>
      </c>
    </row>
    <row r="101" spans="1:5" s="163" customFormat="1" ht="24" x14ac:dyDescent="0.3">
      <c r="A101" s="181">
        <v>0</v>
      </c>
      <c r="B101" s="182">
        <v>12821851456</v>
      </c>
      <c r="C101" s="182" t="s">
        <v>491</v>
      </c>
      <c r="D101" s="182">
        <v>15679779358</v>
      </c>
      <c r="E101" s="183">
        <v>2857927902</v>
      </c>
    </row>
    <row r="102" spans="1:5" s="163" customFormat="1" ht="24" x14ac:dyDescent="0.3">
      <c r="A102" s="181">
        <v>0</v>
      </c>
      <c r="B102" s="182">
        <v>0</v>
      </c>
      <c r="C102" s="182" t="s">
        <v>492</v>
      </c>
      <c r="D102" s="182">
        <v>97716489121</v>
      </c>
      <c r="E102" s="183">
        <v>97716489121</v>
      </c>
    </row>
    <row r="103" spans="1:5" s="163" customFormat="1" ht="24" x14ac:dyDescent="0.3">
      <c r="A103" s="181">
        <v>0</v>
      </c>
      <c r="B103" s="182">
        <v>0</v>
      </c>
      <c r="C103" s="182" t="s">
        <v>493</v>
      </c>
      <c r="D103" s="182">
        <v>65020570</v>
      </c>
      <c r="E103" s="183">
        <v>65020570</v>
      </c>
    </row>
    <row r="104" spans="1:5" s="163" customFormat="1" ht="24" x14ac:dyDescent="0.3">
      <c r="A104" s="181">
        <v>0</v>
      </c>
      <c r="B104" s="182">
        <v>180000000000</v>
      </c>
      <c r="C104" s="182" t="s">
        <v>143</v>
      </c>
      <c r="D104" s="182">
        <v>910000000000</v>
      </c>
      <c r="E104" s="183">
        <v>730000000000</v>
      </c>
    </row>
    <row r="105" spans="1:5" s="163" customFormat="1" ht="24" x14ac:dyDescent="0.3">
      <c r="A105" s="181">
        <v>131894671</v>
      </c>
      <c r="B105" s="182">
        <v>162173026</v>
      </c>
      <c r="C105" s="182" t="s">
        <v>144</v>
      </c>
      <c r="D105" s="182">
        <v>30278355</v>
      </c>
      <c r="E105" s="183">
        <v>0</v>
      </c>
    </row>
    <row r="106" spans="1:5" s="163" customFormat="1" ht="24" x14ac:dyDescent="0.3">
      <c r="A106" s="181">
        <v>0</v>
      </c>
      <c r="B106" s="182">
        <v>549612595000</v>
      </c>
      <c r="C106" s="182" t="s">
        <v>494</v>
      </c>
      <c r="D106" s="182">
        <v>2282421915000</v>
      </c>
      <c r="E106" s="183">
        <v>1732809320000</v>
      </c>
    </row>
    <row r="107" spans="1:5" s="163" customFormat="1" ht="24" x14ac:dyDescent="0.3">
      <c r="A107" s="181">
        <v>0</v>
      </c>
      <c r="B107" s="182">
        <v>192400000000</v>
      </c>
      <c r="C107" s="182" t="s">
        <v>495</v>
      </c>
      <c r="D107" s="182">
        <v>209800000000</v>
      </c>
      <c r="E107" s="183">
        <v>17400000000</v>
      </c>
    </row>
    <row r="108" spans="1:5" s="163" customFormat="1" ht="24" x14ac:dyDescent="0.3">
      <c r="A108" s="181">
        <v>0</v>
      </c>
      <c r="B108" s="182">
        <v>3116280456</v>
      </c>
      <c r="C108" s="182" t="s">
        <v>359</v>
      </c>
      <c r="D108" s="182">
        <v>6169506975</v>
      </c>
      <c r="E108" s="183">
        <v>3053226519</v>
      </c>
    </row>
    <row r="109" spans="1:5" s="163" customFormat="1" ht="24" x14ac:dyDescent="0.3">
      <c r="A109" s="181">
        <v>155947751</v>
      </c>
      <c r="B109" s="182">
        <v>371431790</v>
      </c>
      <c r="C109" s="182" t="s">
        <v>360</v>
      </c>
      <c r="D109" s="182">
        <v>215484039</v>
      </c>
      <c r="E109" s="183">
        <v>0</v>
      </c>
    </row>
    <row r="110" spans="1:5" s="163" customFormat="1" ht="24" x14ac:dyDescent="0.3">
      <c r="A110" s="181">
        <v>0</v>
      </c>
      <c r="B110" s="182">
        <v>80789222404</v>
      </c>
      <c r="C110" s="182" t="s">
        <v>145</v>
      </c>
      <c r="D110" s="182">
        <v>162359519665</v>
      </c>
      <c r="E110" s="183">
        <v>81570297261</v>
      </c>
    </row>
    <row r="111" spans="1:5" s="163" customFormat="1" ht="24" x14ac:dyDescent="0.3">
      <c r="A111" s="181">
        <v>0</v>
      </c>
      <c r="B111" s="182">
        <v>159959420328</v>
      </c>
      <c r="C111" s="182" t="s">
        <v>361</v>
      </c>
      <c r="D111" s="182">
        <v>1212782704065</v>
      </c>
      <c r="E111" s="183">
        <v>1052823283737</v>
      </c>
    </row>
    <row r="112" spans="1:5" s="163" customFormat="1" ht="24" x14ac:dyDescent="0.3">
      <c r="A112" s="181">
        <v>294417770</v>
      </c>
      <c r="B112" s="182">
        <v>321010070</v>
      </c>
      <c r="C112" s="182" t="s">
        <v>146</v>
      </c>
      <c r="D112" s="182">
        <v>26592300</v>
      </c>
      <c r="E112" s="183">
        <v>0</v>
      </c>
    </row>
    <row r="113" spans="1:5" s="163" customFormat="1" ht="24" x14ac:dyDescent="0.3">
      <c r="A113" s="181">
        <v>0</v>
      </c>
      <c r="B113" s="182">
        <v>9355212748</v>
      </c>
      <c r="C113" s="182" t="s">
        <v>147</v>
      </c>
      <c r="D113" s="182">
        <v>47671382894</v>
      </c>
      <c r="E113" s="183">
        <v>38316170146</v>
      </c>
    </row>
    <row r="114" spans="1:5" s="163" customFormat="1" ht="24" x14ac:dyDescent="0.3">
      <c r="A114" s="181">
        <v>0</v>
      </c>
      <c r="B114" s="182">
        <v>24980064912</v>
      </c>
      <c r="C114" s="182" t="s">
        <v>496</v>
      </c>
      <c r="D114" s="182">
        <v>107594046348</v>
      </c>
      <c r="E114" s="183">
        <v>82613981436</v>
      </c>
    </row>
    <row r="115" spans="1:5" s="163" customFormat="1" ht="24" x14ac:dyDescent="0.3">
      <c r="A115" s="181">
        <v>0</v>
      </c>
      <c r="B115" s="182">
        <v>0</v>
      </c>
      <c r="C115" s="182" t="s">
        <v>497</v>
      </c>
      <c r="D115" s="182">
        <v>20675128723107</v>
      </c>
      <c r="E115" s="183">
        <v>20675128723107</v>
      </c>
    </row>
    <row r="116" spans="1:5" s="163" customFormat="1" ht="24" x14ac:dyDescent="0.3">
      <c r="A116" s="181">
        <v>0</v>
      </c>
      <c r="B116" s="182">
        <v>0</v>
      </c>
      <c r="C116" s="182" t="s">
        <v>498</v>
      </c>
      <c r="D116" s="182">
        <v>1806666340</v>
      </c>
      <c r="E116" s="183">
        <v>1806666340</v>
      </c>
    </row>
    <row r="117" spans="1:5" s="163" customFormat="1" ht="24" x14ac:dyDescent="0.3">
      <c r="A117" s="181"/>
      <c r="B117" s="182"/>
      <c r="C117" s="182" t="s">
        <v>499</v>
      </c>
      <c r="D117" s="182">
        <v>20194020</v>
      </c>
      <c r="E117" s="183">
        <v>20194020</v>
      </c>
    </row>
    <row r="118" spans="1:5" s="163" customFormat="1" ht="24" x14ac:dyDescent="0.3">
      <c r="A118" s="181"/>
      <c r="B118" s="182"/>
      <c r="C118" s="182" t="s">
        <v>500</v>
      </c>
      <c r="D118" s="182">
        <v>2831323854838</v>
      </c>
      <c r="E118" s="183">
        <v>2831323854838</v>
      </c>
    </row>
    <row r="119" spans="1:5" s="163" customFormat="1" ht="24" x14ac:dyDescent="0.3">
      <c r="A119" s="181">
        <v>14368237531598</v>
      </c>
      <c r="B119" s="182">
        <v>14368237531598</v>
      </c>
      <c r="C119" s="182" t="s">
        <v>501</v>
      </c>
      <c r="D119" s="182">
        <v>0</v>
      </c>
      <c r="E119" s="183">
        <v>0</v>
      </c>
    </row>
    <row r="120" spans="1:5" s="163" customFormat="1" ht="24" x14ac:dyDescent="0.3">
      <c r="A120" s="181">
        <v>0</v>
      </c>
      <c r="B120" s="182">
        <v>15747409440</v>
      </c>
      <c r="C120" s="182" t="s">
        <v>502</v>
      </c>
      <c r="D120" s="182">
        <v>15747409440</v>
      </c>
      <c r="E120" s="183">
        <v>0</v>
      </c>
    </row>
    <row r="121" spans="1:5" s="163" customFormat="1" ht="24" x14ac:dyDescent="0.3">
      <c r="A121" s="181">
        <v>0</v>
      </c>
      <c r="B121" s="182">
        <v>0</v>
      </c>
      <c r="C121" s="182" t="s">
        <v>503</v>
      </c>
      <c r="D121" s="182">
        <v>1636749394102</v>
      </c>
      <c r="E121" s="183">
        <v>1636749394102</v>
      </c>
    </row>
    <row r="122" spans="1:5" s="163" customFormat="1" ht="24" x14ac:dyDescent="0.3">
      <c r="A122" s="181">
        <v>0</v>
      </c>
      <c r="B122" s="182">
        <v>0</v>
      </c>
      <c r="C122" s="182" t="s">
        <v>504</v>
      </c>
      <c r="D122" s="182">
        <v>201708041379</v>
      </c>
      <c r="E122" s="183">
        <v>201708041379</v>
      </c>
    </row>
    <row r="123" spans="1:5" s="163" customFormat="1" ht="24" x14ac:dyDescent="0.3">
      <c r="A123" s="181">
        <v>0</v>
      </c>
      <c r="B123" s="182">
        <v>0</v>
      </c>
      <c r="C123" s="182" t="s">
        <v>505</v>
      </c>
      <c r="D123" s="182">
        <v>91901531610</v>
      </c>
      <c r="E123" s="183">
        <v>91901531610</v>
      </c>
    </row>
    <row r="124" spans="1:5" s="163" customFormat="1" ht="24" x14ac:dyDescent="0.3">
      <c r="A124" s="181">
        <v>0</v>
      </c>
      <c r="B124" s="182">
        <v>0</v>
      </c>
      <c r="C124" s="182" t="s">
        <v>506</v>
      </c>
      <c r="D124" s="182">
        <v>74284435408</v>
      </c>
      <c r="E124" s="183">
        <v>74284435408</v>
      </c>
    </row>
    <row r="125" spans="1:5" s="163" customFormat="1" ht="24" x14ac:dyDescent="0.3">
      <c r="A125" s="181"/>
      <c r="B125" s="182"/>
      <c r="C125" s="182" t="s">
        <v>10</v>
      </c>
      <c r="D125" s="182"/>
      <c r="E125" s="183"/>
    </row>
    <row r="126" spans="1:5" s="163" customFormat="1" ht="24" x14ac:dyDescent="0.3">
      <c r="A126" s="181">
        <v>1077508630230</v>
      </c>
      <c r="B126" s="182">
        <v>1077508630230</v>
      </c>
      <c r="C126" s="182" t="s">
        <v>507</v>
      </c>
      <c r="D126" s="182">
        <v>0</v>
      </c>
      <c r="E126" s="183">
        <v>0</v>
      </c>
    </row>
    <row r="127" spans="1:5" s="163" customFormat="1" ht="24" x14ac:dyDescent="0.3">
      <c r="A127" s="181">
        <v>114000142458</v>
      </c>
      <c r="B127" s="182">
        <v>114000142458</v>
      </c>
      <c r="C127" s="182" t="s">
        <v>508</v>
      </c>
      <c r="D127" s="182">
        <v>0</v>
      </c>
      <c r="E127" s="183">
        <v>0</v>
      </c>
    </row>
    <row r="128" spans="1:5" s="163" customFormat="1" ht="24" x14ac:dyDescent="0.3">
      <c r="A128" s="181">
        <v>164590592600</v>
      </c>
      <c r="B128" s="182">
        <v>164590592600</v>
      </c>
      <c r="C128" s="182" t="s">
        <v>509</v>
      </c>
      <c r="D128" s="182">
        <v>0</v>
      </c>
      <c r="E128" s="183">
        <v>0</v>
      </c>
    </row>
    <row r="129" spans="1:5" s="163" customFormat="1" ht="24" x14ac:dyDescent="0.3">
      <c r="A129" s="181">
        <v>751873187</v>
      </c>
      <c r="B129" s="182">
        <v>751873187</v>
      </c>
      <c r="C129" s="182" t="s">
        <v>510</v>
      </c>
      <c r="D129" s="182">
        <v>0</v>
      </c>
      <c r="E129" s="183">
        <v>0</v>
      </c>
    </row>
    <row r="130" spans="1:5" s="163" customFormat="1" ht="24" x14ac:dyDescent="0.3">
      <c r="A130" s="181">
        <v>192766161648</v>
      </c>
      <c r="B130" s="182">
        <v>192766161648</v>
      </c>
      <c r="C130" s="182" t="s">
        <v>511</v>
      </c>
      <c r="D130" s="182">
        <v>0</v>
      </c>
      <c r="E130" s="183">
        <v>0</v>
      </c>
    </row>
    <row r="131" spans="1:5" s="163" customFormat="1" ht="24" x14ac:dyDescent="0.3">
      <c r="A131" s="181">
        <v>15708736189</v>
      </c>
      <c r="B131" s="182">
        <v>15708736189</v>
      </c>
      <c r="C131" s="182" t="s">
        <v>512</v>
      </c>
      <c r="D131" s="182">
        <v>0</v>
      </c>
      <c r="E131" s="183">
        <v>0</v>
      </c>
    </row>
    <row r="132" spans="1:5" s="163" customFormat="1" ht="24" x14ac:dyDescent="0.3">
      <c r="A132" s="181">
        <v>4427180584</v>
      </c>
      <c r="B132" s="182">
        <v>4427180584</v>
      </c>
      <c r="C132" s="182" t="s">
        <v>513</v>
      </c>
      <c r="D132" s="182">
        <v>0</v>
      </c>
      <c r="E132" s="183">
        <v>0</v>
      </c>
    </row>
    <row r="133" spans="1:5" s="163" customFormat="1" ht="24" x14ac:dyDescent="0.3">
      <c r="A133" s="181">
        <v>1112587543</v>
      </c>
      <c r="B133" s="182">
        <v>1112587543</v>
      </c>
      <c r="C133" s="182" t="s">
        <v>514</v>
      </c>
      <c r="D133" s="182">
        <v>0</v>
      </c>
      <c r="E133" s="183">
        <v>0</v>
      </c>
    </row>
    <row r="134" spans="1:5" s="163" customFormat="1" ht="24" x14ac:dyDescent="0.3">
      <c r="A134" s="181">
        <v>1813292330</v>
      </c>
      <c r="B134" s="182">
        <v>1813292330</v>
      </c>
      <c r="C134" s="182" t="s">
        <v>515</v>
      </c>
      <c r="D134" s="182">
        <v>0</v>
      </c>
      <c r="E134" s="183">
        <v>0</v>
      </c>
    </row>
    <row r="135" spans="1:5" s="163" customFormat="1" ht="24" x14ac:dyDescent="0.3">
      <c r="A135" s="181">
        <v>392433981054</v>
      </c>
      <c r="B135" s="182">
        <v>392433981054</v>
      </c>
      <c r="C135" s="182" t="s">
        <v>516</v>
      </c>
      <c r="D135" s="182">
        <v>0</v>
      </c>
      <c r="E135" s="183">
        <v>0</v>
      </c>
    </row>
    <row r="136" spans="1:5" s="163" customFormat="1" ht="24" x14ac:dyDescent="0.3">
      <c r="A136" s="181">
        <v>242320248</v>
      </c>
      <c r="B136" s="182">
        <v>242320248</v>
      </c>
      <c r="C136" s="182" t="s">
        <v>517</v>
      </c>
      <c r="D136" s="182">
        <v>0</v>
      </c>
      <c r="E136" s="183">
        <v>0</v>
      </c>
    </row>
    <row r="137" spans="1:5" s="163" customFormat="1" ht="24" x14ac:dyDescent="0.3">
      <c r="A137" s="181">
        <v>35892553468</v>
      </c>
      <c r="B137" s="182">
        <v>35892553468</v>
      </c>
      <c r="C137" s="182" t="s">
        <v>518</v>
      </c>
      <c r="D137" s="182">
        <v>0</v>
      </c>
      <c r="E137" s="183">
        <v>0</v>
      </c>
    </row>
    <row r="138" spans="1:5" s="163" customFormat="1" ht="24" x14ac:dyDescent="0.3">
      <c r="A138" s="181">
        <v>485434923</v>
      </c>
      <c r="B138" s="182">
        <v>485434923</v>
      </c>
      <c r="C138" s="182" t="s">
        <v>519</v>
      </c>
      <c r="D138" s="182">
        <v>0</v>
      </c>
      <c r="E138" s="183">
        <v>0</v>
      </c>
    </row>
    <row r="139" spans="1:5" s="163" customFormat="1" ht="24" x14ac:dyDescent="0.3">
      <c r="A139" s="181">
        <v>1155176024</v>
      </c>
      <c r="B139" s="182">
        <v>1155176024</v>
      </c>
      <c r="C139" s="182" t="s">
        <v>520</v>
      </c>
      <c r="D139" s="182">
        <v>0</v>
      </c>
      <c r="E139" s="183">
        <v>0</v>
      </c>
    </row>
    <row r="140" spans="1:5" s="163" customFormat="1" ht="24" x14ac:dyDescent="0.3">
      <c r="A140" s="181">
        <v>279250437534</v>
      </c>
      <c r="B140" s="182">
        <v>279250437534</v>
      </c>
      <c r="C140" s="182" t="s">
        <v>521</v>
      </c>
      <c r="D140" s="182">
        <v>0</v>
      </c>
      <c r="E140" s="183">
        <v>0</v>
      </c>
    </row>
    <row r="141" spans="1:5" s="163" customFormat="1" ht="24" x14ac:dyDescent="0.3">
      <c r="A141" s="181">
        <v>5051700</v>
      </c>
      <c r="B141" s="182">
        <v>5051700</v>
      </c>
      <c r="C141" s="182" t="s">
        <v>522</v>
      </c>
      <c r="D141" s="182">
        <v>0</v>
      </c>
      <c r="E141" s="183">
        <v>0</v>
      </c>
    </row>
    <row r="142" spans="1:5" s="163" customFormat="1" ht="24" x14ac:dyDescent="0.3">
      <c r="A142" s="181">
        <v>5613200</v>
      </c>
      <c r="B142" s="182">
        <v>5613200</v>
      </c>
      <c r="C142" s="182" t="s">
        <v>523</v>
      </c>
      <c r="D142" s="182">
        <v>0</v>
      </c>
      <c r="E142" s="183">
        <v>0</v>
      </c>
    </row>
    <row r="143" spans="1:5" s="163" customFormat="1" ht="24" x14ac:dyDescent="0.3">
      <c r="A143" s="181">
        <v>8399726445</v>
      </c>
      <c r="B143" s="182">
        <v>8399726445</v>
      </c>
      <c r="C143" s="182" t="s">
        <v>524</v>
      </c>
      <c r="D143" s="182">
        <v>0</v>
      </c>
      <c r="E143" s="183">
        <v>0</v>
      </c>
    </row>
    <row r="144" spans="1:5" s="163" customFormat="1" ht="24" x14ac:dyDescent="0.3">
      <c r="A144" s="181">
        <v>142634220</v>
      </c>
      <c r="B144" s="182">
        <v>142634220</v>
      </c>
      <c r="C144" s="182" t="s">
        <v>525</v>
      </c>
      <c r="D144" s="182">
        <v>0</v>
      </c>
      <c r="E144" s="183">
        <v>0</v>
      </c>
    </row>
    <row r="145" spans="1:5" s="163" customFormat="1" ht="24" x14ac:dyDescent="0.3">
      <c r="A145" s="181">
        <v>951965757</v>
      </c>
      <c r="B145" s="182">
        <v>951965757</v>
      </c>
      <c r="C145" s="182" t="s">
        <v>526</v>
      </c>
      <c r="D145" s="182">
        <v>0</v>
      </c>
      <c r="E145" s="183">
        <v>0</v>
      </c>
    </row>
    <row r="146" spans="1:5" s="163" customFormat="1" ht="24" x14ac:dyDescent="0.3">
      <c r="A146" s="181">
        <v>45657377865</v>
      </c>
      <c r="B146" s="182">
        <v>45657377865</v>
      </c>
      <c r="C146" s="182" t="s">
        <v>527</v>
      </c>
      <c r="D146" s="182">
        <v>0</v>
      </c>
      <c r="E146" s="183">
        <v>0</v>
      </c>
    </row>
    <row r="147" spans="1:5" s="163" customFormat="1" ht="24" x14ac:dyDescent="0.3">
      <c r="A147" s="181">
        <v>14390661111</v>
      </c>
      <c r="B147" s="182">
        <v>14390661111</v>
      </c>
      <c r="C147" s="182" t="s">
        <v>528</v>
      </c>
      <c r="D147" s="182">
        <v>0</v>
      </c>
      <c r="E147" s="183">
        <v>0</v>
      </c>
    </row>
    <row r="148" spans="1:5" s="163" customFormat="1" ht="24" x14ac:dyDescent="0.3">
      <c r="A148" s="181">
        <v>0</v>
      </c>
      <c r="B148" s="182">
        <v>30329503938</v>
      </c>
      <c r="C148" s="182" t="s">
        <v>529</v>
      </c>
      <c r="D148" s="182">
        <v>30329503938</v>
      </c>
      <c r="E148" s="183">
        <v>0</v>
      </c>
    </row>
    <row r="149" spans="1:5" s="163" customFormat="1" ht="24" x14ac:dyDescent="0.3">
      <c r="A149" s="181">
        <v>0</v>
      </c>
      <c r="B149" s="182">
        <v>471371651779</v>
      </c>
      <c r="C149" s="182" t="s">
        <v>530</v>
      </c>
      <c r="D149" s="182">
        <v>471371651779</v>
      </c>
      <c r="E149" s="183">
        <v>0</v>
      </c>
    </row>
    <row r="150" spans="1:5" s="163" customFormat="1" ht="24" x14ac:dyDescent="0.3">
      <c r="A150" s="181"/>
      <c r="B150" s="182"/>
      <c r="C150" s="182" t="s">
        <v>531</v>
      </c>
      <c r="D150" s="182"/>
      <c r="E150" s="183"/>
    </row>
    <row r="151" spans="1:5" s="163" customFormat="1" ht="24" x14ac:dyDescent="0.3">
      <c r="A151" s="181">
        <v>30555847967</v>
      </c>
      <c r="B151" s="182">
        <v>30555847967</v>
      </c>
      <c r="C151" s="182" t="s">
        <v>507</v>
      </c>
      <c r="D151" s="182">
        <v>0</v>
      </c>
      <c r="E151" s="183">
        <v>0</v>
      </c>
    </row>
    <row r="152" spans="1:5" s="163" customFormat="1" ht="24" x14ac:dyDescent="0.3">
      <c r="A152" s="181">
        <v>3037625956</v>
      </c>
      <c r="B152" s="182">
        <v>3037625956</v>
      </c>
      <c r="C152" s="182" t="s">
        <v>508</v>
      </c>
      <c r="D152" s="182">
        <v>0</v>
      </c>
      <c r="E152" s="183">
        <v>0</v>
      </c>
    </row>
    <row r="153" spans="1:5" s="163" customFormat="1" ht="24" x14ac:dyDescent="0.3">
      <c r="A153" s="181">
        <v>5708677430</v>
      </c>
      <c r="B153" s="182">
        <v>5708677430</v>
      </c>
      <c r="C153" s="182" t="s">
        <v>509</v>
      </c>
      <c r="D153" s="182">
        <v>0</v>
      </c>
      <c r="E153" s="183">
        <v>0</v>
      </c>
    </row>
    <row r="154" spans="1:5" s="163" customFormat="1" ht="24" x14ac:dyDescent="0.3">
      <c r="A154" s="181">
        <v>17782276</v>
      </c>
      <c r="B154" s="182">
        <v>17782276</v>
      </c>
      <c r="C154" s="182" t="s">
        <v>510</v>
      </c>
      <c r="D154" s="182">
        <v>0</v>
      </c>
      <c r="E154" s="183">
        <v>0</v>
      </c>
    </row>
    <row r="155" spans="1:5" s="163" customFormat="1" ht="24" x14ac:dyDescent="0.3">
      <c r="A155" s="181">
        <v>9782112089</v>
      </c>
      <c r="B155" s="182">
        <v>9782112089</v>
      </c>
      <c r="C155" s="182" t="s">
        <v>511</v>
      </c>
      <c r="D155" s="182">
        <v>0</v>
      </c>
      <c r="E155" s="183">
        <v>0</v>
      </c>
    </row>
    <row r="156" spans="1:5" s="163" customFormat="1" ht="24" x14ac:dyDescent="0.3">
      <c r="A156" s="181">
        <v>406428021</v>
      </c>
      <c r="B156" s="182">
        <v>406428021</v>
      </c>
      <c r="C156" s="182" t="s">
        <v>512</v>
      </c>
      <c r="D156" s="182">
        <v>0</v>
      </c>
      <c r="E156" s="183">
        <v>0</v>
      </c>
    </row>
    <row r="157" spans="1:5" s="163" customFormat="1" ht="24" x14ac:dyDescent="0.3">
      <c r="A157" s="181">
        <v>1073125983</v>
      </c>
      <c r="B157" s="182">
        <v>1073125983</v>
      </c>
      <c r="C157" s="182" t="s">
        <v>513</v>
      </c>
      <c r="D157" s="182">
        <v>0</v>
      </c>
      <c r="E157" s="183">
        <v>0</v>
      </c>
    </row>
    <row r="158" spans="1:5" s="163" customFormat="1" ht="24" x14ac:dyDescent="0.3">
      <c r="A158" s="181">
        <v>47596529</v>
      </c>
      <c r="B158" s="182">
        <v>47596529</v>
      </c>
      <c r="C158" s="182" t="s">
        <v>514</v>
      </c>
      <c r="D158" s="182">
        <v>0</v>
      </c>
      <c r="E158" s="183">
        <v>0</v>
      </c>
    </row>
    <row r="159" spans="1:5" s="163" customFormat="1" ht="24" x14ac:dyDescent="0.3">
      <c r="A159" s="181">
        <v>771546925</v>
      </c>
      <c r="B159" s="182">
        <v>771546925</v>
      </c>
      <c r="C159" s="182" t="s">
        <v>515</v>
      </c>
      <c r="D159" s="182">
        <v>0</v>
      </c>
      <c r="E159" s="183">
        <v>0</v>
      </c>
    </row>
    <row r="160" spans="1:5" s="163" customFormat="1" ht="24" x14ac:dyDescent="0.3">
      <c r="A160" s="181">
        <v>1099849980</v>
      </c>
      <c r="B160" s="182">
        <v>1099849980</v>
      </c>
      <c r="C160" s="182" t="s">
        <v>520</v>
      </c>
      <c r="D160" s="182">
        <v>0</v>
      </c>
      <c r="E160" s="183">
        <v>0</v>
      </c>
    </row>
    <row r="161" spans="1:5" s="163" customFormat="1" ht="24" x14ac:dyDescent="0.3">
      <c r="A161" s="181">
        <v>3948184</v>
      </c>
      <c r="B161" s="182">
        <v>3948184</v>
      </c>
      <c r="C161" s="182" t="s">
        <v>519</v>
      </c>
      <c r="D161" s="182"/>
      <c r="E161" s="183"/>
    </row>
    <row r="162" spans="1:5" s="163" customFormat="1" ht="24" x14ac:dyDescent="0.3">
      <c r="A162" s="181">
        <v>705369006</v>
      </c>
      <c r="B162" s="182">
        <v>705369006</v>
      </c>
      <c r="C162" s="182" t="s">
        <v>518</v>
      </c>
      <c r="D162" s="182"/>
      <c r="E162" s="183"/>
    </row>
    <row r="163" spans="1:5" s="163" customFormat="1" ht="24" x14ac:dyDescent="0.3">
      <c r="A163" s="181">
        <v>20362701224</v>
      </c>
      <c r="B163" s="182">
        <v>20362701224</v>
      </c>
      <c r="C163" s="182" t="s">
        <v>521</v>
      </c>
      <c r="D163" s="182">
        <v>0</v>
      </c>
      <c r="E163" s="183">
        <v>0</v>
      </c>
    </row>
    <row r="164" spans="1:5" s="163" customFormat="1" ht="24" x14ac:dyDescent="0.3">
      <c r="A164" s="181">
        <v>9595840</v>
      </c>
      <c r="B164" s="182">
        <v>9595840</v>
      </c>
      <c r="C164" s="182" t="s">
        <v>522</v>
      </c>
      <c r="D164" s="182">
        <v>0</v>
      </c>
      <c r="E164" s="183">
        <v>0</v>
      </c>
    </row>
    <row r="165" spans="1:5" s="163" customFormat="1" ht="24" x14ac:dyDescent="0.3">
      <c r="A165" s="181">
        <v>1320335</v>
      </c>
      <c r="B165" s="182">
        <v>1320335</v>
      </c>
      <c r="C165" s="182" t="s">
        <v>523</v>
      </c>
      <c r="D165" s="182">
        <v>0</v>
      </c>
      <c r="E165" s="183">
        <v>0</v>
      </c>
    </row>
    <row r="166" spans="1:5" s="163" customFormat="1" ht="24" x14ac:dyDescent="0.3">
      <c r="A166" s="181">
        <v>92200131</v>
      </c>
      <c r="B166" s="182">
        <v>92200131</v>
      </c>
      <c r="C166" s="182" t="s">
        <v>524</v>
      </c>
      <c r="D166" s="182">
        <v>0</v>
      </c>
      <c r="E166" s="183">
        <v>0</v>
      </c>
    </row>
    <row r="167" spans="1:5" s="163" customFormat="1" ht="24" x14ac:dyDescent="0.3">
      <c r="A167" s="181">
        <v>29880644</v>
      </c>
      <c r="B167" s="182">
        <v>29880644</v>
      </c>
      <c r="C167" s="182" t="s">
        <v>532</v>
      </c>
      <c r="D167" s="182">
        <v>0</v>
      </c>
      <c r="E167" s="183">
        <v>0</v>
      </c>
    </row>
    <row r="168" spans="1:5" s="163" customFormat="1" ht="24" x14ac:dyDescent="0.3">
      <c r="A168" s="181">
        <v>776000</v>
      </c>
      <c r="B168" s="182">
        <v>776000</v>
      </c>
      <c r="C168" s="182" t="s">
        <v>525</v>
      </c>
      <c r="D168" s="182">
        <v>0</v>
      </c>
      <c r="E168" s="183">
        <v>0</v>
      </c>
    </row>
    <row r="169" spans="1:5" s="163" customFormat="1" ht="24" x14ac:dyDescent="0.3">
      <c r="A169" s="181">
        <v>686620</v>
      </c>
      <c r="B169" s="182">
        <v>686620</v>
      </c>
      <c r="C169" s="182" t="s">
        <v>526</v>
      </c>
      <c r="D169" s="182">
        <v>0</v>
      </c>
      <c r="E169" s="183">
        <v>0</v>
      </c>
    </row>
    <row r="170" spans="1:5" s="163" customFormat="1" ht="24" x14ac:dyDescent="0.3">
      <c r="A170" s="181">
        <v>577364268</v>
      </c>
      <c r="B170" s="182">
        <v>577364268</v>
      </c>
      <c r="C170" s="182" t="s">
        <v>528</v>
      </c>
      <c r="D170" s="182">
        <v>0</v>
      </c>
      <c r="E170" s="183">
        <v>0</v>
      </c>
    </row>
    <row r="171" spans="1:5" s="163" customFormat="1" ht="24" x14ac:dyDescent="0.3">
      <c r="A171" s="181"/>
      <c r="B171" s="182"/>
      <c r="C171" s="182" t="s">
        <v>533</v>
      </c>
      <c r="D171" s="182"/>
      <c r="E171" s="183"/>
    </row>
    <row r="172" spans="1:5" s="163" customFormat="1" ht="24" x14ac:dyDescent="0.3">
      <c r="A172" s="181">
        <v>61925775834</v>
      </c>
      <c r="B172" s="182">
        <v>61925775834</v>
      </c>
      <c r="C172" s="182" t="s">
        <v>507</v>
      </c>
      <c r="D172" s="182">
        <v>0</v>
      </c>
      <c r="E172" s="183">
        <v>0</v>
      </c>
    </row>
    <row r="173" spans="1:5" s="163" customFormat="1" ht="24" x14ac:dyDescent="0.3">
      <c r="A173" s="181">
        <v>6743896130</v>
      </c>
      <c r="B173" s="182">
        <v>6743896130</v>
      </c>
      <c r="C173" s="182" t="s">
        <v>508</v>
      </c>
      <c r="D173" s="182">
        <v>0</v>
      </c>
      <c r="E173" s="183">
        <v>0</v>
      </c>
    </row>
    <row r="174" spans="1:5" s="163" customFormat="1" ht="24" x14ac:dyDescent="0.3">
      <c r="A174" s="181">
        <v>9966306566</v>
      </c>
      <c r="B174" s="182">
        <v>9966306566</v>
      </c>
      <c r="C174" s="182" t="s">
        <v>509</v>
      </c>
      <c r="D174" s="182">
        <v>0</v>
      </c>
      <c r="E174" s="183">
        <v>0</v>
      </c>
    </row>
    <row r="175" spans="1:5" s="163" customFormat="1" ht="24" x14ac:dyDescent="0.3">
      <c r="A175" s="181">
        <v>249967171</v>
      </c>
      <c r="B175" s="182">
        <v>249967171</v>
      </c>
      <c r="C175" s="182" t="s">
        <v>510</v>
      </c>
      <c r="D175" s="182">
        <v>0</v>
      </c>
      <c r="E175" s="183">
        <v>0</v>
      </c>
    </row>
    <row r="176" spans="1:5" s="163" customFormat="1" ht="24" x14ac:dyDescent="0.3">
      <c r="A176" s="181">
        <v>1082519457</v>
      </c>
      <c r="B176" s="182">
        <v>1082519457</v>
      </c>
      <c r="C176" s="182" t="s">
        <v>512</v>
      </c>
      <c r="D176" s="182">
        <v>0</v>
      </c>
      <c r="E176" s="183">
        <v>0</v>
      </c>
    </row>
    <row r="177" spans="1:5" s="163" customFormat="1" ht="24" x14ac:dyDescent="0.3">
      <c r="A177" s="181">
        <v>205544602</v>
      </c>
      <c r="B177" s="182">
        <v>205544602</v>
      </c>
      <c r="C177" s="182" t="s">
        <v>511</v>
      </c>
      <c r="D177" s="182">
        <v>0</v>
      </c>
      <c r="E177" s="183">
        <v>0</v>
      </c>
    </row>
    <row r="178" spans="1:5" s="163" customFormat="1" ht="24" x14ac:dyDescent="0.3">
      <c r="A178" s="181">
        <v>416149447</v>
      </c>
      <c r="B178" s="182">
        <v>416149447</v>
      </c>
      <c r="C178" s="182" t="s">
        <v>513</v>
      </c>
      <c r="D178" s="182">
        <v>0</v>
      </c>
      <c r="E178" s="183">
        <v>0</v>
      </c>
    </row>
    <row r="179" spans="1:5" s="163" customFormat="1" ht="24" x14ac:dyDescent="0.3">
      <c r="A179" s="181">
        <v>251942630</v>
      </c>
      <c r="B179" s="182">
        <v>251942630</v>
      </c>
      <c r="C179" s="182" t="s">
        <v>514</v>
      </c>
      <c r="D179" s="182">
        <v>0</v>
      </c>
      <c r="E179" s="183">
        <v>0</v>
      </c>
    </row>
    <row r="180" spans="1:5" s="163" customFormat="1" ht="24" x14ac:dyDescent="0.3">
      <c r="A180" s="181">
        <v>156083579</v>
      </c>
      <c r="B180" s="182">
        <v>156083579</v>
      </c>
      <c r="C180" s="182" t="s">
        <v>515</v>
      </c>
      <c r="D180" s="182">
        <v>0</v>
      </c>
      <c r="E180" s="183">
        <v>0</v>
      </c>
    </row>
    <row r="181" spans="1:5" s="163" customFormat="1" ht="24" x14ac:dyDescent="0.3">
      <c r="A181" s="181">
        <v>3490147736</v>
      </c>
      <c r="B181" s="182">
        <v>3490147736</v>
      </c>
      <c r="C181" s="182" t="s">
        <v>516</v>
      </c>
      <c r="D181" s="182">
        <v>0</v>
      </c>
      <c r="E181" s="183">
        <v>0</v>
      </c>
    </row>
    <row r="182" spans="1:5" s="163" customFormat="1" ht="24" x14ac:dyDescent="0.3">
      <c r="A182" s="181">
        <v>2809236378</v>
      </c>
      <c r="B182" s="182">
        <v>2809236378</v>
      </c>
      <c r="C182" s="182" t="s">
        <v>517</v>
      </c>
      <c r="D182" s="182">
        <v>0</v>
      </c>
      <c r="E182" s="183">
        <v>0</v>
      </c>
    </row>
    <row r="183" spans="1:5" s="163" customFormat="1" ht="24" x14ac:dyDescent="0.3">
      <c r="A183" s="181">
        <v>177849032</v>
      </c>
      <c r="B183" s="182">
        <v>177849032</v>
      </c>
      <c r="C183" s="182" t="s">
        <v>518</v>
      </c>
      <c r="D183" s="182">
        <v>0</v>
      </c>
      <c r="E183" s="183">
        <v>0</v>
      </c>
    </row>
    <row r="184" spans="1:5" s="163" customFormat="1" ht="24" x14ac:dyDescent="0.3">
      <c r="A184" s="181">
        <v>24008076</v>
      </c>
      <c r="B184" s="182">
        <v>24008076</v>
      </c>
      <c r="C184" s="182" t="s">
        <v>519</v>
      </c>
      <c r="D184" s="182">
        <v>0</v>
      </c>
      <c r="E184" s="183">
        <v>0</v>
      </c>
    </row>
    <row r="185" spans="1:5" s="163" customFormat="1" ht="24" x14ac:dyDescent="0.3">
      <c r="A185" s="181">
        <v>12597995</v>
      </c>
      <c r="B185" s="182">
        <v>12597995</v>
      </c>
      <c r="C185" s="182" t="s">
        <v>520</v>
      </c>
      <c r="D185" s="182">
        <v>0</v>
      </c>
      <c r="E185" s="183">
        <v>0</v>
      </c>
    </row>
    <row r="186" spans="1:5" s="163" customFormat="1" ht="24" x14ac:dyDescent="0.3">
      <c r="A186" s="181">
        <v>11753589652</v>
      </c>
      <c r="B186" s="182">
        <v>11753589652</v>
      </c>
      <c r="C186" s="182" t="s">
        <v>521</v>
      </c>
      <c r="D186" s="182">
        <v>0</v>
      </c>
      <c r="E186" s="183">
        <v>0</v>
      </c>
    </row>
    <row r="187" spans="1:5" s="163" customFormat="1" ht="24" x14ac:dyDescent="0.3">
      <c r="A187" s="181">
        <v>177070984</v>
      </c>
      <c r="B187" s="182">
        <v>177070984</v>
      </c>
      <c r="C187" s="182" t="s">
        <v>522</v>
      </c>
      <c r="D187" s="182">
        <v>0</v>
      </c>
      <c r="E187" s="183">
        <v>0</v>
      </c>
    </row>
    <row r="188" spans="1:5" s="163" customFormat="1" ht="24" x14ac:dyDescent="0.3">
      <c r="A188" s="181">
        <v>382502010</v>
      </c>
      <c r="B188" s="182">
        <v>382502010</v>
      </c>
      <c r="C188" s="182" t="s">
        <v>523</v>
      </c>
      <c r="D188" s="182">
        <v>0</v>
      </c>
      <c r="E188" s="183">
        <v>0</v>
      </c>
    </row>
    <row r="189" spans="1:5" s="163" customFormat="1" ht="24" x14ac:dyDescent="0.3">
      <c r="A189" s="181">
        <v>1521973095</v>
      </c>
      <c r="B189" s="182">
        <v>1521973095</v>
      </c>
      <c r="C189" s="182" t="s">
        <v>524</v>
      </c>
      <c r="D189" s="182">
        <v>0</v>
      </c>
      <c r="E189" s="183">
        <v>0</v>
      </c>
    </row>
    <row r="190" spans="1:5" s="163" customFormat="1" ht="24" x14ac:dyDescent="0.3">
      <c r="A190" s="181">
        <v>1754139137</v>
      </c>
      <c r="B190" s="182">
        <v>1754139137</v>
      </c>
      <c r="C190" s="182" t="s">
        <v>532</v>
      </c>
      <c r="D190" s="182">
        <v>0</v>
      </c>
      <c r="E190" s="183">
        <v>0</v>
      </c>
    </row>
    <row r="191" spans="1:5" s="163" customFormat="1" ht="24" x14ac:dyDescent="0.3">
      <c r="A191" s="181">
        <v>843114581</v>
      </c>
      <c r="B191" s="182">
        <v>843114581</v>
      </c>
      <c r="C191" s="182" t="s">
        <v>534</v>
      </c>
      <c r="D191" s="182">
        <v>0</v>
      </c>
      <c r="E191" s="183">
        <v>0</v>
      </c>
    </row>
    <row r="192" spans="1:5" s="163" customFormat="1" ht="24" x14ac:dyDescent="0.3">
      <c r="A192" s="181">
        <v>376213533</v>
      </c>
      <c r="B192" s="182">
        <v>376213533</v>
      </c>
      <c r="C192" s="182" t="s">
        <v>525</v>
      </c>
      <c r="D192" s="182">
        <v>0</v>
      </c>
      <c r="E192" s="183">
        <v>0</v>
      </c>
    </row>
    <row r="193" spans="1:5" s="163" customFormat="1" ht="24" x14ac:dyDescent="0.3">
      <c r="A193" s="181">
        <v>335728819</v>
      </c>
      <c r="B193" s="182">
        <v>335728819</v>
      </c>
      <c r="C193" s="182" t="s">
        <v>526</v>
      </c>
      <c r="D193" s="182">
        <v>0</v>
      </c>
      <c r="E193" s="183">
        <v>0</v>
      </c>
    </row>
    <row r="194" spans="1:5" s="163" customFormat="1" ht="24" x14ac:dyDescent="0.3">
      <c r="A194" s="181">
        <v>5200984575</v>
      </c>
      <c r="B194" s="182">
        <v>5200984575</v>
      </c>
      <c r="C194" s="182" t="s">
        <v>535</v>
      </c>
      <c r="D194" s="182"/>
      <c r="E194" s="183"/>
    </row>
    <row r="195" spans="1:5" s="163" customFormat="1" ht="24" x14ac:dyDescent="0.3">
      <c r="A195" s="181">
        <v>1213235052</v>
      </c>
      <c r="B195" s="182">
        <v>1213235052</v>
      </c>
      <c r="C195" s="182" t="s">
        <v>528</v>
      </c>
      <c r="D195" s="182">
        <v>0</v>
      </c>
      <c r="E195" s="183">
        <v>0</v>
      </c>
    </row>
    <row r="196" spans="1:5" s="163" customFormat="1" ht="24" x14ac:dyDescent="0.3">
      <c r="A196" s="181">
        <v>0</v>
      </c>
      <c r="B196" s="182">
        <v>633554309</v>
      </c>
      <c r="C196" s="182" t="s">
        <v>362</v>
      </c>
      <c r="D196" s="182">
        <v>3019053142</v>
      </c>
      <c r="E196" s="183">
        <v>2385498833</v>
      </c>
    </row>
    <row r="197" spans="1:5" s="163" customFormat="1" ht="24" x14ac:dyDescent="0.3">
      <c r="A197" s="181">
        <v>0</v>
      </c>
      <c r="B197" s="182">
        <v>2285850620</v>
      </c>
      <c r="C197" s="182" t="s">
        <v>363</v>
      </c>
      <c r="D197" s="182">
        <v>4114653768</v>
      </c>
      <c r="E197" s="183">
        <v>1828803148</v>
      </c>
    </row>
    <row r="198" spans="1:5" s="163" customFormat="1" ht="24" x14ac:dyDescent="0.3">
      <c r="A198" s="181">
        <v>0</v>
      </c>
      <c r="B198" s="182">
        <v>542805</v>
      </c>
      <c r="C198" s="182" t="s">
        <v>364</v>
      </c>
      <c r="D198" s="182">
        <v>2954642406</v>
      </c>
      <c r="E198" s="183">
        <v>2954099601</v>
      </c>
    </row>
    <row r="199" spans="1:5" s="163" customFormat="1" ht="24" x14ac:dyDescent="0.3">
      <c r="A199" s="181">
        <v>0</v>
      </c>
      <c r="B199" s="182">
        <v>0</v>
      </c>
      <c r="C199" s="182" t="s">
        <v>365</v>
      </c>
      <c r="D199" s="182">
        <v>644493450</v>
      </c>
      <c r="E199" s="183">
        <v>644493450</v>
      </c>
    </row>
    <row r="200" spans="1:5" s="163" customFormat="1" ht="24" x14ac:dyDescent="0.3">
      <c r="A200" s="181">
        <v>0</v>
      </c>
      <c r="B200" s="182">
        <v>0</v>
      </c>
      <c r="C200" s="182" t="s">
        <v>366</v>
      </c>
      <c r="D200" s="182">
        <v>13567301683</v>
      </c>
      <c r="E200" s="183">
        <v>13567301683</v>
      </c>
    </row>
    <row r="201" spans="1:5" s="163" customFormat="1" ht="24" x14ac:dyDescent="0.3">
      <c r="A201" s="181">
        <v>0</v>
      </c>
      <c r="B201" s="182">
        <v>60000000</v>
      </c>
      <c r="C201" s="182" t="s">
        <v>536</v>
      </c>
      <c r="D201" s="182">
        <v>60000000</v>
      </c>
      <c r="E201" s="183">
        <v>0</v>
      </c>
    </row>
    <row r="202" spans="1:5" s="163" customFormat="1" ht="24" x14ac:dyDescent="0.3">
      <c r="A202" s="181">
        <v>0</v>
      </c>
      <c r="B202" s="182">
        <v>0</v>
      </c>
      <c r="C202" s="182" t="s">
        <v>367</v>
      </c>
      <c r="D202" s="182">
        <v>7841607843</v>
      </c>
      <c r="E202" s="183">
        <v>7841607843</v>
      </c>
    </row>
    <row r="203" spans="1:5" s="163" customFormat="1" ht="24" x14ac:dyDescent="0.3">
      <c r="A203" s="181">
        <v>0</v>
      </c>
      <c r="B203" s="182">
        <v>0</v>
      </c>
      <c r="C203" s="182" t="s">
        <v>368</v>
      </c>
      <c r="D203" s="182">
        <v>21179180775</v>
      </c>
      <c r="E203" s="183">
        <v>21179180775</v>
      </c>
    </row>
    <row r="204" spans="1:5" s="163" customFormat="1" ht="24" x14ac:dyDescent="0.3">
      <c r="A204" s="181">
        <v>57821731366</v>
      </c>
      <c r="B204" s="182">
        <v>82599718899</v>
      </c>
      <c r="C204" s="182" t="s">
        <v>369</v>
      </c>
      <c r="D204" s="182">
        <v>24777987533</v>
      </c>
      <c r="E204" s="183">
        <v>0</v>
      </c>
    </row>
    <row r="205" spans="1:5" s="163" customFormat="1" ht="24" x14ac:dyDescent="0.3">
      <c r="A205" s="181">
        <v>40484242</v>
      </c>
      <c r="B205" s="182">
        <v>798611008</v>
      </c>
      <c r="C205" s="182" t="s">
        <v>370</v>
      </c>
      <c r="D205" s="182">
        <v>758126766</v>
      </c>
      <c r="E205" s="183">
        <v>0</v>
      </c>
    </row>
    <row r="206" spans="1:5" s="163" customFormat="1" ht="24" x14ac:dyDescent="0.3">
      <c r="A206" s="181">
        <v>80000000</v>
      </c>
      <c r="B206" s="182">
        <v>80000000</v>
      </c>
      <c r="C206" s="182" t="s">
        <v>371</v>
      </c>
      <c r="D206" s="182">
        <v>0</v>
      </c>
      <c r="E206" s="183">
        <v>0</v>
      </c>
    </row>
    <row r="207" spans="1:5" s="163" customFormat="1" ht="24" x14ac:dyDescent="0.3">
      <c r="A207" s="181">
        <v>298343755</v>
      </c>
      <c r="B207" s="182">
        <v>375616482</v>
      </c>
      <c r="C207" s="182" t="s">
        <v>372</v>
      </c>
      <c r="D207" s="182">
        <v>77272727</v>
      </c>
      <c r="E207" s="183">
        <v>0</v>
      </c>
    </row>
    <row r="208" spans="1:5" s="163" customFormat="1" ht="24" x14ac:dyDescent="0.3">
      <c r="A208" s="181">
        <v>166510105</v>
      </c>
      <c r="B208" s="182">
        <v>166510105</v>
      </c>
      <c r="C208" s="182" t="s">
        <v>373</v>
      </c>
      <c r="D208" s="182">
        <v>0</v>
      </c>
      <c r="E208" s="183">
        <v>0</v>
      </c>
    </row>
    <row r="209" spans="1:5" s="163" customFormat="1" ht="24" x14ac:dyDescent="0.3">
      <c r="A209" s="181">
        <v>2186805495</v>
      </c>
      <c r="B209" s="182">
        <v>2244617866</v>
      </c>
      <c r="C209" s="182" t="s">
        <v>374</v>
      </c>
      <c r="D209" s="182">
        <v>57812371</v>
      </c>
      <c r="E209" s="183">
        <v>0</v>
      </c>
    </row>
    <row r="210" spans="1:5" s="163" customFormat="1" ht="24" x14ac:dyDescent="0.3">
      <c r="A210" s="181">
        <v>83549254</v>
      </c>
      <c r="B210" s="182">
        <v>88804554</v>
      </c>
      <c r="C210" s="182" t="s">
        <v>375</v>
      </c>
      <c r="D210" s="182">
        <v>5255300</v>
      </c>
      <c r="E210" s="183">
        <v>0</v>
      </c>
    </row>
    <row r="211" spans="1:5" s="163" customFormat="1" ht="24" x14ac:dyDescent="0.3">
      <c r="A211" s="181">
        <v>8081234680</v>
      </c>
      <c r="B211" s="182">
        <v>8081234680</v>
      </c>
      <c r="C211" s="182" t="s">
        <v>376</v>
      </c>
      <c r="D211" s="182"/>
      <c r="E211" s="183"/>
    </row>
    <row r="212" spans="1:5" s="163" customFormat="1" ht="24" x14ac:dyDescent="0.3">
      <c r="A212" s="181">
        <v>706134725</v>
      </c>
      <c r="B212" s="182">
        <v>706134725</v>
      </c>
      <c r="C212" s="182" t="s">
        <v>377</v>
      </c>
      <c r="D212" s="182">
        <v>0</v>
      </c>
      <c r="E212" s="183">
        <v>0</v>
      </c>
    </row>
    <row r="213" spans="1:5" s="163" customFormat="1" ht="24" x14ac:dyDescent="0.3">
      <c r="A213" s="181">
        <v>34999720558</v>
      </c>
      <c r="B213" s="182">
        <v>82388718894</v>
      </c>
      <c r="C213" s="182" t="s">
        <v>378</v>
      </c>
      <c r="D213" s="182">
        <v>47388998336</v>
      </c>
      <c r="E213" s="183">
        <v>0</v>
      </c>
    </row>
    <row r="214" spans="1:5" s="163" customFormat="1" ht="24" x14ac:dyDescent="0.3">
      <c r="A214" s="201">
        <v>38682600639406</v>
      </c>
      <c r="B214" s="202">
        <v>100131498552573</v>
      </c>
      <c r="C214" s="202" t="s">
        <v>537</v>
      </c>
      <c r="D214" s="202">
        <v>100131498552573</v>
      </c>
      <c r="E214" s="203">
        <v>38682600639406</v>
      </c>
    </row>
  </sheetData>
  <mergeCells count="1">
    <mergeCell ref="A1:E1"/>
  </mergeCells>
  <phoneticPr fontId="2" type="noConversion"/>
  <pageMargins left="0.7" right="0.7" top="0.75" bottom="0.75" header="0.3" footer="0.3"/>
  <pageSetup paperSize="9" scale="1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7</vt:i4>
      </vt:variant>
    </vt:vector>
  </HeadingPairs>
  <TitlesOfParts>
    <vt:vector size="15" baseType="lpstr">
      <vt:lpstr>#1. 재무상태표</vt:lpstr>
      <vt:lpstr>#2. 손익계산서</vt:lpstr>
      <vt:lpstr>#3. 운영사업원가명세서</vt:lpstr>
      <vt:lpstr>#4. 수탁사업원가명세서</vt:lpstr>
      <vt:lpstr>#5. 영업비용명세서</vt:lpstr>
      <vt:lpstr>#6. 자본변동표</vt:lpstr>
      <vt:lpstr>#7. 현금흐름표</vt:lpstr>
      <vt:lpstr>#8. 합계잔액시산표</vt:lpstr>
      <vt:lpstr>'#1. 재무상태표'!Print_Area</vt:lpstr>
      <vt:lpstr>'#2. 손익계산서'!Print_Area</vt:lpstr>
      <vt:lpstr>'#3. 운영사업원가명세서'!Print_Area</vt:lpstr>
      <vt:lpstr>'#4. 수탁사업원가명세서'!Print_Area</vt:lpstr>
      <vt:lpstr>'#5. 영업비용명세서'!Print_Area</vt:lpstr>
      <vt:lpstr>'#8. 합계잔액시산표'!Print_Area</vt:lpstr>
      <vt:lpstr>'#1. 재무상태표'!Print_Titles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사용자-전화번호</dc:creator>
  <cp:lastModifiedBy>user</cp:lastModifiedBy>
  <cp:lastPrinted>2020-03-04T07:08:54Z</cp:lastPrinted>
  <dcterms:created xsi:type="dcterms:W3CDTF">2019-07-05T01:59:17Z</dcterms:created>
  <dcterms:modified xsi:type="dcterms:W3CDTF">2020-05-20T01:07:34Z</dcterms:modified>
</cp:coreProperties>
</file>