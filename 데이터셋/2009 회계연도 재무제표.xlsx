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G GIL-BAEK\Desktop\회사파일\재무제표\"/>
    </mc:Choice>
  </mc:AlternateContent>
  <bookViews>
    <workbookView xWindow="4635" yWindow="525" windowWidth="14400" windowHeight="12180" tabRatio="775"/>
  </bookViews>
  <sheets>
    <sheet name="재무상태표" sheetId="11" r:id="rId1"/>
    <sheet name="손익계산서" sheetId="10" r:id="rId2"/>
    <sheet name="운영사업원가명세서" sheetId="12" r:id="rId3"/>
    <sheet name="현금흐름표" sheetId="22" r:id="rId4"/>
    <sheet name="자본변동표" sheetId="15" r:id="rId5"/>
  </sheets>
  <definedNames>
    <definedName name="_xlnm.Database">#REF!</definedName>
    <definedName name="_xlnm.Print_Area" localSheetId="1">손익계산서!$B$1:$J$65</definedName>
    <definedName name="_xlnm.Print_Area" localSheetId="2">운영사업원가명세서!$B$1:$F$34</definedName>
    <definedName name="_xlnm.Print_Area" localSheetId="4">자본변동표!$A$1:$D$14</definedName>
    <definedName name="_xlnm.Print_Area" localSheetId="0">재무상태표!$B$1:$J$81</definedName>
    <definedName name="_xlnm.Print_Titles" localSheetId="1">손익계산서!$5:$5</definedName>
    <definedName name="_xlnm.Print_Titles" localSheetId="2">운영사업원가명세서!$5:$5</definedName>
    <definedName name="_xlnm.Print_Titles" localSheetId="0">재무상태표!$5:$5</definedName>
  </definedNames>
  <calcPr calcId="162913"/>
</workbook>
</file>

<file path=xl/calcChain.xml><?xml version="1.0" encoding="utf-8"?>
<calcChain xmlns="http://schemas.openxmlformats.org/spreadsheetml/2006/main">
  <c r="H10" i="10" l="1"/>
  <c r="H6" i="10"/>
  <c r="J6" i="10"/>
  <c r="J51" i="10" l="1"/>
  <c r="J40" i="10"/>
  <c r="J13" i="10"/>
  <c r="J10" i="10"/>
  <c r="H13" i="10"/>
  <c r="H12" i="10"/>
  <c r="H39" i="10" l="1"/>
  <c r="J12" i="10"/>
  <c r="J39" i="10" s="1"/>
  <c r="J63" i="10" s="1"/>
  <c r="J65" i="10" s="1"/>
  <c r="F5" i="12" l="1"/>
  <c r="G5" i="10" l="1"/>
  <c r="H51" i="10" l="1"/>
  <c r="H40" i="10"/>
  <c r="E5" i="12"/>
  <c r="F34" i="12"/>
  <c r="H63" i="10" l="1"/>
  <c r="H65" i="10" s="1"/>
  <c r="A3" i="15"/>
  <c r="A2" i="15"/>
  <c r="B3" i="12"/>
  <c r="B2" i="12"/>
  <c r="E34" i="12" l="1"/>
</calcChain>
</file>

<file path=xl/sharedStrings.xml><?xml version="1.0" encoding="utf-8"?>
<sst xmlns="http://schemas.openxmlformats.org/spreadsheetml/2006/main" count="823" uniqueCount="371">
  <si>
    <t>유동자산</t>
  </si>
  <si>
    <t>당좌자산</t>
  </si>
  <si>
    <t>선급금</t>
  </si>
  <si>
    <t>선급비용</t>
  </si>
  <si>
    <t>미착품</t>
  </si>
  <si>
    <t>투자자산</t>
  </si>
  <si>
    <t>보증금</t>
  </si>
  <si>
    <t>토지</t>
  </si>
  <si>
    <t>건물</t>
  </si>
  <si>
    <t>기계장치</t>
  </si>
  <si>
    <t>선로설비</t>
  </si>
  <si>
    <t>전로설비</t>
  </si>
  <si>
    <t>전동차량</t>
  </si>
  <si>
    <t>자동차운반구</t>
  </si>
  <si>
    <t>공기구비품</t>
  </si>
  <si>
    <t>유동부채</t>
  </si>
  <si>
    <t>예수금</t>
  </si>
  <si>
    <t>선수수익</t>
  </si>
  <si>
    <t xml:space="preserve"> </t>
    <phoneticPr fontId="15" type="noConversion"/>
  </si>
  <si>
    <t>과                  목</t>
    <phoneticPr fontId="15" type="noConversion"/>
  </si>
  <si>
    <t>부대사업수익</t>
    <phoneticPr fontId="15" type="noConversion"/>
  </si>
  <si>
    <t>기타사업수익</t>
    <phoneticPr fontId="15" type="noConversion"/>
  </si>
  <si>
    <t>운영사업원가</t>
    <phoneticPr fontId="15" type="noConversion"/>
  </si>
  <si>
    <t>판매비와관리비</t>
    <phoneticPr fontId="15" type="noConversion"/>
  </si>
  <si>
    <t>급여</t>
    <phoneticPr fontId="15" type="noConversion"/>
  </si>
  <si>
    <t>복리후생비</t>
    <phoneticPr fontId="15" type="noConversion"/>
  </si>
  <si>
    <t>여비교통비</t>
    <phoneticPr fontId="15" type="noConversion"/>
  </si>
  <si>
    <t>통신비</t>
    <phoneticPr fontId="15" type="noConversion"/>
  </si>
  <si>
    <t>세금과공과</t>
    <phoneticPr fontId="15" type="noConversion"/>
  </si>
  <si>
    <t>소모품비</t>
    <phoneticPr fontId="15" type="noConversion"/>
  </si>
  <si>
    <t>(단위 : 원)</t>
    <phoneticPr fontId="15" type="noConversion"/>
  </si>
  <si>
    <t>(  운  영  사  업  원  가  명  세  서  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</si>
  <si>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</si>
  <si>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</si>
  <si>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</si>
  <si>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</si>
  <si>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</si>
  <si>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</si>
  <si>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Ⅰ.</t>
    <phoneticPr fontId="15" type="noConversion"/>
  </si>
  <si>
    <t>Ⅱ.</t>
    <phoneticPr fontId="15" type="noConversion"/>
  </si>
  <si>
    <t>Ⅲ.</t>
    <phoneticPr fontId="15" type="noConversion"/>
  </si>
  <si>
    <t>Ⅳ.</t>
    <phoneticPr fontId="15" type="noConversion"/>
  </si>
  <si>
    <t>과                 목</t>
    <phoneticPr fontId="15" type="noConversion"/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</si>
  <si>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</si>
  <si>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</si>
  <si>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</si>
  <si>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</si>
  <si>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</si>
  <si>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</si>
  <si>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</si>
  <si>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</si>
  <si>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</si>
  <si>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</si>
  <si>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</si>
  <si>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</si>
  <si>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</si>
  <si>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</si>
  <si>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</si>
  <si>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</si>
  <si>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</si>
  <si>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</si>
  <si>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</si>
  <si>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</si>
  <si>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</si>
  <si>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</si>
  <si>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2.</t>
  </si>
  <si>
    <t>3.</t>
  </si>
  <si>
    <t>수도광열비</t>
    <phoneticPr fontId="15" type="noConversion"/>
  </si>
  <si>
    <t>Ⅷ.</t>
  </si>
  <si>
    <t>Ⅸ.</t>
  </si>
  <si>
    <t>Ⅹ.</t>
  </si>
  <si>
    <t>1.</t>
    <phoneticPr fontId="15" type="noConversion"/>
  </si>
  <si>
    <t>도서인쇄비</t>
    <phoneticPr fontId="15" type="noConversion"/>
  </si>
  <si>
    <t>수선유지비</t>
    <phoneticPr fontId="15" type="noConversion"/>
  </si>
  <si>
    <t>차량유지비</t>
    <phoneticPr fontId="15" type="noConversion"/>
  </si>
  <si>
    <t>보험료</t>
    <phoneticPr fontId="15" type="noConversion"/>
  </si>
  <si>
    <t>지급수수료</t>
    <phoneticPr fontId="15" type="noConversion"/>
  </si>
  <si>
    <t>업무추진비</t>
    <phoneticPr fontId="15" type="noConversion"/>
  </si>
  <si>
    <t>광고선전비</t>
    <phoneticPr fontId="15" type="noConversion"/>
  </si>
  <si>
    <t>교육훈련비</t>
    <phoneticPr fontId="15" type="noConversion"/>
  </si>
  <si>
    <t>포상비</t>
    <phoneticPr fontId="15" type="noConversion"/>
  </si>
  <si>
    <t>등기소송비</t>
    <phoneticPr fontId="15" type="noConversion"/>
  </si>
  <si>
    <t>협회비</t>
    <phoneticPr fontId="15" type="noConversion"/>
  </si>
  <si>
    <t>피해보상비</t>
    <phoneticPr fontId="15" type="noConversion"/>
  </si>
  <si>
    <t>잡비</t>
    <phoneticPr fontId="15" type="noConversion"/>
  </si>
  <si>
    <t>Ⅴ.</t>
    <phoneticPr fontId="15" type="noConversion"/>
  </si>
  <si>
    <t>Ⅵ.</t>
    <phoneticPr fontId="15" type="noConversion"/>
  </si>
  <si>
    <t>영업외수익</t>
    <phoneticPr fontId="15" type="noConversion"/>
  </si>
  <si>
    <t>이자수익</t>
    <phoneticPr fontId="15" type="noConversion"/>
  </si>
  <si>
    <t>자산수증이익</t>
    <phoneticPr fontId="15" type="noConversion"/>
  </si>
  <si>
    <t>Ⅶ.</t>
    <phoneticPr fontId="15" type="noConversion"/>
  </si>
  <si>
    <t>영업외비용</t>
    <phoneticPr fontId="15" type="noConversion"/>
  </si>
  <si>
    <t>합계</t>
    <phoneticPr fontId="15" type="noConversion"/>
  </si>
  <si>
    <t>자본금</t>
    <phoneticPr fontId="15" type="noConversion"/>
  </si>
  <si>
    <t xml:space="preserve"> </t>
    <phoneticPr fontId="15" type="noConversion"/>
  </si>
  <si>
    <t>자                          산</t>
    <phoneticPr fontId="15" type="noConversion"/>
  </si>
  <si>
    <t>Ⅰ.</t>
    <phoneticPr fontId="15" type="noConversion"/>
  </si>
  <si>
    <t>(1)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</si>
  <si>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</si>
  <si>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</si>
  <si>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</si>
  <si>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(대손충당금)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</si>
  <si>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</si>
  <si>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</si>
  <si>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</si>
  <si>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예치금</t>
    <phoneticPr fontId="15" type="noConversion"/>
  </si>
  <si>
    <t>(2)</t>
    <phoneticPr fontId="15" type="noConversion"/>
  </si>
  <si>
    <t>재고자산</t>
    <phoneticPr fontId="15" type="noConversion"/>
  </si>
  <si>
    <t>Ⅱ.</t>
    <phoneticPr fontId="15" type="noConversion"/>
  </si>
  <si>
    <t>비유동자산</t>
    <phoneticPr fontId="15" type="noConversion"/>
  </si>
  <si>
    <t>(감가상각누계액)</t>
    <phoneticPr fontId="15" type="noConversion"/>
  </si>
  <si>
    <t>7.</t>
    <phoneticPr fontId="15" type="noConversion"/>
  </si>
  <si>
    <t>8.</t>
    <phoneticPr fontId="15" type="noConversion"/>
  </si>
  <si>
    <t>9.</t>
    <phoneticPr fontId="15" type="noConversion"/>
  </si>
  <si>
    <t>(3)</t>
    <phoneticPr fontId="15" type="noConversion"/>
  </si>
  <si>
    <t>(4)</t>
    <phoneticPr fontId="15" type="noConversion"/>
  </si>
  <si>
    <t>기타비유동자산</t>
    <phoneticPr fontId="15" type="noConversion"/>
  </si>
  <si>
    <t>기타의비유동자산</t>
    <phoneticPr fontId="15" type="noConversion"/>
  </si>
  <si>
    <t>부                          채</t>
    <phoneticPr fontId="15" type="noConversion"/>
  </si>
  <si>
    <t>비유동부채</t>
    <phoneticPr fontId="15" type="noConversion"/>
  </si>
  <si>
    <t>(국민연금전환금)</t>
    <phoneticPr fontId="15" type="noConversion"/>
  </si>
  <si>
    <t>기타비유동부채</t>
    <phoneticPr fontId="15" type="noConversion"/>
  </si>
  <si>
    <t>부채총계</t>
    <phoneticPr fontId="15" type="noConversion"/>
  </si>
  <si>
    <t>자                          본</t>
    <phoneticPr fontId="15" type="noConversion"/>
  </si>
  <si>
    <t>결손금</t>
    <phoneticPr fontId="15" type="noConversion"/>
  </si>
  <si>
    <t>자본총계</t>
    <phoneticPr fontId="15" type="noConversion"/>
  </si>
  <si>
    <t>부채및자본총계</t>
    <phoneticPr fontId="15" type="noConversion"/>
  </si>
  <si>
    <t>2.    손    익    계    산    서</t>
    <phoneticPr fontId="15" type="noConversion"/>
  </si>
  <si>
    <t>선수금</t>
    <phoneticPr fontId="15" type="noConversion"/>
  </si>
  <si>
    <t>1.</t>
    <phoneticPr fontId="15" type="noConversion"/>
  </si>
  <si>
    <t>2.</t>
    <phoneticPr fontId="15" type="noConversion"/>
  </si>
  <si>
    <t>10.</t>
    <phoneticPr fontId="15" type="noConversion"/>
  </si>
  <si>
    <t>5.</t>
    <phoneticPr fontId="15" type="noConversion"/>
  </si>
  <si>
    <t>3.</t>
    <phoneticPr fontId="15" type="noConversion"/>
  </si>
  <si>
    <t>기타의유형자산</t>
    <phoneticPr fontId="15" type="noConversion"/>
  </si>
  <si>
    <t>(감가상각누계액)</t>
    <phoneticPr fontId="15" type="noConversion"/>
  </si>
  <si>
    <t>건설중인자산</t>
    <phoneticPr fontId="15" type="noConversion"/>
  </si>
  <si>
    <t>산업재산권</t>
    <phoneticPr fontId="15" type="noConversion"/>
  </si>
  <si>
    <t>차지권(지상권)</t>
    <phoneticPr fontId="15" type="noConversion"/>
  </si>
  <si>
    <t>기타의무형자산</t>
    <phoneticPr fontId="15" type="noConversion"/>
  </si>
  <si>
    <t>퇴직급여</t>
    <phoneticPr fontId="15" type="noConversion"/>
  </si>
  <si>
    <t>외환차익</t>
    <phoneticPr fontId="15" type="noConversion"/>
  </si>
  <si>
    <t>임대료</t>
    <phoneticPr fontId="15" type="noConversion"/>
  </si>
  <si>
    <t>폐품매각수익</t>
    <phoneticPr fontId="15" type="noConversion"/>
  </si>
  <si>
    <t>수입위약배상금</t>
    <phoneticPr fontId="15" type="noConversion"/>
  </si>
  <si>
    <t>공채상환이익</t>
    <phoneticPr fontId="15" type="noConversion"/>
  </si>
  <si>
    <t>외환차손</t>
    <phoneticPr fontId="15" type="noConversion"/>
  </si>
  <si>
    <t>재고자산폐기손실</t>
    <phoneticPr fontId="15" type="noConversion"/>
  </si>
  <si>
    <t>유형자산폐기손실</t>
    <phoneticPr fontId="15" type="noConversion"/>
  </si>
  <si>
    <t>유형자산손상차손</t>
    <phoneticPr fontId="15" type="noConversion"/>
  </si>
  <si>
    <t>기부금</t>
    <phoneticPr fontId="15" type="noConversion"/>
  </si>
  <si>
    <t>잡손실</t>
    <phoneticPr fontId="15" type="noConversion"/>
  </si>
  <si>
    <t>감가상각비</t>
    <phoneticPr fontId="15" type="noConversion"/>
  </si>
  <si>
    <t>무형자산상각비</t>
    <phoneticPr fontId="15" type="noConversion"/>
  </si>
  <si>
    <t>서울메트로</t>
    <phoneticPr fontId="15" type="noConversion"/>
  </si>
  <si>
    <t>단기투자자산</t>
    <phoneticPr fontId="15" type="noConversion"/>
  </si>
  <si>
    <t>자산총계</t>
    <phoneticPr fontId="15" type="noConversion"/>
  </si>
  <si>
    <t>1.   재   무   상   태   표</t>
    <phoneticPr fontId="15" type="noConversion"/>
  </si>
  <si>
    <t>(단위 : 원)</t>
    <phoneticPr fontId="15" type="noConversion"/>
  </si>
  <si>
    <t>자본금</t>
    <phoneticPr fontId="15" type="noConversion"/>
  </si>
  <si>
    <t>총    계</t>
    <phoneticPr fontId="15" type="noConversion"/>
  </si>
  <si>
    <t>2.</t>
    <phoneticPr fontId="15" type="noConversion"/>
  </si>
  <si>
    <t>3.</t>
    <phoneticPr fontId="15" type="noConversion"/>
  </si>
  <si>
    <t>미처리결손금</t>
    <phoneticPr fontId="15" type="noConversion"/>
  </si>
  <si>
    <t xml:space="preserve"> 서울메트로</t>
    <phoneticPr fontId="15" type="noConversion"/>
  </si>
  <si>
    <t>현금및현금성자산</t>
    <phoneticPr fontId="15" type="noConversion"/>
  </si>
  <si>
    <t>매출채권</t>
    <phoneticPr fontId="15" type="noConversion"/>
  </si>
  <si>
    <t>단기대여금</t>
    <phoneticPr fontId="15" type="noConversion"/>
  </si>
  <si>
    <t>미수금</t>
    <phoneticPr fontId="15" type="noConversion"/>
  </si>
  <si>
    <t>장기대여금</t>
    <phoneticPr fontId="15" type="noConversion"/>
  </si>
  <si>
    <t>지분법적용투자주식</t>
    <phoneticPr fontId="15" type="noConversion"/>
  </si>
  <si>
    <t>유형자산</t>
    <phoneticPr fontId="15" type="noConversion"/>
  </si>
  <si>
    <t>무형자산</t>
    <phoneticPr fontId="15" type="noConversion"/>
  </si>
  <si>
    <t>미지급금</t>
    <phoneticPr fontId="15" type="noConversion"/>
  </si>
  <si>
    <t>미지급비용</t>
    <phoneticPr fontId="15" type="noConversion"/>
  </si>
  <si>
    <t>유동성장기부채</t>
    <phoneticPr fontId="15" type="noConversion"/>
  </si>
  <si>
    <t>예수보증금</t>
    <phoneticPr fontId="15" type="noConversion"/>
  </si>
  <si>
    <t>공채</t>
    <phoneticPr fontId="15" type="noConversion"/>
  </si>
  <si>
    <t>퇴직급여충당부채</t>
    <phoneticPr fontId="15" type="noConversion"/>
  </si>
  <si>
    <t>자본금　　　　　　　　　　　　　　</t>
    <phoneticPr fontId="15" type="noConversion"/>
  </si>
  <si>
    <t>매출액</t>
    <phoneticPr fontId="15" type="noConversion"/>
  </si>
  <si>
    <t>매출원가</t>
    <phoneticPr fontId="15" type="noConversion"/>
  </si>
  <si>
    <t>잡이익</t>
    <phoneticPr fontId="15" type="noConversion"/>
  </si>
  <si>
    <t>이자비용</t>
    <phoneticPr fontId="15" type="noConversion"/>
  </si>
  <si>
    <t>법인세비용</t>
    <phoneticPr fontId="15" type="noConversion"/>
  </si>
  <si>
    <t>저장품</t>
    <phoneticPr fontId="15" type="noConversion"/>
  </si>
  <si>
    <t>이익잉여금</t>
    <phoneticPr fontId="15" type="noConversion"/>
  </si>
  <si>
    <t>무형자산손상차손</t>
    <phoneticPr fontId="15" type="noConversion"/>
  </si>
  <si>
    <t>장기차입금</t>
    <phoneticPr fontId="15" type="noConversion"/>
  </si>
  <si>
    <t>1.</t>
    <phoneticPr fontId="15" type="noConversion"/>
  </si>
  <si>
    <t>예수부가세</t>
    <phoneticPr fontId="15" type="noConversion"/>
  </si>
  <si>
    <t>과        목</t>
    <phoneticPr fontId="15" type="noConversion"/>
  </si>
  <si>
    <t xml:space="preserve"> </t>
    <phoneticPr fontId="15" type="noConversion"/>
  </si>
  <si>
    <t>6</t>
    <phoneticPr fontId="15" type="noConversion"/>
  </si>
  <si>
    <t>7</t>
  </si>
  <si>
    <t>8</t>
  </si>
  <si>
    <t>9</t>
  </si>
  <si>
    <t>10</t>
  </si>
  <si>
    <t>미수수익</t>
    <phoneticPr fontId="15" type="noConversion"/>
  </si>
  <si>
    <t>1.</t>
    <phoneticPr fontId="15" type="noConversion"/>
  </si>
  <si>
    <t>매출총이익</t>
    <phoneticPr fontId="15" type="noConversion"/>
  </si>
  <si>
    <t>기타유동부채</t>
    <phoneticPr fontId="15" type="noConversion"/>
  </si>
  <si>
    <t>당기순손익</t>
    <phoneticPr fontId="15" type="noConversion"/>
  </si>
  <si>
    <t>서울메트로</t>
  </si>
  <si>
    <t>(단위:원)</t>
  </si>
  <si>
    <t>과목</t>
  </si>
  <si>
    <t>Ⅰ.영업활동으로인한현금흐름</t>
  </si>
  <si>
    <t>1.당기순손실</t>
  </si>
  <si>
    <t>2.현금의유출이없는비용등의가산</t>
  </si>
  <si>
    <t>퇴직급여</t>
  </si>
  <si>
    <t>감가상각비</t>
  </si>
  <si>
    <t>무형자산상각비</t>
  </si>
  <si>
    <t>재고자산평가손실</t>
  </si>
  <si>
    <t>3.현금의유입이없는수익등의차감</t>
  </si>
  <si>
    <t> 4.영업활동으로인한자산부채의변동</t>
  </si>
  <si>
    <t>Ⅱ.투자활동으로인한현금흐름</t>
  </si>
  <si>
    <t>1.투자활동으로인한현금유입액</t>
  </si>
  <si>
    <t> 2.투자활동으로인한현금유출액</t>
  </si>
  <si>
    <t>Ⅲ.재무활동으로인한현금흐름</t>
  </si>
  <si>
    <t> 1.재무활동으로인한현금유입액</t>
  </si>
  <si>
    <t> 2.재무활동으로인한현금유출액</t>
  </si>
  <si>
    <t>Ⅳ.현금의증가(감소)(Ⅰ+Ⅱ+Ⅲ)</t>
  </si>
  <si>
    <t>과           목</t>
    <phoneticPr fontId="15" type="noConversion"/>
  </si>
  <si>
    <t>4.   자   본   변   동   표</t>
    <phoneticPr fontId="15" type="noConversion"/>
  </si>
  <si>
    <t>법인세비용차감전순손익</t>
    <phoneticPr fontId="15" type="noConversion"/>
  </si>
  <si>
    <t>영업손익</t>
    <phoneticPr fontId="15" type="noConversion"/>
  </si>
  <si>
    <r>
      <t>9</t>
    </r>
    <r>
      <rPr>
        <sz val="11"/>
        <rFont val="돋움"/>
        <family val="3"/>
        <charset val="129"/>
      </rPr>
      <t>.</t>
    </r>
    <phoneticPr fontId="15" type="noConversion"/>
  </si>
  <si>
    <r>
      <t>10.</t>
    </r>
    <r>
      <rPr>
        <sz val="11"/>
        <rFont val="돋움"/>
        <family val="3"/>
        <charset val="129"/>
      </rPr>
      <t/>
    </r>
  </si>
  <si>
    <r>
      <t>11.</t>
    </r>
    <r>
      <rPr>
        <sz val="11"/>
        <rFont val="돋움"/>
        <family val="3"/>
        <charset val="129"/>
      </rPr>
      <t/>
    </r>
  </si>
  <si>
    <r>
      <t>12.</t>
    </r>
    <r>
      <rPr>
        <sz val="11"/>
        <rFont val="돋움"/>
        <family val="3"/>
        <charset val="129"/>
      </rPr>
      <t/>
    </r>
  </si>
  <si>
    <r>
      <t>13.</t>
    </r>
    <r>
      <rPr>
        <sz val="11"/>
        <rFont val="돋움"/>
        <family val="3"/>
        <charset val="129"/>
      </rPr>
      <t/>
    </r>
  </si>
  <si>
    <r>
      <t>14.</t>
    </r>
    <r>
      <rPr>
        <sz val="11"/>
        <rFont val="돋움"/>
        <family val="3"/>
        <charset val="129"/>
      </rPr>
      <t/>
    </r>
  </si>
  <si>
    <r>
      <t>15.</t>
    </r>
    <r>
      <rPr>
        <sz val="11"/>
        <rFont val="돋움"/>
        <family val="3"/>
        <charset val="129"/>
      </rPr>
      <t/>
    </r>
  </si>
  <si>
    <r>
      <t>16.</t>
    </r>
    <r>
      <rPr>
        <sz val="11"/>
        <rFont val="돋움"/>
        <family val="3"/>
        <charset val="129"/>
      </rPr>
      <t/>
    </r>
  </si>
  <si>
    <r>
      <t>17.</t>
    </r>
    <r>
      <rPr>
        <sz val="11"/>
        <rFont val="돋움"/>
        <family val="3"/>
        <charset val="129"/>
      </rPr>
      <t/>
    </r>
  </si>
  <si>
    <r>
      <t>18.</t>
    </r>
    <r>
      <rPr>
        <sz val="11"/>
        <rFont val="돋움"/>
        <family val="3"/>
        <charset val="129"/>
      </rPr>
      <t/>
    </r>
  </si>
  <si>
    <r>
      <t>19.</t>
    </r>
    <r>
      <rPr>
        <sz val="11"/>
        <rFont val="돋움"/>
        <family val="3"/>
        <charset val="129"/>
      </rPr>
      <t/>
    </r>
  </si>
  <si>
    <r>
      <t>20.</t>
    </r>
    <r>
      <rPr>
        <sz val="11"/>
        <rFont val="돋움"/>
        <family val="3"/>
        <charset val="129"/>
      </rPr>
      <t/>
    </r>
  </si>
  <si>
    <r>
      <t>21.</t>
    </r>
    <r>
      <rPr>
        <sz val="11"/>
        <rFont val="돋움"/>
        <family val="3"/>
        <charset val="129"/>
      </rPr>
      <t/>
    </r>
  </si>
  <si>
    <r>
      <t>22.</t>
    </r>
    <r>
      <rPr>
        <sz val="11"/>
        <rFont val="돋움"/>
        <family val="3"/>
        <charset val="129"/>
      </rPr>
      <t/>
    </r>
  </si>
  <si>
    <r>
      <t>23.</t>
    </r>
    <r>
      <rPr>
        <sz val="11"/>
        <rFont val="돋움"/>
        <family val="3"/>
        <charset val="129"/>
      </rPr>
      <t/>
    </r>
  </si>
  <si>
    <r>
      <t>24.</t>
    </r>
    <r>
      <rPr>
        <sz val="11"/>
        <rFont val="돋움"/>
        <family val="3"/>
        <charset val="129"/>
      </rPr>
      <t/>
    </r>
  </si>
  <si>
    <r>
      <t>25.</t>
    </r>
    <r>
      <rPr>
        <sz val="11"/>
        <rFont val="돋움"/>
        <family val="3"/>
        <charset val="129"/>
      </rPr>
      <t/>
    </r>
  </si>
  <si>
    <r>
      <t>26.</t>
    </r>
    <r>
      <rPr>
        <sz val="11"/>
        <rFont val="돋움"/>
        <family val="3"/>
        <charset val="129"/>
      </rPr>
      <t/>
    </r>
  </si>
  <si>
    <r>
      <t>27.</t>
    </r>
    <r>
      <rPr>
        <sz val="11"/>
        <rFont val="돋움"/>
        <family val="3"/>
        <charset val="129"/>
      </rPr>
      <t/>
    </r>
  </si>
  <si>
    <r>
      <t>28.</t>
    </r>
    <r>
      <rPr>
        <sz val="11"/>
        <rFont val="돋움"/>
        <family val="3"/>
        <charset val="129"/>
      </rPr>
      <t/>
    </r>
  </si>
  <si>
    <t>3. 현 금 흐 름 표</t>
    <phoneticPr fontId="15" type="noConversion"/>
  </si>
  <si>
    <t>전기오류수정이익</t>
    <phoneticPr fontId="15" type="noConversion"/>
  </si>
  <si>
    <t>당기법인세자산</t>
    <phoneticPr fontId="15" type="noConversion"/>
  </si>
  <si>
    <t>1.</t>
    <phoneticPr fontId="15" type="noConversion"/>
  </si>
  <si>
    <t>운수사업수익</t>
    <phoneticPr fontId="15" type="noConversion"/>
  </si>
  <si>
    <t>지급임차료</t>
    <phoneticPr fontId="15" type="noConversion"/>
  </si>
  <si>
    <t>경상연구비</t>
    <phoneticPr fontId="15" type="noConversion"/>
  </si>
  <si>
    <t>Ⅴ.기초의현금및현금성자산</t>
    <phoneticPr fontId="15" type="noConversion"/>
  </si>
  <si>
    <t>Ⅵ.기말의현금및현금성자산</t>
    <phoneticPr fontId="15" type="noConversion"/>
  </si>
  <si>
    <t> </t>
  </si>
  <si>
    <t>　</t>
  </si>
  <si>
    <t>피복비</t>
  </si>
  <si>
    <t>유형자산처분이익</t>
    <phoneticPr fontId="15" type="noConversion"/>
  </si>
  <si>
    <t>유형자산처분손실</t>
    <phoneticPr fontId="15" type="noConversion"/>
  </si>
  <si>
    <t>급여</t>
  </si>
  <si>
    <t>복리후생비</t>
  </si>
  <si>
    <t>여비교통비</t>
  </si>
  <si>
    <t>통신비</t>
  </si>
  <si>
    <t>수도광열비</t>
  </si>
  <si>
    <t>세금과공과</t>
  </si>
  <si>
    <t>소모품비</t>
  </si>
  <si>
    <t>도서인쇄비</t>
  </si>
  <si>
    <t>임차료</t>
  </si>
  <si>
    <t>수선유지비</t>
  </si>
  <si>
    <t>차량유지비</t>
  </si>
  <si>
    <t>보험료</t>
  </si>
  <si>
    <t>지급수수료</t>
  </si>
  <si>
    <t>운반및보관료</t>
  </si>
  <si>
    <t>광고선전비</t>
  </si>
  <si>
    <t>교육훈련비</t>
  </si>
  <si>
    <t>포상비</t>
  </si>
  <si>
    <t>협회비</t>
  </si>
  <si>
    <t>피해보상비</t>
  </si>
  <si>
    <t>경상연구비</t>
  </si>
  <si>
    <t>재료비기타</t>
  </si>
  <si>
    <t>잡비</t>
  </si>
  <si>
    <t>가. 퇴직급여</t>
  </si>
  <si>
    <t>가. 유형자산처분이익</t>
  </si>
  <si>
    <t>나. 자산수증이익</t>
  </si>
  <si>
    <t>다. 폐품매각수익</t>
  </si>
  <si>
    <t>라. 공채상환이익</t>
  </si>
  <si>
    <t>아. 저장품의 감소(증가)</t>
  </si>
  <si>
    <t>더. 장기성매입채무의 감소</t>
  </si>
  <si>
    <t>러. 퇴직금의 지급</t>
  </si>
  <si>
    <t>머. 국민연금전환금의 감소</t>
  </si>
  <si>
    <t>가. 단기투자자산의 감소</t>
  </si>
  <si>
    <t>나. 단기대여금의 감소</t>
  </si>
  <si>
    <t>다. 예치금의 감소</t>
  </si>
  <si>
    <t>나. 예치금의 증가</t>
  </si>
  <si>
    <t>다. 장기대여금의 증가</t>
  </si>
  <si>
    <t>2010.01.01(보고금액)</t>
  </si>
  <si>
    <t>1. 당기순손실</t>
  </si>
  <si>
    <t>2010.12.31</t>
  </si>
  <si>
    <t>제29기 2009년 12월 31일 현재</t>
    <phoneticPr fontId="15" type="noConversion"/>
  </si>
  <si>
    <t>제29기 2009년 1월1일부터 12월 31일까지</t>
    <phoneticPr fontId="15" type="noConversion"/>
  </si>
  <si>
    <t>제29기 2009년1월1일부터 2009년12월31일까지</t>
    <phoneticPr fontId="15" type="noConversion"/>
  </si>
  <si>
    <t>5.</t>
    <phoneticPr fontId="15" type="noConversion"/>
  </si>
  <si>
    <t>장기성매입채무</t>
    <phoneticPr fontId="15" type="noConversion"/>
  </si>
  <si>
    <t>(현재가치할인차금)</t>
    <phoneticPr fontId="15" type="noConversion"/>
  </si>
  <si>
    <t>업무추진비</t>
    <phoneticPr fontId="15" type="noConversion"/>
  </si>
  <si>
    <t>나. 미수금의 증가</t>
  </si>
  <si>
    <t>다. 미수수익의 감소</t>
  </si>
  <si>
    <t>카. 선수금의 감소</t>
  </si>
  <si>
    <t>파. 미지급비용의 감소</t>
  </si>
  <si>
    <t>거. 선수수익의 감소</t>
  </si>
  <si>
    <t>너. 예수보증금의 증가(감소)</t>
  </si>
  <si>
    <t>라. 지분법적용투자주식의 취득</t>
  </si>
  <si>
    <t>파. 건설중인자산의 증가</t>
  </si>
  <si>
    <t>하. 산업재산권의 증가</t>
  </si>
  <si>
    <t>거. 차지권의 증가</t>
  </si>
  <si>
    <t>너. 기타의무형자산의 증가</t>
  </si>
  <si>
    <t>더. 보증금의 증가</t>
  </si>
  <si>
    <t>가. 공채의 발행</t>
  </si>
  <si>
    <t>다. 유상증자</t>
  </si>
  <si>
    <t>가. 미지급금의 감소</t>
  </si>
  <si>
    <t>2009.01.01(보고금액)</t>
  </si>
  <si>
    <t>2. 유상증자</t>
  </si>
  <si>
    <t>2009.12.31</t>
  </si>
  <si>
    <t>제28기 2008년 12월 31일 현재</t>
    <phoneticPr fontId="15" type="noConversion"/>
  </si>
  <si>
    <t>제29(당)기</t>
    <phoneticPr fontId="15" type="noConversion"/>
  </si>
  <si>
    <t>제28(전)기</t>
    <phoneticPr fontId="15" type="noConversion"/>
  </si>
  <si>
    <t>제28기 2008년 1월1일부터 12월 31일까지</t>
    <phoneticPr fontId="15" type="noConversion"/>
  </si>
  <si>
    <t>제28기 2008년1월1일부터 2008년12월31일까지</t>
    <phoneticPr fontId="15" type="noConversion"/>
  </si>
  <si>
    <t xml:space="preserve">제29(당)기 </t>
    <phoneticPr fontId="15" type="noConversion"/>
  </si>
  <si>
    <t>- </t>
  </si>
  <si>
    <t>재고자산감모손실</t>
    <phoneticPr fontId="15" type="noConversion"/>
  </si>
  <si>
    <t>전기오류수정손실</t>
    <phoneticPr fontId="15" type="noConversion"/>
  </si>
  <si>
    <t>라. 이자비용(할인차금상각)</t>
  </si>
  <si>
    <t>나. 감가상각비</t>
  </si>
  <si>
    <t>다. 무형자산상각비</t>
  </si>
  <si>
    <t>마. 재고자산평가손실</t>
  </si>
  <si>
    <t>바. 재고자산폐기손실</t>
  </si>
  <si>
    <t>사. 재고자산감모손실</t>
  </si>
  <si>
    <t>아. 유형자산처분손실</t>
  </si>
  <si>
    <t>자. 유형자산폐기손실</t>
  </si>
  <si>
    <t>차. 유형자산손상차손</t>
  </si>
  <si>
    <t>카. 무형자산손상차손</t>
  </si>
  <si>
    <t>타. 전기오류수정손실</t>
  </si>
  <si>
    <t>마. 전기오류수정이익</t>
  </si>
  <si>
    <t>라. 선급금의 증가</t>
  </si>
  <si>
    <t>바. 부가세대급금의 감소(증가)</t>
  </si>
  <si>
    <t>사. 선급법인세의 감소(증가)</t>
  </si>
  <si>
    <t>하. 예수부가세의 증가(감소)</t>
  </si>
  <si>
    <t>마. 선급비용의 감소(증가)</t>
  </si>
  <si>
    <t>가. 매출채권의 감소(증가)</t>
  </si>
  <si>
    <t>자. 미착품의 감소(증가)</t>
  </si>
  <si>
    <t>차. 미지급금의 증가(감소)</t>
  </si>
  <si>
    <t>타. 예수금의 증가(감소)</t>
  </si>
  <si>
    <t>사. 기타의비유동자산의처분</t>
  </si>
  <si>
    <t>마. 토지의 처분</t>
  </si>
  <si>
    <t>바. 보증금의 감소</t>
  </si>
  <si>
    <t>라. 장기대여금의 회수</t>
  </si>
  <si>
    <t>마. 건물의 취득</t>
  </si>
  <si>
    <t>바. 기계장치의 취득</t>
  </si>
  <si>
    <t>사. 선로설비의 취득</t>
  </si>
  <si>
    <t>아. 전로설비의 취득</t>
  </si>
  <si>
    <t>자. 전동차량의 취득</t>
  </si>
  <si>
    <t>가. 단기금융상품의 증가</t>
  </si>
  <si>
    <t>카. 공기구비품의 취득</t>
  </si>
  <si>
    <t>차. 자동차운반구의 취득</t>
  </si>
  <si>
    <t>타. 기타의 유형자산의증가</t>
  </si>
  <si>
    <t>나. 기타비유동부채의증가</t>
  </si>
  <si>
    <t>다. 기타비유동부채의 감소</t>
  </si>
  <si>
    <t>나. 유동성장기부채의상환</t>
  </si>
  <si>
    <t>러. 기타의비유동자산의증가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</si>
</sst>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5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##,###\ ;\(###,###\)\ ;\-\ "/>
    <numFmt numFmtId="177" formatCode="#,##0;&quot;△&quot;#,##0"/>
    <numFmt numFmtId="178" formatCode="_ * #,##0_ ;_ * \(#,##0\)_ ;_ * &quot;-&quot;_ ;_ @_ "/>
    <numFmt numFmtId="179" formatCode="#,##0\ ;\(#,##0\)"/>
    <numFmt numFmtId="180" formatCode="\(#,##0\);\(\-#,##0\)"/>
    <numFmt numFmtId="181" formatCode="_(&quot;$&quot;* #,##0.00_);_(&quot;$&quot;* \(#,##0.00\);_(&quot;$&quot;* &quot;-&quot;??_);_(@_)"/>
    <numFmt numFmtId="182" formatCode="#,##0_);[Red]\(#,##0\)"/>
    <numFmt numFmtId="183" formatCode="_(* #,##0_);_(* \(#,##0\);_(* &quot;-&quot;_);_(@_)"/>
    <numFmt numFmtId="184" formatCode="0.000"/>
    <numFmt numFmtId="185" formatCode="_ * #,##0_ ;_ * \-#,##0_ ;_ * &quot;-&quot;_ ;_ @_ "/>
    <numFmt numFmtId="186" formatCode="_(* #,##0_);_(* \(#,##0\);_(* &quot;-&quot;??_);_(@_)"/>
    <numFmt numFmtId="187" formatCode="_ * #,##0.0_ ;_ * \-#,##0.0_ ;_ * &quot;-&quot;_ ;_ @_ "/>
    <numFmt numFmtId="188" formatCode="&quot;(&quot;0&quot;)&quot;"/>
    <numFmt numFmtId="189" formatCode="&quot;₩&quot;#,##0.00;&quot;₩&quot;\-#,##0.00"/>
    <numFmt numFmtId="190" formatCode="&quot;111-&quot;@"/>
    <numFmt numFmtId="191" formatCode="#."/>
    <numFmt numFmtId="192" formatCode="&quot;₩&quot;&quot;₩&quot;\$#,##0.00_);&quot;₩&quot;&quot;₩&quot;\(&quot;₩&quot;&quot;₩&quot;\$#,##0.00&quot;₩&quot;&quot;₩&quot;\)"/>
    <numFmt numFmtId="193" formatCode="_ * #,##0.00_ ;_ * \-#,##0.00_ ;_ * &quot;-&quot;??_ ;_ @_ "/>
    <numFmt numFmtId="194" formatCode="_(* #,##0.00_);_(* &quot;₩&quot;&quot;₩&quot;\(#,##0.00&quot;₩&quot;&quot;₩&quot;\);_(* &quot;-&quot;??_);_(@_)"/>
    <numFmt numFmtId="195" formatCode="&quot;$&quot;#,##0_);[Red]\(&quot;$&quot;#,##0\)"/>
    <numFmt numFmtId="196" formatCode="#,##0;[Red]&quot;-&quot;#,##0"/>
    <numFmt numFmtId="197" formatCode="&quot;₩&quot;#,##0;&quot;₩&quot;\-#,##0"/>
    <numFmt numFmtId="198" formatCode="0.0%\ \ \ \ "/>
    <numFmt numFmtId="199" formatCode="_ &quot;₩&quot;* #,##0.00_ ;_ &quot;₩&quot;* \-#,##0.00_ ;_ &quot;₩&quot;* &quot;-&quot;??_ ;_ @_ "/>
    <numFmt numFmtId="200" formatCode="&quot;₩&quot;#,##0;[Red]&quot;₩&quot;\-#,##0"/>
    <numFmt numFmtId="201" formatCode="&quot;$&quot;#,##0"/>
    <numFmt numFmtId="202" formatCode="_ &quot;₩&quot;* #,##0_ ;_ &quot;₩&quot;* &quot;₩&quot;&quot;₩&quot;&quot;₩&quot;&quot;₩&quot;\-#,##0_ ;_ &quot;₩&quot;* &quot;-&quot;_ ;_ @_ "/>
    <numFmt numFmtId="203" formatCode="0.0%;&quot;₩&quot;&quot;₩&quot;&quot;₩&quot;&quot;₩&quot;&quot;₩&quot;&quot;₩&quot;&quot;₩&quot;&quot;₩&quot;\(0.0%&quot;₩&quot;&quot;₩&quot;&quot;₩&quot;&quot;₩&quot;&quot;₩&quot;&quot;₩&quot;&quot;₩&quot;&quot;₩&quot;\)"/>
    <numFmt numFmtId="204" formatCode="_ &quot;₩&quot;* #,##0.00_ ;_ &quot;₩&quot;* &quot;₩&quot;&quot;₩&quot;&quot;₩&quot;&quot;₩&quot;\-#,##0.00_ ;_ &quot;₩&quot;* &quot;-&quot;??_ ;_ @_ "/>
    <numFmt numFmtId="205" formatCode="_ &quot;₩&quot;* #,##0_ ;_ &quot;₩&quot;* \-#,##0_ ;_ &quot;₩&quot;* &quot;-&quot;_ ;_ @_ "/>
    <numFmt numFmtId="206" formatCode="_ * #,##0_ ;_ * &quot;₩&quot;&quot;₩&quot;&quot;₩&quot;&quot;₩&quot;\-#,##0_ ;_ * &quot;-&quot;_ ;_ @_ "/>
    <numFmt numFmtId="207" formatCode="General_)"/>
    <numFmt numFmtId="208" formatCode="#,##0_);[Black]\(#,##0\)"/>
    <numFmt numFmtId="209" formatCode="#,##0.00000_);[Red]\(#,##0.00000\)"/>
    <numFmt numFmtId="210" formatCode="_ &quot;$&quot;* #,##0.00_ ;_ &quot;$&quot;* &quot;$&quot;\-#,##0.00_ ;_ &quot;$&quot;* &quot;-&quot;??_ ;_ @_ "/>
    <numFmt numFmtId="211" formatCode="#,##0.0000000_);[Red]\(#,##0.0000000\)"/>
    <numFmt numFmtId="212" formatCode="#,##0.000;[Red]\(#,##0.000\)"/>
    <numFmt numFmtId="213" formatCode="#,##0;\(#,##0\)"/>
    <numFmt numFmtId="214" formatCode="0.0%;\(0.0%\)"/>
    <numFmt numFmtId="215" formatCode="&quot;$&quot;#,##0.00_);\(&quot;$&quot;#,##0.00\)"/>
    <numFmt numFmtId="216" formatCode="m/d/yyyy\ \ h:mm\ AM/PM"/>
    <numFmt numFmtId="217" formatCode="0.00_);[Red]\(0.00\)"/>
    <numFmt numFmtId="218" formatCode="_ * #,##0_ ;_ * &quot;$&quot;\-#,##0_ ;_ * &quot;-&quot;_ ;_ @_ "/>
    <numFmt numFmtId="219" formatCode="&quot;SFr.&quot;#,##0;&quot;SFr.&quot;\-#,##0"/>
    <numFmt numFmtId="220" formatCode="_-[$€-2]* #,##0.00_-;\-[$€-2]* #,##0.00_-;_-[$€-2]* &quot;-&quot;??_-"/>
    <numFmt numFmtId="221" formatCode="0.0%"/>
    <numFmt numFmtId="222" formatCode="_(&quot;$&quot;* #,##0_);_(&quot;$&quot;* \(#,##0\);_(&quot;$&quot;* &quot;-&quot;_);_(@_)"/>
    <numFmt numFmtId="223" formatCode="mm/yyyy"/>
    <numFmt numFmtId="224" formatCode="_ * #,##0_ ;_ * &quot;$&quot;&quot;$&quot;&quot;$&quot;\-#,##0_ ;_ * &quot;-&quot;_ ;_ @_ "/>
    <numFmt numFmtId="225" formatCode="_ * #,##0.00_ ;_ * &quot;$&quot;&quot;$&quot;&quot;$&quot;\-#,##0.00_ ;_ * &quot;-&quot;??_ ;_ @_ "/>
    <numFmt numFmtId="226" formatCode="#,##0&quot;?_);[Red]\(#,##0&quot;&quot;?&quot;\)"/>
    <numFmt numFmtId="227" formatCode="#,##0.00&quot;?_);\(#,##0.00&quot;&quot;?&quot;\)"/>
    <numFmt numFmtId="228" formatCode="[&lt;=9999999]###\-####;\(###\)\ ###\-####"/>
    <numFmt numFmtId="229" formatCode="0%_);\(0%\)"/>
    <numFmt numFmtId="230" formatCode="#,##0.00000000_);[Red]\(#,##0.00000000\)"/>
    <numFmt numFmtId="231" formatCode="s\t\a\nd\a\rd"/>
    <numFmt numFmtId="232" formatCode="_(* #,##0.000_);_(* \(#,##0.000\);_(* &quot;-&quot;??_);_(@_)"/>
    <numFmt numFmtId="233" formatCode="&quot;약&quot;\$#,##0."/>
    <numFmt numFmtId="234" formatCode="0.000_);[Red]\(0.000\)"/>
  </numFmts>
  <fonts count="1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명조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4"/>
      <name val="굴림체"/>
      <family val="3"/>
      <charset val="129"/>
    </font>
    <font>
      <b/>
      <sz val="16"/>
      <name val="굴림체"/>
      <family val="3"/>
      <charset val="129"/>
    </font>
    <font>
      <sz val="11"/>
      <name val="Arial"/>
      <family val="2"/>
    </font>
    <font>
      <sz val="10"/>
      <name val="돋움"/>
      <family val="3"/>
      <charset val="129"/>
    </font>
    <font>
      <sz val="16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0"/>
      <color indexed="10"/>
      <name val="돋움"/>
      <family val="3"/>
      <charset val="129"/>
    </font>
    <font>
      <b/>
      <sz val="16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2"/>
      <name val="????"/>
      <family val="2"/>
    </font>
    <font>
      <sz val="12"/>
      <name val="바탕체"/>
      <family val="1"/>
      <charset val="129"/>
    </font>
    <font>
      <sz val="12"/>
      <name val="?¡§u￠R?¡§I"/>
      <family val="3"/>
      <charset val="129"/>
    </font>
    <font>
      <sz val="10"/>
      <name val="Helv"/>
      <family val="2"/>
    </font>
    <font>
      <sz val="10"/>
      <name val="MS Sans Serif"/>
      <family val="2"/>
    </font>
    <font>
      <sz val="14"/>
      <name val="?¡§u￠R?¡§I"/>
      <family val="3"/>
      <charset val="129"/>
    </font>
    <font>
      <sz val="11"/>
      <name val="￥i￠￢￠?o"/>
      <family val="3"/>
      <charset val="129"/>
    </font>
    <font>
      <sz val="12"/>
      <name val="ⓒoUAAA¨u"/>
      <family val="1"/>
      <charset val="129"/>
    </font>
    <font>
      <sz val="14"/>
      <name val="바탕체"/>
      <family val="1"/>
      <charset val="129"/>
    </font>
    <font>
      <sz val="11"/>
      <color indexed="8"/>
      <name val="맑은 고딕"/>
      <family val="3"/>
      <charset val="129"/>
    </font>
    <font>
      <i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μ¸¿o"/>
      <family val="3"/>
      <charset val="129"/>
    </font>
    <font>
      <sz val="11"/>
      <name val="굃굍 뼻뮝"/>
      <family val="3"/>
      <charset val="129"/>
    </font>
    <font>
      <sz val="1"/>
      <color indexed="0"/>
      <name val="Courier"/>
      <family val="3"/>
    </font>
    <font>
      <sz val="12"/>
      <name val="Times New Roman"/>
      <family val="1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Times New Roman"/>
      <family val="1"/>
    </font>
    <font>
      <sz val="11"/>
      <name val="¥ì¢¬¢¯o"/>
      <family val="3"/>
    </font>
    <font>
      <sz val="11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新細明體"/>
      <family val="1"/>
      <charset val="255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Helv"/>
      <family val="2"/>
    </font>
    <font>
      <sz val="9"/>
      <name val="Tahoma"/>
      <family val="2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µ¸¿ò"/>
      <family val="3"/>
    </font>
    <font>
      <sz val="12"/>
      <name val="¹UAAA¼"/>
      <family val="1"/>
      <charset val="129"/>
    </font>
    <font>
      <b/>
      <sz val="16"/>
      <name val="Arial"/>
      <family val="2"/>
    </font>
    <font>
      <b/>
      <sz val="20"/>
      <name val="Arial"/>
      <family val="2"/>
    </font>
    <font>
      <sz val="10"/>
      <name val="µ¸¿òÃ¼"/>
      <family val="3"/>
    </font>
    <font>
      <u/>
      <sz val="10"/>
      <color indexed="20"/>
      <name val="Arial"/>
      <family val="2"/>
    </font>
    <font>
      <sz val="12"/>
      <name val="Tms Rmn"/>
      <family val="1"/>
    </font>
    <font>
      <b/>
      <sz val="10"/>
      <name val="MS Sans Serif"/>
      <family val="2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  <charset val="129"/>
    </font>
    <font>
      <sz val="9"/>
      <name val="Times New Roman"/>
      <family val="1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6"/>
      <name val="MS Serif"/>
      <family val="1"/>
    </font>
    <font>
      <u/>
      <sz val="7.5"/>
      <color indexed="36"/>
      <name val="Arial"/>
      <family val="2"/>
    </font>
    <font>
      <b/>
      <sz val="11"/>
      <name val="Arial"/>
      <family val="2"/>
    </font>
    <font>
      <u/>
      <sz val="13"/>
      <name val="Arial"/>
      <family val="2"/>
    </font>
    <font>
      <i/>
      <u/>
      <sz val="12"/>
      <name val="Arial"/>
      <family val="2"/>
    </font>
    <font>
      <u/>
      <sz val="12"/>
      <name val="Arial"/>
      <family val="2"/>
    </font>
    <font>
      <i/>
      <u/>
      <sz val="11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  <font>
      <i/>
      <u/>
      <sz val="9"/>
      <name val="Arial"/>
      <family val="2"/>
    </font>
    <font>
      <u/>
      <sz val="9"/>
      <name val="Arial"/>
      <family val="2"/>
    </font>
    <font>
      <b/>
      <sz val="12"/>
      <name val="Tms Rm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u/>
      <sz val="18"/>
      <name val="Times New Roman"/>
      <family val="1"/>
    </font>
    <font>
      <sz val="18"/>
      <name val="Times New Roman"/>
      <family val="1"/>
    </font>
    <font>
      <sz val="8"/>
      <name val="Univers (WN)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family val="2"/>
    </font>
    <font>
      <sz val="12"/>
      <name val="Arial MT"/>
      <family val="2"/>
    </font>
    <font>
      <b/>
      <u/>
      <sz val="10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26"/>
      <name val="Times New Roman"/>
      <family val="1"/>
    </font>
    <font>
      <sz val="13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1"/>
      <color indexed="12"/>
      <name val="Times New Roman"/>
      <family val="1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33"/>
        <bgColor indexed="64"/>
      </patternFill>
    </fill>
    <fill>
      <patternFill patternType="solid">
        <fgColor indexed="55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190">
    <xf numFmtId="0" fontId="0" fillId="0" borderId="0"/>
    <xf numFmtId="0" fontId="14" fillId="0" borderId="0" applyFill="0" applyBorder="0" applyAlignment="0"/>
    <xf numFmtId="0" fontId="21" fillId="0" borderId="0"/>
    <xf numFmtId="38" fontId="22" fillId="2" borderId="0" applyNumberFormat="0" applyBorder="0" applyAlignment="0" applyProtection="0"/>
    <xf numFmtId="0" fontId="23" fillId="0" borderId="0">
      <alignment horizontal="left"/>
    </xf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10" fontId="22" fillId="2" borderId="3" applyNumberFormat="0" applyBorder="0" applyAlignment="0" applyProtection="0"/>
    <xf numFmtId="0" fontId="25" fillId="0" borderId="4"/>
    <xf numFmtId="0" fontId="14" fillId="0" borderId="0"/>
    <xf numFmtId="10" fontId="16" fillId="0" borderId="0" applyFont="0" applyFill="0" applyBorder="0" applyAlignment="0" applyProtection="0"/>
    <xf numFmtId="0" fontId="25" fillId="0" borderId="0"/>
    <xf numFmtId="177" fontId="16" fillId="0" borderId="3">
      <alignment horizontal="right" vertical="center" shrinkToFit="1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20" fillId="0" borderId="5"/>
    <xf numFmtId="181" fontId="14" fillId="0" borderId="0" applyFont="0" applyFill="0" applyBorder="0" applyAlignment="0" applyProtection="0"/>
    <xf numFmtId="0" fontId="14" fillId="0" borderId="0">
      <alignment vertical="center"/>
    </xf>
    <xf numFmtId="0" fontId="16" fillId="0" borderId="0"/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42" applyNumberFormat="0" applyFont="0" applyAlignment="0" applyProtection="0">
      <alignment vertical="center"/>
    </xf>
    <xf numFmtId="0" fontId="12" fillId="0" borderId="0">
      <alignment vertical="center"/>
    </xf>
    <xf numFmtId="0" fontId="12" fillId="9" borderId="4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42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/>
    <xf numFmtId="0" fontId="14" fillId="0" borderId="0"/>
    <xf numFmtId="0" fontId="7" fillId="9" borderId="4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4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4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41" fontId="6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220" fontId="14" fillId="0" borderId="0">
      <alignment vertical="center"/>
    </xf>
    <xf numFmtId="220" fontId="64" fillId="0" borderId="0"/>
    <xf numFmtId="186" fontId="29" fillId="36" borderId="0" applyFont="0" applyFill="0" applyBorder="0" applyAlignment="0" applyProtection="0">
      <alignment horizontal="center"/>
    </xf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66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220" fontId="67" fillId="0" borderId="0"/>
    <xf numFmtId="220" fontId="67" fillId="0" borderId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38" fontId="68" fillId="0" borderId="0" applyFont="0" applyFill="0" applyBorder="0" applyAlignment="0" applyProtection="0"/>
    <xf numFmtId="220" fontId="16" fillId="0" borderId="0"/>
    <xf numFmtId="38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9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1" fillId="0" borderId="0" applyFont="0" applyFill="0" applyBorder="0" applyAlignment="0" applyProtection="0"/>
    <xf numFmtId="220" fontId="109" fillId="0" borderId="0"/>
    <xf numFmtId="220" fontId="72" fillId="0" borderId="0" applyFont="0"/>
    <xf numFmtId="220" fontId="65" fillId="0" borderId="0"/>
    <xf numFmtId="187" fontId="14" fillId="0" borderId="0" applyFont="0" applyFill="0" applyBorder="0" applyAlignment="0" applyProtection="0"/>
    <xf numFmtId="220" fontId="73" fillId="37" borderId="0" applyNumberFormat="0" applyBorder="0" applyAlignment="0" applyProtection="0">
      <alignment vertical="center"/>
    </xf>
    <xf numFmtId="220" fontId="73" fillId="38" borderId="0" applyNumberFormat="0" applyBorder="0" applyAlignment="0" applyProtection="0">
      <alignment vertical="center"/>
    </xf>
    <xf numFmtId="220" fontId="73" fillId="39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1" borderId="0" applyNumberFormat="0" applyBorder="0" applyAlignment="0" applyProtection="0">
      <alignment vertical="center"/>
    </xf>
    <xf numFmtId="220" fontId="73" fillId="42" borderId="0" applyNumberFormat="0" applyBorder="0" applyAlignment="0" applyProtection="0">
      <alignment vertical="center"/>
    </xf>
    <xf numFmtId="220" fontId="65" fillId="0" borderId="0"/>
    <xf numFmtId="220" fontId="73" fillId="43" borderId="0" applyNumberFormat="0" applyBorder="0" applyAlignment="0" applyProtection="0">
      <alignment vertical="center"/>
    </xf>
    <xf numFmtId="220" fontId="73" fillId="44" borderId="0" applyNumberFormat="0" applyBorder="0" applyAlignment="0" applyProtection="0">
      <alignment vertical="center"/>
    </xf>
    <xf numFmtId="220" fontId="73" fillId="45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3" borderId="0" applyNumberFormat="0" applyBorder="0" applyAlignment="0" applyProtection="0">
      <alignment vertical="center"/>
    </xf>
    <xf numFmtId="220" fontId="73" fillId="46" borderId="0" applyNumberFormat="0" applyBorder="0" applyAlignment="0" applyProtection="0">
      <alignment vertical="center"/>
    </xf>
    <xf numFmtId="220" fontId="74" fillId="0" borderId="0" applyNumberFormat="0" applyFill="0" applyBorder="0" applyAlignment="0" applyProtection="0"/>
    <xf numFmtId="220" fontId="75" fillId="47" borderId="0" applyNumberFormat="0" applyBorder="0" applyAlignment="0" applyProtection="0">
      <alignment vertical="center"/>
    </xf>
    <xf numFmtId="220" fontId="75" fillId="44" borderId="0" applyNumberFormat="0" applyBorder="0" applyAlignment="0" applyProtection="0">
      <alignment vertical="center"/>
    </xf>
    <xf numFmtId="220" fontId="75" fillId="45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50" borderId="0" applyNumberFormat="0" applyBorder="0" applyAlignment="0" applyProtection="0">
      <alignment vertical="center"/>
    </xf>
    <xf numFmtId="14" fontId="16" fillId="0" borderId="0" applyBorder="0"/>
    <xf numFmtId="14" fontId="113" fillId="0" borderId="0"/>
    <xf numFmtId="14" fontId="113" fillId="0" borderId="0"/>
    <xf numFmtId="14" fontId="113" fillId="0" borderId="0"/>
    <xf numFmtId="14" fontId="113" fillId="0" borderId="0"/>
    <xf numFmtId="14" fontId="16" fillId="0" borderId="0" applyBorder="0"/>
    <xf numFmtId="185" fontId="114" fillId="0" borderId="0" applyFont="0" applyFill="0" applyBorder="0" applyAlignment="0" applyProtection="0"/>
    <xf numFmtId="220" fontId="71" fillId="0" borderId="0" applyFont="0" applyFill="0" applyBorder="0" applyAlignment="0" applyProtection="0"/>
    <xf numFmtId="41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220" fontId="70" fillId="0" borderId="0" applyFont="0" applyFill="0" applyBorder="0" applyAlignment="0" applyProtection="0"/>
    <xf numFmtId="41" fontId="97" fillId="0" borderId="0" applyFont="0" applyFill="0" applyBorder="0" applyAlignment="0" applyProtection="0"/>
    <xf numFmtId="200" fontId="14" fillId="0" borderId="0" applyFont="0" applyFill="0" applyBorder="0" applyAlignment="0" applyProtection="0"/>
    <xf numFmtId="220" fontId="70" fillId="0" borderId="0" applyFont="0" applyFill="0" applyBorder="0" applyAlignment="0" applyProtection="0"/>
    <xf numFmtId="43" fontId="97" fillId="0" borderId="0" applyFont="0" applyFill="0" applyBorder="0" applyAlignment="0" applyProtection="0"/>
    <xf numFmtId="42" fontId="86" fillId="0" borderId="0" applyFont="0" applyFill="0" applyBorder="0" applyAlignment="0" applyProtection="0"/>
    <xf numFmtId="201" fontId="1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2" fontId="96" fillId="0" borderId="0" applyFont="0" applyFill="0" applyBorder="0" applyAlignment="0" applyProtection="0"/>
    <xf numFmtId="44" fontId="86" fillId="0" borderId="0" applyFont="0" applyFill="0" applyBorder="0" applyAlignment="0" applyProtection="0"/>
    <xf numFmtId="203" fontId="14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4" fontId="96" fillId="0" borderId="0" applyFont="0" applyFill="0" applyBorder="0" applyAlignment="0" applyProtection="0"/>
    <xf numFmtId="42" fontId="115" fillId="0" borderId="0" applyFont="0" applyFill="0" applyBorder="0" applyAlignment="0" applyProtection="0"/>
    <xf numFmtId="44" fontId="115" fillId="0" borderId="0" applyFont="0" applyFill="0" applyBorder="0" applyAlignment="0" applyProtection="0"/>
    <xf numFmtId="42" fontId="97" fillId="0" borderId="0" applyFont="0" applyFill="0" applyBorder="0" applyAlignment="0" applyProtection="0"/>
    <xf numFmtId="44" fontId="97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05" fontId="114" fillId="0" borderId="0" applyFont="0" applyFill="0" applyBorder="0" applyAlignment="0" applyProtection="0"/>
    <xf numFmtId="199" fontId="1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8" fillId="0" borderId="0"/>
    <xf numFmtId="220" fontId="118" fillId="51" borderId="0" applyFill="0" applyBorder="0" applyProtection="0"/>
    <xf numFmtId="220" fontId="119" fillId="51" borderId="0" applyNumberFormat="0" applyFill="0" applyBorder="0"/>
    <xf numFmtId="41" fontId="86" fillId="0" borderId="0" applyFont="0" applyFill="0" applyBorder="0" applyAlignment="0" applyProtection="0"/>
    <xf numFmtId="185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6" fontId="96" fillId="0" borderId="0" applyFont="0" applyFill="0" applyBorder="0" applyAlignment="0" applyProtection="0"/>
    <xf numFmtId="43" fontId="86" fillId="0" borderId="0" applyFont="0" applyFill="0" applyBorder="0" applyAlignment="0" applyProtection="0"/>
    <xf numFmtId="193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21" fillId="0" borderId="0" applyNumberFormat="0" applyFill="0" applyBorder="0" applyAlignment="0" applyProtection="0">
      <alignment vertical="top"/>
      <protection locked="0"/>
    </xf>
    <xf numFmtId="220" fontId="122" fillId="0" borderId="0" applyNumberFormat="0" applyFill="0" applyBorder="0" applyAlignment="0" applyProtection="0"/>
    <xf numFmtId="220" fontId="123" fillId="0" borderId="24" applyAlignment="0" applyProtection="0"/>
    <xf numFmtId="220" fontId="115" fillId="0" borderId="0"/>
    <xf numFmtId="220" fontId="71" fillId="0" borderId="0"/>
    <xf numFmtId="220" fontId="97" fillId="0" borderId="0"/>
    <xf numFmtId="220" fontId="70" fillId="0" borderId="0"/>
    <xf numFmtId="220" fontId="97" fillId="0" borderId="0"/>
    <xf numFmtId="220" fontId="70" fillId="0" borderId="0"/>
    <xf numFmtId="220" fontId="124" fillId="0" borderId="0"/>
    <xf numFmtId="220" fontId="125" fillId="0" borderId="0"/>
    <xf numFmtId="220" fontId="120" fillId="0" borderId="0"/>
    <xf numFmtId="220" fontId="126" fillId="0" borderId="0"/>
    <xf numFmtId="37" fontId="127" fillId="0" borderId="0" applyFill="0" applyBorder="0"/>
    <xf numFmtId="37" fontId="16" fillId="0" borderId="0"/>
    <xf numFmtId="220" fontId="14" fillId="0" borderId="0" applyFill="0" applyBorder="0" applyAlignment="0"/>
    <xf numFmtId="207" fontId="128" fillId="0" borderId="0" applyFill="0" applyBorder="0" applyAlignment="0"/>
    <xf numFmtId="184" fontId="128" fillId="0" borderId="0" applyFill="0" applyBorder="0" applyAlignment="0"/>
    <xf numFmtId="208" fontId="16" fillId="0" borderId="0" applyFill="0" applyBorder="0" applyAlignment="0"/>
    <xf numFmtId="209" fontId="16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21" fillId="0" borderId="0"/>
    <xf numFmtId="220" fontId="16" fillId="52" borderId="3">
      <alignment horizontal="center" vertical="center" wrapText="1"/>
    </xf>
    <xf numFmtId="49" fontId="129" fillId="52" borderId="27" applyFill="0" applyBorder="0" applyProtection="0">
      <alignment horizontal="left" vertical="center"/>
    </xf>
    <xf numFmtId="220" fontId="130" fillId="0" borderId="11">
      <alignment horizontal="center"/>
    </xf>
    <xf numFmtId="220" fontId="131" fillId="36" borderId="0" applyNumberFormat="0">
      <alignment horizontal="center"/>
    </xf>
    <xf numFmtId="187" fontId="14" fillId="0" borderId="0" applyFont="0" applyFill="0" applyBorder="0" applyAlignment="0" applyProtection="0"/>
    <xf numFmtId="220" fontId="14" fillId="0" borderId="0">
      <protection locked="0"/>
    </xf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38" fontId="132" fillId="0" borderId="0" applyFont="0" applyFill="0" applyBorder="0" applyAlignment="0" applyProtection="0"/>
    <xf numFmtId="210" fontId="16" fillId="0" borderId="0" applyFont="0" applyFill="0" applyBorder="0" applyAlignment="0" applyProtection="0"/>
    <xf numFmtId="38" fontId="16" fillId="53" borderId="0" applyFont="0" applyFill="0" applyBorder="0" applyAlignment="0" applyProtection="0"/>
    <xf numFmtId="40" fontId="16" fillId="53" borderId="0" applyFont="0" applyFill="0" applyBorder="0" applyAlignment="0" applyProtection="0"/>
    <xf numFmtId="213" fontId="96" fillId="0" borderId="0"/>
    <xf numFmtId="40" fontId="132" fillId="0" borderId="0" applyFont="0" applyFill="0" applyBorder="0" applyAlignment="0" applyProtection="0"/>
    <xf numFmtId="220" fontId="133" fillId="0" borderId="0" applyNumberFormat="0" applyAlignment="0">
      <alignment horizontal="left"/>
    </xf>
    <xf numFmtId="220" fontId="14" fillId="0" borderId="0">
      <protection locked="0"/>
    </xf>
    <xf numFmtId="220" fontId="132" fillId="0" borderId="0" applyFont="0" applyFill="0" applyBorder="0" applyAlignment="0" applyProtection="0"/>
    <xf numFmtId="207" fontId="128" fillId="0" borderId="0" applyFont="0" applyFill="0" applyBorder="0" applyAlignment="0" applyProtection="0"/>
    <xf numFmtId="220" fontId="16" fillId="53" borderId="0" applyFont="0" applyFill="0" applyBorder="0" applyAlignment="0" applyProtection="0"/>
    <xf numFmtId="220" fontId="16" fillId="53" borderId="0" applyFont="0" applyFill="0" applyBorder="0" applyAlignment="0" applyProtection="0"/>
    <xf numFmtId="220" fontId="132" fillId="0" borderId="0" applyFont="0" applyFill="0" applyBorder="0" applyAlignment="0" applyProtection="0"/>
    <xf numFmtId="214" fontId="65" fillId="0" borderId="0"/>
    <xf numFmtId="220" fontId="14" fillId="0" borderId="0" applyFont="0" applyFill="0" applyBorder="0" applyAlignment="0" applyProtection="0"/>
    <xf numFmtId="181" fontId="16" fillId="0" borderId="0" applyBorder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181" fontId="16" fillId="0" borderId="0" applyBorder="0">
      <alignment horizontal="right"/>
    </xf>
    <xf numFmtId="3" fontId="16" fillId="54" borderId="0" applyNumberFormat="0" applyFont="0" applyBorder="0" applyAlignment="0">
      <protection locked="0"/>
    </xf>
    <xf numFmtId="215" fontId="14" fillId="55" borderId="0">
      <alignment horizontal="center"/>
    </xf>
    <xf numFmtId="14" fontId="134" fillId="0" borderId="0" applyFill="0" applyBorder="0" applyAlignment="0"/>
    <xf numFmtId="220" fontId="129" fillId="0" borderId="0" applyProtection="0"/>
    <xf numFmtId="216" fontId="135" fillId="0" borderId="0" applyFill="0" applyProtection="0">
      <alignment vertical="center"/>
    </xf>
    <xf numFmtId="38" fontId="68" fillId="0" borderId="48">
      <alignment vertical="center"/>
    </xf>
    <xf numFmtId="217" fontId="16" fillId="0" borderId="0" applyFont="0" applyFill="0" applyBorder="0" applyAlignment="0" applyProtection="0"/>
    <xf numFmtId="218" fontId="16" fillId="0" borderId="0" applyFont="0" applyFill="0" applyBorder="0" applyAlignment="0" applyProtection="0"/>
    <xf numFmtId="219" fontId="65" fillId="0" borderId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136" fillId="0" borderId="0" applyNumberFormat="0" applyAlignment="0">
      <alignment horizontal="left"/>
    </xf>
    <xf numFmtId="220" fontId="14" fillId="0" borderId="0" applyFont="0" applyFill="0" applyBorder="0" applyAlignment="0" applyProtection="0"/>
    <xf numFmtId="220" fontId="16" fillId="0" borderId="49" applyNumberFormat="0" applyFont="0" applyFill="0" applyAlignment="0" applyProtection="0"/>
    <xf numFmtId="221" fontId="16" fillId="0" borderId="0" applyBorder="0"/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" fontId="129" fillId="0" borderId="0" applyProtection="0"/>
    <xf numFmtId="220" fontId="137" fillId="0" borderId="0" applyNumberFormat="0" applyFill="0" applyBorder="0" applyAlignment="0" applyProtection="0">
      <alignment vertical="top"/>
      <protection locked="0"/>
    </xf>
    <xf numFmtId="220" fontId="65" fillId="0" borderId="0"/>
    <xf numFmtId="220" fontId="138" fillId="0" borderId="0">
      <alignment horizontal="left"/>
    </xf>
    <xf numFmtId="220" fontId="139" fillId="0" borderId="0" applyNumberFormat="0" applyFill="0" applyBorder="0" applyAlignment="0" applyProtection="0">
      <alignment horizontal="left"/>
    </xf>
    <xf numFmtId="220" fontId="140" fillId="0" borderId="0" applyNumberFormat="0" applyFill="0" applyBorder="0" applyAlignment="0" applyProtection="0">
      <alignment horizontal="left"/>
    </xf>
    <xf numFmtId="220" fontId="141" fillId="0" borderId="0" applyNumberFormat="0" applyFill="0" applyBorder="0" applyAlignment="0" applyProtection="0">
      <alignment horizontal="left"/>
    </xf>
    <xf numFmtId="220" fontId="142" fillId="0" borderId="0" applyNumberFormat="0" applyFill="0" applyBorder="0" applyAlignment="0" applyProtection="0">
      <alignment horizontal="left"/>
    </xf>
    <xf numFmtId="220" fontId="143" fillId="0" borderId="0" applyNumberFormat="0" applyFill="0" applyBorder="0" applyAlignment="0" applyProtection="0">
      <alignment horizontal="left"/>
    </xf>
    <xf numFmtId="220" fontId="144" fillId="0" borderId="0" applyNumberFormat="0" applyFill="0" applyBorder="0" applyAlignment="0" applyProtection="0">
      <alignment horizontal="left"/>
    </xf>
    <xf numFmtId="220" fontId="145" fillId="0" borderId="0" applyNumberFormat="0" applyFill="0" applyBorder="0" applyAlignment="0" applyProtection="0">
      <alignment horizontal="left"/>
    </xf>
    <xf numFmtId="220" fontId="146" fillId="0" borderId="0" applyNumberFormat="0" applyFill="0" applyBorder="0" applyAlignment="0" applyProtection="0">
      <alignment horizontal="left"/>
    </xf>
    <xf numFmtId="220" fontId="147" fillId="0" borderId="0" applyNumberFormat="0" applyFill="0" applyBorder="0" applyAlignment="0" applyProtection="0">
      <alignment horizontal="left"/>
    </xf>
    <xf numFmtId="220" fontId="23" fillId="0" borderId="0">
      <alignment horizontal="left"/>
    </xf>
    <xf numFmtId="220" fontId="24" fillId="0" borderId="1" applyNumberFormat="0" applyAlignment="0" applyProtection="0">
      <alignment horizontal="left" vertical="center"/>
    </xf>
    <xf numFmtId="220" fontId="24" fillId="0" borderId="2">
      <alignment horizontal="left" vertical="center"/>
    </xf>
    <xf numFmtId="14" fontId="131" fillId="56" borderId="4">
      <alignment horizontal="center" vertical="center" wrapText="1"/>
    </xf>
    <xf numFmtId="220" fontId="148" fillId="0" borderId="0"/>
    <xf numFmtId="220" fontId="149" fillId="0" borderId="0" applyProtection="0"/>
    <xf numFmtId="220" fontId="24" fillId="0" borderId="0" applyProtection="0"/>
    <xf numFmtId="220" fontId="16" fillId="36" borderId="17" applyNumberFormat="0" applyFont="0" applyBorder="0" applyAlignment="0" applyProtection="0"/>
    <xf numFmtId="220" fontId="150" fillId="0" borderId="0" applyNumberFormat="0" applyFill="0" applyBorder="0" applyAlignment="0" applyProtection="0">
      <alignment vertical="top"/>
      <protection locked="0"/>
    </xf>
    <xf numFmtId="222" fontId="16" fillId="0" borderId="0" applyBorder="0"/>
    <xf numFmtId="37" fontId="113" fillId="0" borderId="0" applyBorder="0"/>
    <xf numFmtId="37" fontId="113" fillId="0" borderId="0" applyBorder="0"/>
    <xf numFmtId="222" fontId="16" fillId="0" borderId="0" applyBorder="0"/>
    <xf numFmtId="3" fontId="16" fillId="0" borderId="0" applyFont="0" applyBorder="0" applyAlignment="0">
      <protection locked="0"/>
    </xf>
    <xf numFmtId="220" fontId="96" fillId="0" borderId="0" applyNumberFormat="0" applyFont="0" applyFill="0" applyBorder="0" applyProtection="0">
      <alignment horizontal="left" vertical="center"/>
    </xf>
    <xf numFmtId="49" fontId="16" fillId="51" borderId="0" applyFill="0" applyBorder="0" applyProtection="0">
      <alignment horizontal="center" vertical="center" wrapText="1"/>
    </xf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181" fontId="89" fillId="0" borderId="0">
      <alignment horizontal="justify"/>
    </xf>
    <xf numFmtId="207" fontId="135" fillId="57" borderId="0"/>
    <xf numFmtId="223" fontId="16" fillId="0" borderId="0" applyBorder="0"/>
    <xf numFmtId="223" fontId="113" fillId="0" borderId="0"/>
    <xf numFmtId="223" fontId="113" fillId="0" borderId="0"/>
    <xf numFmtId="223" fontId="113" fillId="0" borderId="0"/>
    <xf numFmtId="223" fontId="113" fillId="0" borderId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25" fillId="0" borderId="4"/>
    <xf numFmtId="224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6" fontId="14" fillId="0" borderId="0" applyFont="0" applyFill="0" applyBorder="0" applyAlignment="0" applyProtection="0"/>
    <xf numFmtId="227" fontId="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7" fillId="0" borderId="0" applyFont="0" applyFill="0" applyBorder="0" applyAlignment="0" applyProtection="0"/>
    <xf numFmtId="37" fontId="151" fillId="0" borderId="0"/>
    <xf numFmtId="220" fontId="14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32" fillId="0" borderId="0"/>
    <xf numFmtId="220" fontId="152" fillId="0" borderId="0" applyFont="0" applyFill="0" applyBorder="0" applyAlignment="0" applyProtection="0">
      <alignment horizontal="centerContinuous"/>
    </xf>
    <xf numFmtId="220" fontId="96" fillId="0" borderId="6" applyFont="0" applyFill="0" applyBorder="0" applyAlignment="0" applyProtection="0">
      <alignment horizontal="right"/>
    </xf>
    <xf numFmtId="220" fontId="153" fillId="0" borderId="0" applyFont="0" applyFill="0" applyBorder="0" applyAlignment="0" applyProtection="0">
      <alignment horizontal="centerContinuous"/>
    </xf>
    <xf numFmtId="220" fontId="153" fillId="0" borderId="0" applyFont="0" applyFill="0" applyBorder="0" applyAlignment="0" applyProtection="0">
      <alignment horizontal="centerContinuous"/>
    </xf>
    <xf numFmtId="220" fontId="154" fillId="0" borderId="0">
      <protection locked="0"/>
    </xf>
    <xf numFmtId="220" fontId="16" fillId="0" borderId="49" applyNumberFormat="0" applyFont="0" applyFill="0" applyAlignment="0" applyProtection="0"/>
    <xf numFmtId="220" fontId="16" fillId="0" borderId="0" applyFont="0" applyFill="0" applyBorder="0" applyAlignment="0" applyProtection="0"/>
    <xf numFmtId="40" fontId="155" fillId="2" borderId="0">
      <alignment horizontal="right"/>
    </xf>
    <xf numFmtId="220" fontId="156" fillId="2" borderId="0">
      <alignment horizontal="right"/>
    </xf>
    <xf numFmtId="220" fontId="157" fillId="2" borderId="6"/>
    <xf numFmtId="220" fontId="157" fillId="0" borderId="0" applyBorder="0">
      <alignment horizontal="centerContinuous"/>
    </xf>
    <xf numFmtId="220" fontId="158" fillId="0" borderId="0" applyBorder="0">
      <alignment horizontal="centerContinuous"/>
    </xf>
    <xf numFmtId="220" fontId="16" fillId="0" borderId="50" applyNumberFormat="0" applyFont="0" applyFill="0" applyAlignment="0" applyProtection="0"/>
    <xf numFmtId="220" fontId="16" fillId="0" borderId="47" applyNumberFormat="0" applyFont="0" applyFill="0" applyAlignment="0" applyProtection="0"/>
    <xf numFmtId="228" fontId="113" fillId="0" borderId="4" applyBorder="0"/>
    <xf numFmtId="220" fontId="14" fillId="0" borderId="0">
      <protection locked="0"/>
    </xf>
    <xf numFmtId="22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7" fontId="16" fillId="0" borderId="0" applyFont="0" applyFill="0" applyBorder="0" applyAlignment="0" applyProtection="0"/>
    <xf numFmtId="9" fontId="16" fillId="53" borderId="0" applyFont="0" applyFill="0" applyBorder="0" applyAlignment="0" applyProtection="0"/>
    <xf numFmtId="10" fontId="16" fillId="53" borderId="0" applyFont="0" applyFill="0" applyBorder="0" applyAlignment="0" applyProtection="0"/>
    <xf numFmtId="230" fontId="16" fillId="0" borderId="0" applyFont="0" applyFill="0" applyBorder="0" applyAlignment="0" applyProtection="0"/>
    <xf numFmtId="9" fontId="68" fillId="0" borderId="25" applyNumberFormat="0" applyBorder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68" fillId="0" borderId="0" applyNumberFormat="0" applyFont="0" applyFill="0" applyBorder="0" applyAlignment="0" applyProtection="0">
      <alignment horizontal="left"/>
    </xf>
    <xf numFmtId="15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220" fontId="123" fillId="0" borderId="4">
      <alignment horizontal="center"/>
    </xf>
    <xf numFmtId="3" fontId="68" fillId="0" borderId="0" applyFont="0" applyFill="0" applyBorder="0" applyAlignment="0" applyProtection="0"/>
    <xf numFmtId="220" fontId="68" fillId="58" borderId="0" applyNumberFormat="0" applyFont="0" applyBorder="0" applyAlignment="0" applyProtection="0"/>
    <xf numFmtId="37" fontId="89" fillId="0" borderId="0"/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14" fontId="159" fillId="0" borderId="0" applyNumberFormat="0" applyFill="0" applyBorder="0" applyAlignment="0" applyProtection="0">
      <alignment horizontal="left"/>
    </xf>
    <xf numFmtId="41" fontId="96" fillId="0" borderId="0" applyFont="0" applyFill="0" applyBorder="0" applyAlignment="0" applyProtection="0"/>
    <xf numFmtId="42" fontId="97" fillId="0" borderId="0" applyFont="0" applyFill="0" applyBorder="0" applyAlignment="0" applyProtection="0"/>
    <xf numFmtId="220" fontId="16" fillId="59" borderId="0" applyNumberFormat="0" applyFont="0" applyBorder="0" applyAlignment="0" applyProtection="0"/>
    <xf numFmtId="220" fontId="16" fillId="0" borderId="0" applyNumberFormat="0" applyFont="0" applyFill="0" applyBorder="0" applyAlignment="0" applyProtection="0"/>
    <xf numFmtId="220" fontId="16" fillId="0" borderId="0" applyNumberFormat="0" applyFont="0" applyBorder="0" applyAlignment="0" applyProtection="0"/>
    <xf numFmtId="220" fontId="16" fillId="60" borderId="0" applyNumberFormat="0" applyBorder="0" applyProtection="0">
      <alignment horizontal="center"/>
    </xf>
    <xf numFmtId="231" fontId="160" fillId="53" borderId="0"/>
    <xf numFmtId="220" fontId="25" fillId="0" borderId="0"/>
    <xf numFmtId="220" fontId="161" fillId="0" borderId="0">
      <alignment horizontal="left"/>
    </xf>
    <xf numFmtId="40" fontId="162" fillId="0" borderId="0" applyBorder="0">
      <alignment horizontal="right"/>
    </xf>
    <xf numFmtId="220" fontId="16" fillId="0" borderId="0" applyBorder="0"/>
    <xf numFmtId="49" fontId="113" fillId="0" borderId="0"/>
    <xf numFmtId="49" fontId="113" fillId="0" borderId="0"/>
    <xf numFmtId="49" fontId="113" fillId="0" borderId="0"/>
    <xf numFmtId="49" fontId="113" fillId="0" borderId="0"/>
    <xf numFmtId="220" fontId="16" fillId="0" borderId="0" applyBorder="0"/>
    <xf numFmtId="220" fontId="65" fillId="0" borderId="0"/>
    <xf numFmtId="220" fontId="65" fillId="0" borderId="0"/>
    <xf numFmtId="220" fontId="92" fillId="0" borderId="0" applyNumberFormat="0" applyBorder="0" applyAlignment="0">
      <alignment horizontal="centerContinuous" vertical="center"/>
    </xf>
    <xf numFmtId="49" fontId="134" fillId="0" borderId="0" applyFill="0" applyBorder="0" applyAlignment="0"/>
    <xf numFmtId="230" fontId="16" fillId="0" borderId="0" applyFill="0" applyBorder="0" applyAlignment="0"/>
    <xf numFmtId="232" fontId="16" fillId="0" borderId="0" applyFill="0" applyBorder="0" applyAlignment="0"/>
    <xf numFmtId="220" fontId="117" fillId="0" borderId="0"/>
    <xf numFmtId="220" fontId="163" fillId="0" borderId="0" applyFill="0" applyBorder="0" applyProtection="0">
      <alignment horizontal="left" vertical="top"/>
    </xf>
    <xf numFmtId="18" fontId="113" fillId="0" borderId="0" applyFill="0" applyProtection="0">
      <alignment horizontal="center"/>
    </xf>
    <xf numFmtId="3" fontId="164" fillId="53" borderId="0" applyNumberFormat="0">
      <alignment horizontal="centerContinuous"/>
    </xf>
    <xf numFmtId="220" fontId="24" fillId="0" borderId="0">
      <alignment horizontal="center"/>
    </xf>
    <xf numFmtId="220" fontId="138" fillId="0" borderId="0">
      <alignment horizontal="center"/>
    </xf>
    <xf numFmtId="220" fontId="129" fillId="0" borderId="47" applyProtection="0"/>
    <xf numFmtId="220" fontId="165" fillId="0" borderId="0" applyNumberFormat="0" applyFill="0" applyBorder="0" applyAlignment="0" applyProtection="0">
      <alignment horizontal="left"/>
    </xf>
    <xf numFmtId="220" fontId="131" fillId="51" borderId="2" applyNumberFormat="0" applyFill="0" applyAlignment="0"/>
    <xf numFmtId="220" fontId="129" fillId="0" borderId="0" applyNumberFormat="0" applyFill="0" applyBorder="0" applyAlignment="0" applyProtection="0">
      <alignment horizontal="left"/>
    </xf>
    <xf numFmtId="220" fontId="166" fillId="0" borderId="0" applyNumberFormat="0" applyFill="0" applyBorder="0" applyAlignment="0" applyProtection="0">
      <alignment horizontal="left"/>
    </xf>
    <xf numFmtId="220" fontId="28" fillId="0" borderId="0" applyNumberFormat="0" applyFill="0" applyBorder="0" applyAlignment="0" applyProtection="0">
      <alignment horizontal="left"/>
    </xf>
    <xf numFmtId="220" fontId="167" fillId="0" borderId="0" applyNumberFormat="0" applyFill="0" applyBorder="0" applyAlignment="0" applyProtection="0">
      <alignment horizontal="left"/>
    </xf>
    <xf numFmtId="220" fontId="16" fillId="0" borderId="0" applyNumberFormat="0" applyFill="0" applyBorder="0" applyAlignment="0" applyProtection="0">
      <alignment horizontal="left"/>
    </xf>
    <xf numFmtId="220" fontId="168" fillId="0" borderId="0">
      <alignment horizontal="left"/>
    </xf>
    <xf numFmtId="220" fontId="135" fillId="0" borderId="0" applyNumberFormat="0" applyFill="0" applyBorder="0" applyAlignment="0" applyProtection="0">
      <alignment horizontal="left"/>
    </xf>
    <xf numFmtId="220" fontId="16" fillId="36" borderId="0" applyNumberFormat="0" applyFont="0" applyBorder="0" applyAlignment="0" applyProtection="0"/>
    <xf numFmtId="220" fontId="16" fillId="0" borderId="4" applyNumberFormat="0" applyFont="0" applyFill="0" applyAlignment="0" applyProtection="0"/>
    <xf numFmtId="9" fontId="169" fillId="0" borderId="0" applyNumberFormat="0" applyFill="0" applyBorder="0" applyAlignment="0">
      <protection locked="0"/>
    </xf>
    <xf numFmtId="220" fontId="68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20" fontId="132" fillId="0" borderId="0" applyNumberFormat="0" applyFont="0" applyFill="0" applyBorder="0" applyProtection="0">
      <alignment horizontal="center" vertical="center" wrapText="1"/>
    </xf>
    <xf numFmtId="220" fontId="75" fillId="61" borderId="0" applyNumberFormat="0" applyBorder="0" applyAlignment="0" applyProtection="0">
      <alignment vertical="center"/>
    </xf>
    <xf numFmtId="220" fontId="75" fillId="62" borderId="0" applyNumberFormat="0" applyBorder="0" applyAlignment="0" applyProtection="0">
      <alignment vertical="center"/>
    </xf>
    <xf numFmtId="220" fontId="75" fillId="63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64" borderId="0" applyNumberFormat="0" applyBorder="0" applyAlignment="0" applyProtection="0">
      <alignment vertical="center"/>
    </xf>
    <xf numFmtId="188" fontId="65" fillId="0" borderId="0"/>
    <xf numFmtId="220" fontId="76" fillId="0" borderId="0" applyNumberFormat="0" applyFill="0" applyBorder="0" applyAlignment="0" applyProtection="0">
      <alignment vertical="center"/>
    </xf>
    <xf numFmtId="220" fontId="77" fillId="59" borderId="51" applyNumberFormat="0" applyAlignment="0" applyProtection="0">
      <alignment vertical="center"/>
    </xf>
    <xf numFmtId="2" fontId="78" fillId="0" borderId="0" applyFont="0" applyFill="0" applyBorder="0" applyAlignment="0" applyProtection="0"/>
    <xf numFmtId="220" fontId="79" fillId="0" borderId="0" applyNumberFormat="0" applyFill="0" applyBorder="0" applyAlignment="0" applyProtection="0"/>
    <xf numFmtId="220" fontId="80" fillId="0" borderId="0" applyNumberFormat="0" applyFill="0" applyBorder="0" applyAlignment="0" applyProtection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220" fontId="81" fillId="0" borderId="0"/>
    <xf numFmtId="220" fontId="65" fillId="0" borderId="0" applyFont="0" applyBorder="0" applyAlignment="0"/>
    <xf numFmtId="190" fontId="65" fillId="0" borderId="0"/>
    <xf numFmtId="220" fontId="82" fillId="38" borderId="0" applyNumberFormat="0" applyBorder="0" applyAlignment="0" applyProtection="0">
      <alignment vertical="center"/>
    </xf>
    <xf numFmtId="220" fontId="78" fillId="0" borderId="0" applyFont="0" applyFill="0" applyBorder="0" applyAlignment="0" applyProtection="0"/>
    <xf numFmtId="220" fontId="83" fillId="0" borderId="0">
      <protection locked="0"/>
    </xf>
    <xf numFmtId="220" fontId="84" fillId="0" borderId="0" applyNumberFormat="0" applyFill="0" applyBorder="0" applyAlignment="0" applyProtection="0">
      <alignment vertical="top"/>
      <protection locked="0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220" fontId="14" fillId="65" borderId="52" applyNumberFormat="0" applyFont="0" applyAlignment="0" applyProtection="0">
      <alignment vertical="center"/>
    </xf>
    <xf numFmtId="220" fontId="86" fillId="0" borderId="0" applyFont="0" applyFill="0" applyBorder="0" applyAlignment="0" applyProtection="0"/>
    <xf numFmtId="220" fontId="86" fillId="0" borderId="0" applyFont="0" applyFill="0" applyBorder="0" applyAlignment="0" applyProtection="0"/>
    <xf numFmtId="8" fontId="87" fillId="0" borderId="0" applyFont="0" applyFill="0" applyBorder="0" applyAlignment="0" applyProtection="0"/>
    <xf numFmtId="6" fontId="87" fillId="0" borderId="0" applyFont="0" applyFill="0" applyBorder="0" applyAlignment="0" applyProtection="0"/>
    <xf numFmtId="191" fontId="88" fillId="0" borderId="0">
      <protection locked="0"/>
    </xf>
    <xf numFmtId="192" fontId="14" fillId="0" borderId="0"/>
    <xf numFmtId="10" fontId="89" fillId="0" borderId="11"/>
    <xf numFmtId="10" fontId="89" fillId="0" borderId="0"/>
    <xf numFmtId="220" fontId="90" fillId="66" borderId="0" applyNumberFormat="0" applyBorder="0" applyAlignment="0" applyProtection="0">
      <alignment vertical="center"/>
    </xf>
    <xf numFmtId="220" fontId="91" fillId="0" borderId="0"/>
    <xf numFmtId="220" fontId="14" fillId="67" borderId="3" applyNumberFormat="0">
      <alignment vertical="center"/>
    </xf>
    <xf numFmtId="220" fontId="14" fillId="0" borderId="3">
      <alignment vertical="center"/>
    </xf>
    <xf numFmtId="220" fontId="16" fillId="0" borderId="0"/>
    <xf numFmtId="37" fontId="92" fillId="0" borderId="24" applyAlignment="0"/>
    <xf numFmtId="220" fontId="93" fillId="0" borderId="0" applyNumberFormat="0" applyFill="0" applyBorder="0" applyAlignment="0" applyProtection="0">
      <alignment vertical="center"/>
    </xf>
    <xf numFmtId="220" fontId="94" fillId="68" borderId="53" applyNumberFormat="0" applyAlignment="0" applyProtection="0">
      <alignment vertical="center"/>
    </xf>
    <xf numFmtId="220" fontId="95" fillId="0" borderId="0">
      <alignment vertical="center"/>
    </xf>
    <xf numFmtId="220" fontId="96" fillId="0" borderId="0" applyFont="0" applyFill="0" applyBorder="0" applyAlignment="0" applyProtection="0"/>
    <xf numFmtId="220" fontId="16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42" fontId="97" fillId="0" borderId="0" applyFont="0" applyFill="0" applyBorder="0" applyAlignment="0" applyProtection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20" fillId="0" borderId="5"/>
    <xf numFmtId="220" fontId="98" fillId="0" borderId="54" applyNumberFormat="0" applyFill="0" applyAlignment="0" applyProtection="0">
      <alignment vertical="center"/>
    </xf>
    <xf numFmtId="220" fontId="99" fillId="0" borderId="0" applyNumberFormat="0" applyFill="0" applyBorder="0" applyAlignment="0" applyProtection="0">
      <alignment vertical="top"/>
      <protection locked="0"/>
    </xf>
    <xf numFmtId="220" fontId="100" fillId="0" borderId="55" applyNumberFormat="0" applyFill="0" applyAlignment="0" applyProtection="0">
      <alignment vertical="center"/>
    </xf>
    <xf numFmtId="194" fontId="14" fillId="0" borderId="0" applyBorder="0" applyAlignment="0">
      <alignment horizontal="right"/>
    </xf>
    <xf numFmtId="220" fontId="101" fillId="0" borderId="0"/>
    <xf numFmtId="220" fontId="102" fillId="42" borderId="51" applyNumberFormat="0" applyAlignment="0" applyProtection="0">
      <alignment vertical="center"/>
    </xf>
    <xf numFmtId="4" fontId="103" fillId="0" borderId="0" applyFont="0" applyFill="0" applyBorder="0" applyAlignment="0" applyProtection="0"/>
    <xf numFmtId="3" fontId="103" fillId="0" borderId="0" applyFont="0" applyFill="0" applyBorder="0" applyAlignment="0" applyProtection="0"/>
    <xf numFmtId="220" fontId="104" fillId="0" borderId="0" applyNumberFormat="0" applyFill="0" applyBorder="0" applyAlignment="0" applyProtection="0">
      <alignment vertical="center"/>
    </xf>
    <xf numFmtId="220" fontId="105" fillId="0" borderId="56" applyNumberFormat="0" applyFill="0" applyAlignment="0" applyProtection="0">
      <alignment vertical="center"/>
    </xf>
    <xf numFmtId="220" fontId="106" fillId="0" borderId="57" applyNumberFormat="0" applyFill="0" applyAlignment="0" applyProtection="0">
      <alignment vertical="center"/>
    </xf>
    <xf numFmtId="220" fontId="107" fillId="0" borderId="58" applyNumberFormat="0" applyFill="0" applyAlignment="0" applyProtection="0">
      <alignment vertical="center"/>
    </xf>
    <xf numFmtId="220" fontId="107" fillId="0" borderId="0" applyNumberFormat="0" applyFill="0" applyBorder="0" applyAlignment="0" applyProtection="0">
      <alignment vertical="center"/>
    </xf>
    <xf numFmtId="220" fontId="108" fillId="39" borderId="0" applyNumberFormat="0" applyBorder="0" applyAlignment="0" applyProtection="0">
      <alignment vertical="center"/>
    </xf>
    <xf numFmtId="220" fontId="65" fillId="0" borderId="0"/>
    <xf numFmtId="183" fontId="89" fillId="0" borderId="0" applyFont="0" applyFill="0" applyBorder="0" applyAlignment="0" applyProtection="0"/>
    <xf numFmtId="185" fontId="16" fillId="0" borderId="0" applyFont="0" applyFill="0" applyBorder="0" applyAlignment="0" applyProtection="0"/>
    <xf numFmtId="195" fontId="14" fillId="0" borderId="0" applyFont="0" applyFill="0" applyBorder="0" applyAlignment="0" applyProtection="0"/>
    <xf numFmtId="220" fontId="110" fillId="59" borderId="59" applyNumberFormat="0" applyAlignment="0" applyProtection="0">
      <alignment vertical="center"/>
    </xf>
    <xf numFmtId="191" fontId="88" fillId="0" borderId="0">
      <protection locked="0"/>
    </xf>
    <xf numFmtId="220" fontId="65" fillId="0" borderId="0" applyFont="0" applyFill="0" applyBorder="0" applyAlignment="0" applyProtection="0"/>
    <xf numFmtId="191" fontId="88" fillId="0" borderId="0">
      <protection locked="0"/>
    </xf>
    <xf numFmtId="41" fontId="111" fillId="0" borderId="0" applyFont="0" applyFill="0" applyBorder="0" applyAlignment="0" applyProtection="0"/>
    <xf numFmtId="196" fontId="17" fillId="0" borderId="60">
      <alignment vertical="center"/>
    </xf>
    <xf numFmtId="43" fontId="111" fillId="0" borderId="0" applyFont="0" applyFill="0" applyBorder="0" applyAlignment="0" applyProtection="0"/>
    <xf numFmtId="191" fontId="88" fillId="0" borderId="0">
      <protection locked="0"/>
    </xf>
    <xf numFmtId="191" fontId="88" fillId="0" borderId="0">
      <protection locked="0"/>
    </xf>
    <xf numFmtId="181" fontId="14" fillId="0" borderId="0" applyFont="0" applyFill="0" applyBorder="0" applyAlignment="0" applyProtection="0"/>
    <xf numFmtId="220" fontId="14" fillId="0" borderId="0" applyFont="0" applyFill="0" applyBorder="0" applyAlignment="0" applyProtection="0"/>
    <xf numFmtId="9" fontId="103" fillId="0" borderId="0" applyFont="0" applyFill="0" applyBorder="0" applyAlignment="0" applyProtection="0"/>
    <xf numFmtId="191" fontId="88" fillId="0" borderId="0">
      <protection locked="0"/>
    </xf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14" fillId="0" borderId="0">
      <alignment vertical="center"/>
    </xf>
    <xf numFmtId="220" fontId="16" fillId="0" borderId="0"/>
    <xf numFmtId="220" fontId="16" fillId="0" borderId="0"/>
    <xf numFmtId="220" fontId="78" fillId="0" borderId="61" applyNumberFormat="0" applyFont="0" applyFill="0" applyAlignment="0" applyProtection="0"/>
    <xf numFmtId="198" fontId="14" fillId="0" borderId="0" applyFont="0" applyFill="0" applyBorder="0" applyAlignment="0" applyProtection="0"/>
    <xf numFmtId="199" fontId="16" fillId="0" borderId="0" applyFont="0" applyFill="0" applyBorder="0" applyAlignment="0" applyProtection="0"/>
    <xf numFmtId="197" fontId="103" fillId="0" borderId="0" applyFont="0" applyFill="0" applyBorder="0" applyAlignment="0" applyProtection="0"/>
    <xf numFmtId="197" fontId="103" fillId="0" borderId="0" applyFont="0" applyFill="0" applyBorder="0" applyAlignment="0" applyProtection="0"/>
    <xf numFmtId="220" fontId="1" fillId="0" borderId="0">
      <alignment vertical="center"/>
    </xf>
    <xf numFmtId="220" fontId="34" fillId="0" borderId="0" applyNumberFormat="0" applyFill="0" applyBorder="0" applyAlignment="0" applyProtection="0">
      <alignment vertical="center"/>
    </xf>
    <xf numFmtId="220" fontId="35" fillId="0" borderId="35" applyNumberFormat="0" applyFill="0" applyAlignment="0" applyProtection="0">
      <alignment vertical="center"/>
    </xf>
    <xf numFmtId="220" fontId="36" fillId="0" borderId="36" applyNumberFormat="0" applyFill="0" applyAlignment="0" applyProtection="0">
      <alignment vertical="center"/>
    </xf>
    <xf numFmtId="220" fontId="37" fillId="0" borderId="37" applyNumberFormat="0" applyFill="0" applyAlignment="0" applyProtection="0">
      <alignment vertical="center"/>
    </xf>
    <xf numFmtId="220" fontId="37" fillId="0" borderId="0" applyNumberFormat="0" applyFill="0" applyBorder="0" applyAlignment="0" applyProtection="0">
      <alignment vertical="center"/>
    </xf>
    <xf numFmtId="220" fontId="38" fillId="3" borderId="0" applyNumberFormat="0" applyBorder="0" applyAlignment="0" applyProtection="0">
      <alignment vertical="center"/>
    </xf>
    <xf numFmtId="220" fontId="39" fillId="4" borderId="0" applyNumberFormat="0" applyBorder="0" applyAlignment="0" applyProtection="0">
      <alignment vertical="center"/>
    </xf>
    <xf numFmtId="220" fontId="40" fillId="5" borderId="0" applyNumberFormat="0" applyBorder="0" applyAlignment="0" applyProtection="0">
      <alignment vertical="center"/>
    </xf>
    <xf numFmtId="220" fontId="41" fillId="6" borderId="38" applyNumberFormat="0" applyAlignment="0" applyProtection="0">
      <alignment vertical="center"/>
    </xf>
    <xf numFmtId="220" fontId="42" fillId="7" borderId="39" applyNumberFormat="0" applyAlignment="0" applyProtection="0">
      <alignment vertical="center"/>
    </xf>
    <xf numFmtId="220" fontId="43" fillId="7" borderId="38" applyNumberFormat="0" applyAlignment="0" applyProtection="0">
      <alignment vertical="center"/>
    </xf>
    <xf numFmtId="220" fontId="44" fillId="0" borderId="40" applyNumberFormat="0" applyFill="0" applyAlignment="0" applyProtection="0">
      <alignment vertical="center"/>
    </xf>
    <xf numFmtId="220" fontId="45" fillId="8" borderId="41" applyNumberFormat="0" applyAlignment="0" applyProtection="0">
      <alignment vertical="center"/>
    </xf>
    <xf numFmtId="220" fontId="46" fillId="0" borderId="0" applyNumberFormat="0" applyFill="0" applyBorder="0" applyAlignment="0" applyProtection="0">
      <alignment vertical="center"/>
    </xf>
    <xf numFmtId="220" fontId="1" fillId="9" borderId="42" applyNumberFormat="0" applyFont="0" applyAlignment="0" applyProtection="0">
      <alignment vertical="center"/>
    </xf>
    <xf numFmtId="220" fontId="47" fillId="0" borderId="0" applyNumberFormat="0" applyFill="0" applyBorder="0" applyAlignment="0" applyProtection="0">
      <alignment vertical="center"/>
    </xf>
    <xf numFmtId="220" fontId="48" fillId="0" borderId="43" applyNumberFormat="0" applyFill="0" applyAlignment="0" applyProtection="0">
      <alignment vertical="center"/>
    </xf>
    <xf numFmtId="220" fontId="49" fillId="10" borderId="0" applyNumberFormat="0" applyBorder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49" fillId="13" borderId="0" applyNumberFormat="0" applyBorder="0" applyAlignment="0" applyProtection="0">
      <alignment vertical="center"/>
    </xf>
    <xf numFmtId="220" fontId="49" fillId="14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49" fillId="17" borderId="0" applyNumberFormat="0" applyBorder="0" applyAlignment="0" applyProtection="0">
      <alignment vertical="center"/>
    </xf>
    <xf numFmtId="220" fontId="49" fillId="18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49" fillId="21" borderId="0" applyNumberFormat="0" applyBorder="0" applyAlignment="0" applyProtection="0">
      <alignment vertical="center"/>
    </xf>
    <xf numFmtId="220" fontId="49" fillId="22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49" fillId="25" borderId="0" applyNumberFormat="0" applyBorder="0" applyAlignment="0" applyProtection="0">
      <alignment vertical="center"/>
    </xf>
    <xf numFmtId="220" fontId="49" fillId="26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49" fillId="29" borderId="0" applyNumberFormat="0" applyBorder="0" applyAlignment="0" applyProtection="0">
      <alignment vertical="center"/>
    </xf>
    <xf numFmtId="220" fontId="49" fillId="30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49" fillId="33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9">
    <xf numFmtId="0" fontId="0" fillId="0" borderId="0" xfId="0"/>
    <xf numFmtId="0" fontId="26" fillId="0" borderId="0" xfId="0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28" fillId="0" borderId="0" xfId="19" applyFont="1"/>
    <xf numFmtId="1" fontId="27" fillId="0" borderId="0" xfId="0" applyNumberFormat="1" applyFont="1" applyAlignment="1">
      <alignment vertical="center" shrinkToFit="1"/>
    </xf>
    <xf numFmtId="0" fontId="30" fillId="0" borderId="0" xfId="0" applyFont="1" applyFill="1" applyAlignment="1">
      <alignment vertical="center" shrinkToFit="1"/>
    </xf>
    <xf numFmtId="41" fontId="30" fillId="0" borderId="0" xfId="14" applyFont="1" applyFill="1" applyAlignment="1">
      <alignment vertical="center" shrinkToFit="1"/>
    </xf>
    <xf numFmtId="3" fontId="0" fillId="0" borderId="0" xfId="0" applyNumberFormat="1" applyAlignment="1">
      <alignment vertical="center"/>
    </xf>
    <xf numFmtId="3" fontId="31" fillId="0" borderId="0" xfId="0" applyNumberFormat="1" applyFont="1" applyAlignment="1">
      <alignment vertical="center"/>
    </xf>
    <xf numFmtId="3" fontId="17" fillId="0" borderId="0" xfId="0" applyNumberFormat="1" applyFont="1" applyFill="1" applyAlignment="1">
      <alignment vertical="center" shrinkToFit="1"/>
    </xf>
    <xf numFmtId="0" fontId="22" fillId="0" borderId="0" xfId="19" applyFont="1"/>
    <xf numFmtId="0" fontId="15" fillId="0" borderId="0" xfId="0" applyFont="1"/>
    <xf numFmtId="41" fontId="18" fillId="0" borderId="0" xfId="0" applyNumberFormat="1" applyFont="1" applyBorder="1" applyAlignment="1">
      <alignment vertical="center" shrinkToFit="1"/>
    </xf>
    <xf numFmtId="176" fontId="17" fillId="0" borderId="0" xfId="0" applyNumberFormat="1" applyFont="1" applyFill="1" applyAlignment="1">
      <alignment vertical="center" shrinkToFit="1"/>
    </xf>
    <xf numFmtId="0" fontId="29" fillId="0" borderId="0" xfId="0" applyFont="1" applyBorder="1" applyAlignment="1">
      <alignment vertical="center" shrinkToFit="1"/>
    </xf>
    <xf numFmtId="0" fontId="32" fillId="0" borderId="0" xfId="0" applyFont="1" applyBorder="1" applyAlignment="1">
      <alignment vertical="center" shrinkToFit="1"/>
    </xf>
    <xf numFmtId="176" fontId="29" fillId="0" borderId="9" xfId="14" applyNumberFormat="1" applyFont="1" applyBorder="1" applyAlignment="1">
      <alignment horizontal="right" vertical="center"/>
    </xf>
    <xf numFmtId="176" fontId="29" fillId="0" borderId="12" xfId="14" applyNumberFormat="1" applyFont="1" applyBorder="1" applyAlignment="1">
      <alignment horizontal="right" vertical="center"/>
    </xf>
    <xf numFmtId="176" fontId="29" fillId="0" borderId="9" xfId="0" applyNumberFormat="1" applyFont="1" applyFill="1" applyBorder="1" applyAlignment="1">
      <alignment horizontal="right" vertical="center"/>
    </xf>
    <xf numFmtId="176" fontId="29" fillId="0" borderId="12" xfId="14" applyNumberFormat="1" applyFont="1" applyFill="1" applyBorder="1" applyAlignment="1">
      <alignment horizontal="right" vertical="center"/>
    </xf>
    <xf numFmtId="41" fontId="29" fillId="0" borderId="9" xfId="14" applyFont="1" applyFill="1" applyBorder="1" applyAlignment="1">
      <alignment horizontal="right" vertical="center"/>
    </xf>
    <xf numFmtId="178" fontId="29" fillId="0" borderId="0" xfId="0" applyNumberFormat="1" applyFont="1" applyFill="1" applyBorder="1" applyAlignment="1">
      <alignment horizontal="right" vertical="center" shrinkToFit="1"/>
    </xf>
    <xf numFmtId="179" fontId="29" fillId="0" borderId="9" xfId="14" applyNumberFormat="1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/>
    </xf>
    <xf numFmtId="41" fontId="29" fillId="0" borderId="12" xfId="14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distributed" shrinkToFit="1"/>
    </xf>
    <xf numFmtId="1" fontId="29" fillId="0" borderId="0" xfId="0" applyNumberFormat="1" applyFont="1" applyFill="1" applyBorder="1" applyAlignment="1">
      <alignment horizontal="center" vertical="center" shrinkToFit="1"/>
    </xf>
    <xf numFmtId="41" fontId="29" fillId="0" borderId="12" xfId="0" applyNumberFormat="1" applyFont="1" applyFill="1" applyBorder="1" applyAlignment="1">
      <alignment horizontal="right" vertical="center"/>
    </xf>
    <xf numFmtId="180" fontId="29" fillId="0" borderId="12" xfId="14" applyNumberFormat="1" applyFont="1" applyFill="1" applyBorder="1" applyAlignment="1">
      <alignment horizontal="right" vertical="center"/>
    </xf>
    <xf numFmtId="0" fontId="29" fillId="0" borderId="0" xfId="0" applyFont="1" applyFill="1" applyAlignment="1">
      <alignment horizontal="right" vertical="center" shrinkToFit="1"/>
    </xf>
    <xf numFmtId="3" fontId="29" fillId="0" borderId="0" xfId="0" applyNumberFormat="1" applyFont="1" applyFill="1" applyAlignment="1">
      <alignment vertical="center" shrinkToFit="1"/>
    </xf>
    <xf numFmtId="41" fontId="29" fillId="0" borderId="0" xfId="14" applyFont="1" applyFill="1" applyAlignment="1">
      <alignment vertical="center" shrinkToFit="1"/>
    </xf>
    <xf numFmtId="0" fontId="29" fillId="0" borderId="0" xfId="0" applyFont="1" applyAlignment="1">
      <alignment horizontal="right" vertical="center" shrinkToFit="1"/>
    </xf>
    <xf numFmtId="0" fontId="29" fillId="0" borderId="0" xfId="0" applyFont="1" applyAlignment="1">
      <alignment vertical="center" shrinkToFit="1"/>
    </xf>
    <xf numFmtId="41" fontId="29" fillId="0" borderId="0" xfId="14" applyFont="1" applyFill="1" applyBorder="1" applyAlignment="1">
      <alignment vertical="center" shrinkToFit="1"/>
    </xf>
    <xf numFmtId="176" fontId="29" fillId="0" borderId="0" xfId="0" applyNumberFormat="1" applyFont="1" applyAlignment="1">
      <alignment vertical="center" shrinkToFit="1"/>
    </xf>
    <xf numFmtId="41" fontId="29" fillId="0" borderId="17" xfId="14" applyFont="1" applyBorder="1" applyAlignment="1">
      <alignment horizontal="right" vertical="center" shrinkToFit="1"/>
    </xf>
    <xf numFmtId="176" fontId="29" fillId="0" borderId="18" xfId="14" applyNumberFormat="1" applyFont="1" applyBorder="1" applyAlignment="1">
      <alignment horizontal="right" vertical="center"/>
    </xf>
    <xf numFmtId="176" fontId="29" fillId="0" borderId="18" xfId="14" applyNumberFormat="1" applyFont="1" applyFill="1" applyBorder="1" applyAlignment="1">
      <alignment horizontal="right" vertical="center"/>
    </xf>
    <xf numFmtId="178" fontId="29" fillId="0" borderId="17" xfId="0" applyNumberFormat="1" applyFont="1" applyFill="1" applyBorder="1" applyAlignment="1">
      <alignment horizontal="right" vertical="center" shrinkToFit="1"/>
    </xf>
    <xf numFmtId="41" fontId="29" fillId="0" borderId="17" xfId="0" applyNumberFormat="1" applyFont="1" applyFill="1" applyBorder="1" applyAlignment="1">
      <alignment horizontal="right" vertical="center"/>
    </xf>
    <xf numFmtId="41" fontId="29" fillId="0" borderId="18" xfId="14" applyFont="1" applyFill="1" applyBorder="1" applyAlignment="1">
      <alignment horizontal="right" vertical="center"/>
    </xf>
    <xf numFmtId="41" fontId="29" fillId="0" borderId="17" xfId="0" applyNumberFormat="1" applyFont="1" applyFill="1" applyBorder="1" applyAlignment="1">
      <alignment horizontal="right" vertical="center" shrinkToFit="1"/>
    </xf>
    <xf numFmtId="41" fontId="29" fillId="0" borderId="18" xfId="0" applyNumberFormat="1" applyFont="1" applyFill="1" applyBorder="1" applyAlignment="1">
      <alignment horizontal="right" vertical="center"/>
    </xf>
    <xf numFmtId="180" fontId="29" fillId="0" borderId="18" xfId="14" applyNumberFormat="1" applyFont="1" applyFill="1" applyBorder="1" applyAlignment="1">
      <alignment horizontal="right" vertical="center"/>
    </xf>
    <xf numFmtId="179" fontId="50" fillId="0" borderId="9" xfId="14" applyNumberFormat="1" applyFont="1" applyFill="1" applyBorder="1" applyAlignment="1">
      <alignment horizontal="right" vertical="center"/>
    </xf>
    <xf numFmtId="41" fontId="29" fillId="0" borderId="17" xfId="14" applyFont="1" applyFill="1" applyBorder="1" applyAlignment="1">
      <alignment horizontal="right" vertical="center"/>
    </xf>
    <xf numFmtId="41" fontId="29" fillId="0" borderId="0" xfId="14" applyFont="1" applyFill="1" applyBorder="1" applyAlignment="1">
      <alignment horizontal="right" vertical="center"/>
    </xf>
    <xf numFmtId="0" fontId="29" fillId="0" borderId="0" xfId="0" applyFont="1" applyFill="1" applyBorder="1" applyAlignment="1">
      <alignment vertical="center" shrinkToFit="1"/>
    </xf>
    <xf numFmtId="49" fontId="29" fillId="0" borderId="0" xfId="0" applyNumberFormat="1" applyFont="1" applyFill="1" applyBorder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1" fontId="29" fillId="0" borderId="0" xfId="0" applyNumberFormat="1" applyFont="1" applyFill="1" applyBorder="1" applyAlignment="1">
      <alignment vertical="center" shrinkToFit="1"/>
    </xf>
    <xf numFmtId="0" fontId="29" fillId="0" borderId="7" xfId="0" applyFont="1" applyFill="1" applyBorder="1" applyAlignment="1">
      <alignment horizontal="right" vertical="center" shrinkToFit="1"/>
    </xf>
    <xf numFmtId="182" fontId="29" fillId="0" borderId="9" xfId="14" applyNumberFormat="1" applyFont="1" applyBorder="1" applyAlignment="1">
      <alignment horizontal="right" vertical="center"/>
    </xf>
    <xf numFmtId="176" fontId="50" fillId="0" borderId="18" xfId="14" applyNumberFormat="1" applyFont="1" applyFill="1" applyBorder="1" applyAlignment="1">
      <alignment horizontal="right" vertical="center" shrinkToFit="1"/>
    </xf>
    <xf numFmtId="0" fontId="29" fillId="0" borderId="0" xfId="0" applyFont="1" applyFill="1" applyAlignment="1">
      <alignment vertical="center" shrinkToFit="1"/>
    </xf>
    <xf numFmtId="41" fontId="29" fillId="0" borderId="0" xfId="14" applyFont="1" applyBorder="1" applyAlignment="1">
      <alignment vertical="center" shrinkToFit="1"/>
    </xf>
    <xf numFmtId="176" fontId="29" fillId="0" borderId="18" xfId="14" applyNumberFormat="1" applyFont="1" applyFill="1" applyBorder="1" applyAlignment="1">
      <alignment horizontal="right" vertical="center" shrinkToFit="1"/>
    </xf>
    <xf numFmtId="41" fontId="29" fillId="0" borderId="0" xfId="14" applyFont="1" applyAlignment="1">
      <alignment vertical="center" shrinkToFit="1"/>
    </xf>
    <xf numFmtId="0" fontId="0" fillId="0" borderId="0" xfId="0"/>
    <xf numFmtId="182" fontId="29" fillId="0" borderId="9" xfId="0" applyNumberFormat="1" applyFont="1" applyFill="1" applyBorder="1" applyAlignment="1">
      <alignment horizontal="right" vertical="center"/>
    </xf>
    <xf numFmtId="182" fontId="29" fillId="0" borderId="9" xfId="14" applyNumberFormat="1" applyFont="1" applyFill="1" applyBorder="1" applyAlignment="1">
      <alignment horizontal="right" vertical="center"/>
    </xf>
    <xf numFmtId="182" fontId="29" fillId="0" borderId="0" xfId="0" applyNumberFormat="1" applyFont="1" applyAlignment="1">
      <alignment vertical="center" shrinkToFit="1"/>
    </xf>
    <xf numFmtId="182" fontId="29" fillId="0" borderId="0" xfId="0" applyNumberFormat="1" applyFont="1" applyBorder="1" applyAlignment="1">
      <alignment vertical="center" shrinkToFit="1"/>
    </xf>
    <xf numFmtId="182" fontId="29" fillId="0" borderId="0" xfId="0" applyNumberFormat="1" applyFont="1" applyFill="1" applyAlignment="1">
      <alignment vertical="center" shrinkToFit="1"/>
    </xf>
    <xf numFmtId="182" fontId="17" fillId="0" borderId="0" xfId="0" applyNumberFormat="1" applyFont="1" applyFill="1" applyAlignment="1">
      <alignment vertical="center" shrinkToFit="1"/>
    </xf>
    <xf numFmtId="182" fontId="0" fillId="0" borderId="0" xfId="0" applyNumberFormat="1"/>
    <xf numFmtId="182" fontId="50" fillId="0" borderId="9" xfId="14" applyNumberFormat="1" applyFont="1" applyFill="1" applyBorder="1" applyAlignment="1">
      <alignment horizontal="right" vertical="center"/>
    </xf>
    <xf numFmtId="176" fontId="50" fillId="0" borderId="12" xfId="14" applyNumberFormat="1" applyFont="1" applyFill="1" applyBorder="1" applyAlignment="1">
      <alignment horizontal="right" vertical="center" shrinkToFit="1"/>
    </xf>
    <xf numFmtId="182" fontId="29" fillId="0" borderId="18" xfId="14" applyNumberFormat="1" applyFont="1" applyFill="1" applyBorder="1" applyAlignment="1">
      <alignment horizontal="right" vertical="center"/>
    </xf>
    <xf numFmtId="182" fontId="29" fillId="0" borderId="17" xfId="0" applyNumberFormat="1" applyFont="1" applyFill="1" applyBorder="1" applyAlignment="1">
      <alignment horizontal="right" vertical="center" shrinkToFit="1"/>
    </xf>
    <xf numFmtId="0" fontId="29" fillId="34" borderId="0" xfId="0" applyFont="1" applyFill="1" applyBorder="1" applyAlignment="1">
      <alignment vertical="center" shrinkToFit="1"/>
    </xf>
    <xf numFmtId="182" fontId="29" fillId="34" borderId="9" xfId="0" applyNumberFormat="1" applyFont="1" applyFill="1" applyBorder="1" applyAlignment="1">
      <alignment horizontal="right" vertical="center"/>
    </xf>
    <xf numFmtId="176" fontId="29" fillId="34" borderId="12" xfId="14" applyNumberFormat="1" applyFont="1" applyFill="1" applyBorder="1" applyAlignment="1">
      <alignment horizontal="right" vertical="center"/>
    </xf>
    <xf numFmtId="0" fontId="29" fillId="34" borderId="7" xfId="0" applyFont="1" applyFill="1" applyBorder="1" applyAlignment="1">
      <alignment horizontal="right" vertical="center" shrinkToFit="1"/>
    </xf>
    <xf numFmtId="1" fontId="29" fillId="34" borderId="0" xfId="0" applyNumberFormat="1" applyFont="1" applyFill="1" applyBorder="1" applyAlignment="1">
      <alignment vertical="center" shrinkToFit="1"/>
    </xf>
    <xf numFmtId="182" fontId="29" fillId="34" borderId="9" xfId="14" applyNumberFormat="1" applyFont="1" applyFill="1" applyBorder="1" applyAlignment="1">
      <alignment horizontal="right" vertical="center"/>
    </xf>
    <xf numFmtId="41" fontId="29" fillId="34" borderId="0" xfId="0" applyNumberFormat="1" applyFont="1" applyFill="1" applyBorder="1" applyAlignment="1">
      <alignment horizontal="right" vertical="center" shrinkToFit="1"/>
    </xf>
    <xf numFmtId="41" fontId="29" fillId="34" borderId="0" xfId="0" applyNumberFormat="1" applyFont="1" applyFill="1" applyBorder="1" applyAlignment="1">
      <alignment horizontal="right" vertical="center"/>
    </xf>
    <xf numFmtId="49" fontId="29" fillId="34" borderId="0" xfId="0" applyNumberFormat="1" applyFont="1" applyFill="1" applyBorder="1" applyAlignment="1">
      <alignment vertical="center" shrinkToFit="1"/>
    </xf>
    <xf numFmtId="41" fontId="29" fillId="34" borderId="12" xfId="14" applyFont="1" applyFill="1" applyBorder="1" applyAlignment="1">
      <alignment horizontal="right" vertical="center"/>
    </xf>
    <xf numFmtId="182" fontId="52" fillId="0" borderId="0" xfId="14" applyNumberFormat="1" applyFont="1" applyFill="1" applyBorder="1" applyAlignment="1">
      <alignment horizontal="right" vertical="center"/>
    </xf>
    <xf numFmtId="182" fontId="52" fillId="0" borderId="0" xfId="0" applyNumberFormat="1" applyFont="1" applyFill="1" applyBorder="1" applyAlignment="1">
      <alignment vertical="center"/>
    </xf>
    <xf numFmtId="0" fontId="52" fillId="0" borderId="0" xfId="0" applyFont="1" applyFill="1" applyBorder="1" applyAlignment="1">
      <alignment vertical="center"/>
    </xf>
    <xf numFmtId="0" fontId="54" fillId="0" borderId="12" xfId="95" applyFont="1" applyBorder="1" applyAlignment="1">
      <alignment vertical="center"/>
    </xf>
    <xf numFmtId="0" fontId="54" fillId="0" borderId="0" xfId="95" applyFont="1" applyBorder="1" applyAlignment="1">
      <alignment horizontal="right" vertical="center"/>
    </xf>
    <xf numFmtId="0" fontId="54" fillId="0" borderId="0" xfId="95" quotePrefix="1" applyFont="1" applyBorder="1" applyAlignment="1">
      <alignment horizontal="center" vertical="center"/>
    </xf>
    <xf numFmtId="0" fontId="54" fillId="0" borderId="0" xfId="95" applyFont="1" applyFill="1" applyBorder="1" applyAlignment="1">
      <alignment horizontal="right" vertical="center"/>
    </xf>
    <xf numFmtId="0" fontId="54" fillId="0" borderId="0" xfId="95" quotePrefix="1" applyFont="1" applyFill="1" applyBorder="1" applyAlignment="1">
      <alignment horizontal="center" vertical="center"/>
    </xf>
    <xf numFmtId="0" fontId="54" fillId="0" borderId="12" xfId="95" applyFont="1" applyFill="1" applyBorder="1" applyAlignment="1">
      <alignment vertical="center"/>
    </xf>
    <xf numFmtId="0" fontId="54" fillId="0" borderId="46" xfId="95" applyFont="1" applyFill="1" applyBorder="1" applyAlignment="1">
      <alignment horizontal="right" vertical="center"/>
    </xf>
    <xf numFmtId="0" fontId="54" fillId="0" borderId="0" xfId="95" applyFont="1" applyFill="1" applyBorder="1" applyAlignment="1">
      <alignment vertical="center"/>
    </xf>
    <xf numFmtId="0" fontId="54" fillId="0" borderId="12" xfId="95" applyFont="1" applyBorder="1"/>
    <xf numFmtId="0" fontId="54" fillId="0" borderId="45" xfId="95" applyFont="1" applyBorder="1"/>
    <xf numFmtId="182" fontId="52" fillId="0" borderId="0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35" borderId="29" xfId="0" applyNumberFormat="1" applyFont="1" applyFill="1" applyBorder="1" applyAlignment="1">
      <alignment horizontal="right" vertical="center" shrinkToFit="1"/>
    </xf>
    <xf numFmtId="0" fontId="17" fillId="35" borderId="0" xfId="0" applyFont="1" applyFill="1" applyAlignment="1">
      <alignment vertical="center" shrinkToFit="1"/>
    </xf>
    <xf numFmtId="182" fontId="0" fillId="0" borderId="0" xfId="14" applyNumberFormat="1" applyFont="1" applyBorder="1" applyAlignment="1">
      <alignment vertical="center" shrinkToFit="1"/>
    </xf>
    <xf numFmtId="0" fontId="29" fillId="0" borderId="6" xfId="0" applyFont="1" applyFill="1" applyBorder="1" applyAlignment="1">
      <alignment vertical="center" shrinkToFit="1"/>
    </xf>
    <xf numFmtId="182" fontId="29" fillId="0" borderId="9" xfId="14" applyNumberFormat="1" applyFont="1" applyFill="1" applyBorder="1" applyAlignment="1">
      <alignment horizontal="right" vertical="center" shrinkToFit="1"/>
    </xf>
    <xf numFmtId="176" fontId="29" fillId="0" borderId="9" xfId="14" applyNumberFormat="1" applyFont="1" applyFill="1" applyBorder="1" applyAlignment="1">
      <alignment horizontal="right" vertical="center" shrinkToFit="1"/>
    </xf>
    <xf numFmtId="37" fontId="29" fillId="0" borderId="9" xfId="14" applyNumberFormat="1" applyFont="1" applyFill="1" applyBorder="1" applyAlignment="1">
      <alignment horizontal="right" vertical="center" shrinkToFit="1"/>
    </xf>
    <xf numFmtId="41" fontId="29" fillId="0" borderId="9" xfId="14" applyFont="1" applyFill="1" applyBorder="1" applyAlignment="1">
      <alignment horizontal="right" vertical="center" shrinkToFit="1"/>
    </xf>
    <xf numFmtId="37" fontId="29" fillId="0" borderId="18" xfId="14" applyNumberFormat="1" applyFont="1" applyFill="1" applyBorder="1" applyAlignment="1">
      <alignment horizontal="right" vertical="center" shrinkToFit="1"/>
    </xf>
    <xf numFmtId="37" fontId="29" fillId="0" borderId="0" xfId="0" applyNumberFormat="1" applyFont="1" applyFill="1" applyBorder="1" applyAlignment="1">
      <alignment vertical="center" shrinkToFit="1"/>
    </xf>
    <xf numFmtId="37" fontId="29" fillId="0" borderId="17" xfId="0" applyNumberFormat="1" applyFont="1" applyFill="1" applyBorder="1" applyAlignment="1">
      <alignment vertical="center" shrinkToFit="1"/>
    </xf>
    <xf numFmtId="182" fontId="29" fillId="0" borderId="0" xfId="14" applyNumberFormat="1" applyFont="1" applyFill="1" applyBorder="1" applyAlignment="1">
      <alignment horizontal="right" vertical="center" shrinkToFit="1"/>
    </xf>
    <xf numFmtId="176" fontId="56" fillId="0" borderId="0" xfId="14" applyNumberFormat="1" applyFont="1" applyFill="1" applyBorder="1" applyAlignment="1">
      <alignment horizontal="right" vertical="center" shrinkToFit="1"/>
    </xf>
    <xf numFmtId="176" fontId="29" fillId="0" borderId="0" xfId="14" applyNumberFormat="1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vertical="center" shrinkToFit="1"/>
    </xf>
    <xf numFmtId="41" fontId="29" fillId="0" borderId="0" xfId="14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horizontal="right" vertical="center" shrinkToFit="1"/>
    </xf>
    <xf numFmtId="0" fontId="0" fillId="0" borderId="0" xfId="0" applyFont="1" applyAlignment="1">
      <alignment vertical="center" shrinkToFit="1"/>
    </xf>
    <xf numFmtId="182" fontId="0" fillId="0" borderId="0" xfId="14" applyNumberFormat="1" applyFont="1" applyAlignment="1">
      <alignment vertical="center" shrinkToFit="1"/>
    </xf>
    <xf numFmtId="41" fontId="0" fillId="0" borderId="0" xfId="0" applyNumberFormat="1" applyFont="1" applyAlignment="1">
      <alignment vertical="center" shrinkToFit="1"/>
    </xf>
    <xf numFmtId="41" fontId="0" fillId="0" borderId="0" xfId="14" applyFont="1" applyAlignment="1">
      <alignment vertical="center" shrinkToFit="1"/>
    </xf>
    <xf numFmtId="49" fontId="56" fillId="35" borderId="28" xfId="0" applyNumberFormat="1" applyFont="1" applyFill="1" applyBorder="1" applyAlignment="1">
      <alignment vertical="center" shrinkToFit="1"/>
    </xf>
    <xf numFmtId="0" fontId="29" fillId="0" borderId="17" xfId="0" applyFont="1" applyFill="1" applyBorder="1" applyAlignment="1">
      <alignment vertical="center" shrinkToFit="1"/>
    </xf>
    <xf numFmtId="41" fontId="29" fillId="0" borderId="0" xfId="0" applyNumberFormat="1" applyFont="1" applyFill="1" applyBorder="1" applyAlignment="1">
      <alignment vertical="center" shrinkToFit="1"/>
    </xf>
    <xf numFmtId="41" fontId="29" fillId="0" borderId="17" xfId="0" applyNumberFormat="1" applyFont="1" applyFill="1" applyBorder="1" applyAlignment="1">
      <alignment vertical="center" shrinkToFit="1"/>
    </xf>
    <xf numFmtId="37" fontId="29" fillId="0" borderId="9" xfId="0" applyNumberFormat="1" applyFont="1" applyFill="1" applyBorder="1" applyAlignment="1">
      <alignment vertical="center" shrinkToFit="1"/>
    </xf>
    <xf numFmtId="37" fontId="29" fillId="0" borderId="18" xfId="0" applyNumberFormat="1" applyFont="1" applyFill="1" applyBorder="1" applyAlignment="1">
      <alignment vertical="center" shrinkToFit="1"/>
    </xf>
    <xf numFmtId="0" fontId="29" fillId="35" borderId="13" xfId="0" applyFont="1" applyFill="1" applyBorder="1" applyAlignment="1">
      <alignment vertical="center" shrinkToFit="1"/>
    </xf>
    <xf numFmtId="182" fontId="29" fillId="35" borderId="14" xfId="14" applyNumberFormat="1" applyFont="1" applyFill="1" applyBorder="1" applyAlignment="1">
      <alignment horizontal="right" vertical="center" shrinkToFit="1"/>
    </xf>
    <xf numFmtId="176" fontId="56" fillId="35" borderId="15" xfId="14" applyNumberFormat="1" applyFont="1" applyFill="1" applyBorder="1" applyAlignment="1">
      <alignment horizontal="right" vertical="center" shrinkToFit="1"/>
    </xf>
    <xf numFmtId="176" fontId="29" fillId="35" borderId="14" xfId="14" applyNumberFormat="1" applyFont="1" applyFill="1" applyBorder="1" applyAlignment="1">
      <alignment horizontal="right" vertical="center" shrinkToFit="1"/>
    </xf>
    <xf numFmtId="49" fontId="56" fillId="35" borderId="30" xfId="0" applyNumberFormat="1" applyFont="1" applyFill="1" applyBorder="1" applyAlignment="1">
      <alignment horizontal="right" vertical="center" shrinkToFit="1"/>
    </xf>
    <xf numFmtId="49" fontId="56" fillId="35" borderId="7" xfId="0" applyNumberFormat="1" applyFont="1" applyFill="1" applyBorder="1" applyAlignment="1">
      <alignment horizontal="right" vertical="center" shrinkToFit="1"/>
    </xf>
    <xf numFmtId="0" fontId="56" fillId="35" borderId="6" xfId="0" applyFont="1" applyFill="1" applyBorder="1" applyAlignment="1">
      <alignment vertical="center" shrinkToFit="1"/>
    </xf>
    <xf numFmtId="182" fontId="56" fillId="35" borderId="9" xfId="14" applyNumberFormat="1" applyFont="1" applyFill="1" applyBorder="1" applyAlignment="1">
      <alignment horizontal="right" vertical="center" shrinkToFit="1"/>
    </xf>
    <xf numFmtId="176" fontId="56" fillId="35" borderId="11" xfId="14" applyNumberFormat="1" applyFont="1" applyFill="1" applyBorder="1" applyAlignment="1">
      <alignment horizontal="right" vertical="center" shrinkToFit="1"/>
    </xf>
    <xf numFmtId="41" fontId="56" fillId="35" borderId="9" xfId="14" applyFont="1" applyFill="1" applyBorder="1" applyAlignment="1">
      <alignment horizontal="right" vertical="center" shrinkToFit="1"/>
    </xf>
    <xf numFmtId="176" fontId="56" fillId="35" borderId="9" xfId="14" applyNumberFormat="1" applyFont="1" applyFill="1" applyBorder="1" applyAlignment="1">
      <alignment horizontal="right" vertical="center" shrinkToFit="1"/>
    </xf>
    <xf numFmtId="0" fontId="56" fillId="35" borderId="7" xfId="0" applyFont="1" applyFill="1" applyBorder="1" applyAlignment="1">
      <alignment horizontal="right" vertical="center" shrinkToFit="1"/>
    </xf>
    <xf numFmtId="1" fontId="56" fillId="35" borderId="7" xfId="0" applyNumberFormat="1" applyFont="1" applyFill="1" applyBorder="1" applyAlignment="1">
      <alignment horizontal="right" vertical="center" shrinkToFit="1"/>
    </xf>
    <xf numFmtId="1" fontId="56" fillId="35" borderId="0" xfId="0" applyNumberFormat="1" applyFont="1" applyFill="1" applyBorder="1" applyAlignment="1">
      <alignment horizontal="center" vertical="center" shrinkToFit="1"/>
    </xf>
    <xf numFmtId="182" fontId="56" fillId="35" borderId="9" xfId="0" applyNumberFormat="1" applyFont="1" applyFill="1" applyBorder="1" applyAlignment="1">
      <alignment horizontal="right" vertical="center"/>
    </xf>
    <xf numFmtId="176" fontId="56" fillId="35" borderId="16" xfId="14" applyNumberFormat="1" applyFont="1" applyFill="1" applyBorder="1" applyAlignment="1">
      <alignment horizontal="right" vertical="center"/>
    </xf>
    <xf numFmtId="176" fontId="56" fillId="35" borderId="9" xfId="0" applyNumberFormat="1" applyFont="1" applyFill="1" applyBorder="1" applyAlignment="1">
      <alignment horizontal="right" vertical="center"/>
    </xf>
    <xf numFmtId="176" fontId="56" fillId="35" borderId="32" xfId="14" applyNumberFormat="1" applyFont="1" applyFill="1" applyBorder="1" applyAlignment="1">
      <alignment horizontal="right" vertical="center"/>
    </xf>
    <xf numFmtId="1" fontId="56" fillId="35" borderId="30" xfId="0" applyNumberFormat="1" applyFont="1" applyFill="1" applyBorder="1" applyAlignment="1">
      <alignment horizontal="right" vertical="center" shrinkToFit="1"/>
    </xf>
    <xf numFmtId="1" fontId="56" fillId="35" borderId="4" xfId="0" applyNumberFormat="1" applyFont="1" applyFill="1" applyBorder="1" applyAlignment="1">
      <alignment horizontal="center" vertical="center" shrinkToFit="1"/>
    </xf>
    <xf numFmtId="182" fontId="56" fillId="35" borderId="14" xfId="0" applyNumberFormat="1" applyFont="1" applyFill="1" applyBorder="1" applyAlignment="1">
      <alignment horizontal="right" vertical="center"/>
    </xf>
    <xf numFmtId="176" fontId="56" fillId="35" borderId="14" xfId="0" applyNumberFormat="1" applyFont="1" applyFill="1" applyBorder="1" applyAlignment="1">
      <alignment horizontal="right" vertical="center"/>
    </xf>
    <xf numFmtId="41" fontId="14" fillId="0" borderId="4" xfId="14" applyFont="1" applyFill="1" applyBorder="1" applyAlignment="1">
      <alignment vertical="center"/>
    </xf>
    <xf numFmtId="49" fontId="14" fillId="0" borderId="4" xfId="0" applyNumberFormat="1" applyFont="1" applyFill="1" applyBorder="1" applyAlignment="1">
      <alignment vertical="center"/>
    </xf>
    <xf numFmtId="0" fontId="14" fillId="0" borderId="4" xfId="0" applyFont="1" applyFill="1" applyBorder="1" applyAlignment="1">
      <alignment vertical="center"/>
    </xf>
    <xf numFmtId="182" fontId="57" fillId="0" borderId="4" xfId="14" applyNumberFormat="1" applyFont="1" applyFill="1" applyBorder="1" applyAlignment="1">
      <alignment vertical="center"/>
    </xf>
    <xf numFmtId="182" fontId="14" fillId="0" borderId="4" xfId="14" applyNumberFormat="1" applyFont="1" applyBorder="1" applyAlignment="1">
      <alignment horizontal="right" vertical="center" shrinkToFit="1"/>
    </xf>
    <xf numFmtId="49" fontId="14" fillId="0" borderId="12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distributed" vertical="center"/>
    </xf>
    <xf numFmtId="0" fontId="14" fillId="0" borderId="6" xfId="0" applyFont="1" applyFill="1" applyBorder="1" applyAlignment="1">
      <alignment horizontal="distributed" vertical="center"/>
    </xf>
    <xf numFmtId="182" fontId="14" fillId="0" borderId="6" xfId="14" applyNumberFormat="1" applyFont="1" applyFill="1" applyBorder="1" applyAlignment="1">
      <alignment horizontal="right" vertical="center"/>
    </xf>
    <xf numFmtId="1" fontId="14" fillId="0" borderId="0" xfId="0" applyNumberFormat="1" applyFont="1" applyFill="1" applyBorder="1" applyAlignment="1">
      <alignment horizontal="distributed" vertical="center"/>
    </xf>
    <xf numFmtId="1" fontId="14" fillId="0" borderId="6" xfId="0" applyNumberFormat="1" applyFont="1" applyFill="1" applyBorder="1" applyAlignment="1">
      <alignment horizontal="distributed" vertical="center"/>
    </xf>
    <xf numFmtId="41" fontId="14" fillId="0" borderId="6" xfId="14" applyFont="1" applyFill="1" applyBorder="1" applyAlignment="1">
      <alignment horizontal="right" vertical="center"/>
    </xf>
    <xf numFmtId="0" fontId="58" fillId="35" borderId="28" xfId="0" quotePrefix="1" applyFont="1" applyFill="1" applyBorder="1" applyAlignment="1">
      <alignment horizontal="distributed" vertical="center"/>
    </xf>
    <xf numFmtId="182" fontId="58" fillId="35" borderId="3" xfId="14" quotePrefix="1" applyNumberFormat="1" applyFont="1" applyFill="1" applyBorder="1" applyAlignment="1">
      <alignment horizontal="right" vertical="center"/>
    </xf>
    <xf numFmtId="0" fontId="14" fillId="0" borderId="0" xfId="0" applyFont="1" applyFill="1" applyAlignment="1">
      <alignment vertical="center"/>
    </xf>
    <xf numFmtId="182" fontId="14" fillId="0" borderId="0" xfId="14" applyNumberFormat="1" applyFont="1" applyFill="1" applyAlignment="1">
      <alignment vertical="center"/>
    </xf>
    <xf numFmtId="182" fontId="56" fillId="35" borderId="21" xfId="14" applyNumberFormat="1" applyFont="1" applyFill="1" applyBorder="1" applyAlignment="1">
      <alignment horizontal="center" vertical="center"/>
    </xf>
    <xf numFmtId="0" fontId="29" fillId="0" borderId="3" xfId="19" applyFont="1" applyBorder="1" applyAlignment="1">
      <alignment horizontal="left" vertical="center" indent="1"/>
    </xf>
    <xf numFmtId="176" fontId="29" fillId="34" borderId="3" xfId="19" applyNumberFormat="1" applyFont="1" applyFill="1" applyBorder="1" applyAlignment="1">
      <alignment horizontal="right" vertical="center"/>
    </xf>
    <xf numFmtId="0" fontId="29" fillId="0" borderId="0" xfId="0" applyFont="1"/>
    <xf numFmtId="1" fontId="17" fillId="0" borderId="0" xfId="0" applyNumberFormat="1" applyFont="1" applyAlignment="1">
      <alignment vertical="center" shrinkToFit="1"/>
    </xf>
    <xf numFmtId="1" fontId="29" fillId="0" borderId="0" xfId="0" applyNumberFormat="1" applyFont="1" applyBorder="1" applyAlignment="1">
      <alignment vertical="center" shrinkToFit="1"/>
    </xf>
    <xf numFmtId="1" fontId="29" fillId="0" borderId="0" xfId="0" applyNumberFormat="1" applyFont="1" applyBorder="1" applyAlignment="1">
      <alignment horizontal="right" vertical="center" shrinkToFit="1"/>
    </xf>
    <xf numFmtId="176" fontId="56" fillId="35" borderId="3" xfId="19" applyNumberFormat="1" applyFont="1" applyFill="1" applyBorder="1" applyAlignment="1">
      <alignment horizontal="center" vertical="center"/>
    </xf>
    <xf numFmtId="0" fontId="56" fillId="35" borderId="3" xfId="19" applyFont="1" applyFill="1" applyBorder="1" applyAlignment="1">
      <alignment horizontal="center" vertical="center"/>
    </xf>
    <xf numFmtId="182" fontId="29" fillId="0" borderId="0" xfId="14" applyNumberFormat="1" applyFont="1" applyBorder="1" applyAlignment="1">
      <alignment vertical="center" shrinkToFit="1"/>
    </xf>
    <xf numFmtId="0" fontId="58" fillId="0" borderId="0" xfId="0" applyFont="1"/>
    <xf numFmtId="49" fontId="0" fillId="0" borderId="12" xfId="0" applyNumberFormat="1" applyFont="1" applyFill="1" applyBorder="1" applyAlignment="1">
      <alignment horizontal="center" vertical="center"/>
    </xf>
    <xf numFmtId="0" fontId="55" fillId="0" borderId="44" xfId="95" applyFont="1" applyFill="1" applyBorder="1" applyAlignment="1">
      <alignment vertical="center"/>
    </xf>
    <xf numFmtId="0" fontId="55" fillId="0" borderId="24" xfId="95" applyFont="1" applyBorder="1" applyAlignment="1">
      <alignment vertical="center"/>
    </xf>
    <xf numFmtId="0" fontId="55" fillId="0" borderId="24" xfId="95" applyFont="1" applyFill="1" applyBorder="1" applyAlignment="1">
      <alignment vertical="center"/>
    </xf>
    <xf numFmtId="0" fontId="55" fillId="0" borderId="0" xfId="95" applyFont="1" applyFill="1" applyBorder="1" applyAlignment="1">
      <alignment vertical="center"/>
    </xf>
    <xf numFmtId="0" fontId="55" fillId="0" borderId="44" xfId="95" applyFont="1" applyFill="1" applyBorder="1" applyAlignment="1">
      <alignment horizontal="left" vertical="center"/>
    </xf>
    <xf numFmtId="0" fontId="55" fillId="0" borderId="24" xfId="95" applyFont="1" applyFill="1" applyBorder="1"/>
    <xf numFmtId="0" fontId="55" fillId="0" borderId="12" xfId="95" applyFont="1" applyBorder="1"/>
    <xf numFmtId="0" fontId="55" fillId="0" borderId="0" xfId="95" applyFont="1" applyFill="1" applyBorder="1" applyAlignment="1">
      <alignment horizontal="justify" vertical="center"/>
    </xf>
    <xf numFmtId="0" fontId="55" fillId="0" borderId="45" xfId="95" applyFont="1" applyBorder="1"/>
    <xf numFmtId="0" fontId="55" fillId="0" borderId="46" xfId="95" applyFont="1" applyFill="1" applyBorder="1" applyAlignment="1">
      <alignment vertical="center"/>
    </xf>
    <xf numFmtId="0" fontId="55" fillId="0" borderId="46" xfId="95" applyFont="1" applyFill="1" applyBorder="1" applyAlignment="1">
      <alignment horizontal="justify" vertical="center"/>
    </xf>
    <xf numFmtId="0" fontId="54" fillId="0" borderId="0" xfId="95" applyFont="1" applyFill="1" applyBorder="1" applyAlignment="1">
      <alignment horizontal="left" vertical="center"/>
    </xf>
    <xf numFmtId="0" fontId="60" fillId="0" borderId="0" xfId="0" applyFont="1" applyBorder="1" applyAlignment="1">
      <alignment horizontal="left" vertical="top" wrapText="1" indent="1"/>
    </xf>
    <xf numFmtId="0" fontId="61" fillId="0" borderId="24" xfId="95" applyFont="1" applyFill="1" applyBorder="1"/>
    <xf numFmtId="0" fontId="61" fillId="0" borderId="0" xfId="95" applyFont="1" applyFill="1" applyBorder="1"/>
    <xf numFmtId="0" fontId="55" fillId="0" borderId="0" xfId="95" applyFont="1" applyFill="1" applyBorder="1" applyAlignment="1">
      <alignment horizontal="left" vertical="center"/>
    </xf>
    <xf numFmtId="0" fontId="61" fillId="0" borderId="0" xfId="95" applyFont="1" applyFill="1" applyBorder="1" applyAlignment="1">
      <alignment vertical="center"/>
    </xf>
    <xf numFmtId="0" fontId="60" fillId="0" borderId="46" xfId="0" applyFont="1" applyBorder="1" applyAlignment="1">
      <alignment horizontal="left" vertical="top" wrapText="1" indent="1"/>
    </xf>
    <xf numFmtId="1" fontId="29" fillId="0" borderId="0" xfId="0" applyNumberFormat="1" applyFont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0" fontId="0" fillId="0" borderId="0" xfId="0"/>
    <xf numFmtId="41" fontId="29" fillId="0" borderId="9" xfId="14" applyFont="1" applyFill="1" applyBorder="1" applyAlignment="1">
      <alignment horizontal="right" vertical="center" shrinkToFit="1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56" fillId="35" borderId="3" xfId="19" applyNumberFormat="1" applyFont="1" applyFill="1" applyBorder="1" applyAlignment="1">
      <alignment horizontal="right" vertical="center"/>
    </xf>
    <xf numFmtId="182" fontId="60" fillId="0" borderId="12" xfId="0" applyNumberFormat="1" applyFont="1" applyBorder="1" applyAlignment="1">
      <alignment horizontal="right" vertical="top" wrapText="1"/>
    </xf>
    <xf numFmtId="182" fontId="60" fillId="0" borderId="0" xfId="0" applyNumberFormat="1" applyFont="1" applyBorder="1" applyAlignment="1">
      <alignment horizontal="right" vertical="top" wrapText="1"/>
    </xf>
    <xf numFmtId="182" fontId="60" fillId="0" borderId="9" xfId="0" applyNumberFormat="1" applyFont="1" applyBorder="1" applyAlignment="1">
      <alignment horizontal="right" vertical="top" wrapText="1"/>
    </xf>
    <xf numFmtId="182" fontId="62" fillId="0" borderId="12" xfId="0" applyNumberFormat="1" applyFont="1" applyBorder="1" applyAlignment="1">
      <alignment horizontal="right" vertical="top" wrapText="1"/>
    </xf>
    <xf numFmtId="182" fontId="62" fillId="0" borderId="11" xfId="0" applyNumberFormat="1" applyFont="1" applyBorder="1" applyAlignment="1">
      <alignment horizontal="right" vertical="top" wrapText="1"/>
    </xf>
    <xf numFmtId="182" fontId="62" fillId="0" borderId="0" xfId="0" applyNumberFormat="1" applyFont="1" applyBorder="1" applyAlignment="1">
      <alignment horizontal="right" vertical="top" wrapText="1"/>
    </xf>
    <xf numFmtId="182" fontId="62" fillId="0" borderId="9" xfId="0" applyNumberFormat="1" applyFont="1" applyBorder="1" applyAlignment="1">
      <alignment horizontal="right" vertical="top" wrapText="1"/>
    </xf>
    <xf numFmtId="182" fontId="62" fillId="0" borderId="24" xfId="0" applyNumberFormat="1" applyFont="1" applyBorder="1" applyAlignment="1">
      <alignment horizontal="right" vertical="top" wrapText="1"/>
    </xf>
    <xf numFmtId="182" fontId="60" fillId="0" borderId="19" xfId="0" applyNumberFormat="1" applyFont="1" applyBorder="1" applyAlignment="1">
      <alignment horizontal="right" vertical="top" wrapText="1"/>
    </xf>
    <xf numFmtId="182" fontId="60" fillId="0" borderId="46" xfId="0" applyNumberFormat="1" applyFont="1" applyBorder="1" applyAlignment="1">
      <alignment horizontal="right" vertical="top" wrapText="1"/>
    </xf>
    <xf numFmtId="176" fontId="56" fillId="35" borderId="27" xfId="19" applyNumberFormat="1" applyFont="1" applyFill="1" applyBorder="1" applyAlignment="1">
      <alignment horizontal="right" vertical="center"/>
    </xf>
    <xf numFmtId="176" fontId="56" fillId="35" borderId="0" xfId="19" applyNumberFormat="1" applyFont="1" applyFill="1" applyBorder="1" applyAlignment="1">
      <alignment horizontal="right" vertical="center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41" fontId="60" fillId="0" borderId="12" xfId="14" applyFont="1" applyBorder="1" applyAlignment="1">
      <alignment horizontal="right" vertical="top" wrapText="1"/>
    </xf>
    <xf numFmtId="1" fontId="0" fillId="0" borderId="0" xfId="0" applyNumberFormat="1" applyFont="1" applyFill="1" applyBorder="1" applyAlignment="1">
      <alignment horizontal="distributed" vertical="center"/>
    </xf>
    <xf numFmtId="3" fontId="29" fillId="0" borderId="9" xfId="14" applyNumberFormat="1" applyFont="1" applyFill="1" applyBorder="1" applyAlignment="1">
      <alignment horizontal="right" vertical="center" shrinkToFit="1"/>
    </xf>
    <xf numFmtId="0" fontId="29" fillId="0" borderId="9" xfId="14" applyNumberFormat="1" applyFont="1" applyFill="1" applyBorder="1" applyAlignment="1">
      <alignment horizontal="right" vertical="center" shrinkToFit="1"/>
    </xf>
    <xf numFmtId="0" fontId="29" fillId="0" borderId="18" xfId="14" applyNumberFormat="1" applyFont="1" applyFill="1" applyBorder="1" applyAlignment="1">
      <alignment horizontal="right" vertical="center" shrinkToFit="1"/>
    </xf>
    <xf numFmtId="182" fontId="60" fillId="0" borderId="9" xfId="14" applyNumberFormat="1" applyFont="1" applyBorder="1" applyAlignment="1">
      <alignment horizontal="right" vertical="top" wrapText="1"/>
    </xf>
    <xf numFmtId="176" fontId="29" fillId="0" borderId="3" xfId="19" quotePrefix="1" applyNumberFormat="1" applyFont="1" applyBorder="1" applyAlignment="1">
      <alignment horizontal="right" vertical="center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center" vertical="center" shrinkToFit="1"/>
    </xf>
    <xf numFmtId="49" fontId="29" fillId="0" borderId="0" xfId="0" applyNumberFormat="1" applyFont="1" applyFill="1" applyBorder="1" applyAlignment="1">
      <alignment horizontal="center" vertical="center" shrinkToFit="1"/>
    </xf>
    <xf numFmtId="1" fontId="29" fillId="0" borderId="31" xfId="0" applyNumberFormat="1" applyFont="1" applyBorder="1" applyAlignment="1">
      <alignment horizontal="center" vertical="center" shrinkToFit="1"/>
    </xf>
    <xf numFmtId="1" fontId="29" fillId="0" borderId="24" xfId="0" applyNumberFormat="1" applyFont="1" applyBorder="1" applyAlignment="1">
      <alignment horizontal="center" vertical="center" shrinkToFit="1"/>
    </xf>
    <xf numFmtId="1" fontId="29" fillId="0" borderId="7" xfId="0" applyNumberFormat="1" applyFont="1" applyBorder="1" applyAlignment="1">
      <alignment horizontal="center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0" borderId="17" xfId="0" applyNumberFormat="1" applyFont="1" applyBorder="1" applyAlignment="1">
      <alignment horizontal="center" vertical="center" shrinkToFit="1"/>
    </xf>
    <xf numFmtId="49" fontId="56" fillId="35" borderId="4" xfId="0" applyNumberFormat="1" applyFont="1" applyFill="1" applyBorder="1" applyAlignment="1">
      <alignment horizontal="distributed" vertical="center" shrinkToFit="1"/>
    </xf>
    <xf numFmtId="49" fontId="56" fillId="35" borderId="0" xfId="0" applyNumberFormat="1" applyFont="1" applyFill="1" applyBorder="1" applyAlignment="1">
      <alignment horizontal="distributed" vertical="center" shrinkToFi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34" borderId="7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1" fontId="33" fillId="0" borderId="22" xfId="0" applyNumberFormat="1" applyFont="1" applyBorder="1" applyAlignment="1">
      <alignment horizontal="center" vertical="center" shrinkToFit="1"/>
    </xf>
    <xf numFmtId="1" fontId="33" fillId="0" borderId="25" xfId="0" applyNumberFormat="1" applyFont="1" applyBorder="1" applyAlignment="1">
      <alignment horizontal="center" vertical="center" shrinkToFit="1"/>
    </xf>
    <xf numFmtId="1" fontId="33" fillId="0" borderId="23" xfId="0" applyNumberFormat="1" applyFont="1" applyBorder="1" applyAlignment="1">
      <alignment horizontal="center" vertical="center" shrinkToFit="1"/>
    </xf>
    <xf numFmtId="41" fontId="56" fillId="35" borderId="26" xfId="14" applyFont="1" applyFill="1" applyBorder="1" applyAlignment="1">
      <alignment horizontal="center" vertical="center" shrinkToFit="1"/>
    </xf>
    <xf numFmtId="41" fontId="56" fillId="35" borderId="20" xfId="14" applyFont="1" applyFill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41" fontId="29" fillId="0" borderId="30" xfId="14" applyFont="1" applyBorder="1" applyAlignment="1">
      <alignment horizontal="left" vertical="center" shrinkToFit="1"/>
    </xf>
    <xf numFmtId="41" fontId="29" fillId="0" borderId="4" xfId="14" applyFont="1" applyBorder="1" applyAlignment="1">
      <alignment horizontal="left" vertical="center" shrinkToFit="1"/>
    </xf>
    <xf numFmtId="41" fontId="56" fillId="35" borderId="10" xfId="14" applyFont="1" applyFill="1" applyBorder="1" applyAlignment="1">
      <alignment horizontal="center" vertical="center" shrinkToFit="1"/>
    </xf>
    <xf numFmtId="1" fontId="29" fillId="0" borderId="0" xfId="0" applyNumberFormat="1" applyFont="1" applyFill="1" applyBorder="1" applyAlignment="1">
      <alignment horizontal="distributed" vertical="center" shrinkToFit="1"/>
    </xf>
    <xf numFmtId="0" fontId="29" fillId="0" borderId="0" xfId="0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right" vertical="center"/>
    </xf>
    <xf numFmtId="49" fontId="33" fillId="0" borderId="22" xfId="0" applyNumberFormat="1" applyFont="1" applyBorder="1" applyAlignment="1">
      <alignment horizontal="center" vertical="center" shrinkToFit="1"/>
    </xf>
    <xf numFmtId="49" fontId="33" fillId="0" borderId="25" xfId="0" applyNumberFormat="1" applyFont="1" applyBorder="1" applyAlignment="1">
      <alignment horizontal="center" vertical="center" shrinkToFit="1"/>
    </xf>
    <xf numFmtId="49" fontId="33" fillId="0" borderId="23" xfId="0" applyNumberFormat="1" applyFont="1" applyBorder="1" applyAlignment="1">
      <alignment horizontal="center" vertical="center" shrinkToFit="1"/>
    </xf>
    <xf numFmtId="41" fontId="29" fillId="0" borderId="7" xfId="14" applyFont="1" applyBorder="1" applyAlignment="1">
      <alignment horizontal="left" vertical="center" shrinkToFit="1"/>
    </xf>
    <xf numFmtId="41" fontId="29" fillId="0" borderId="0" xfId="14" applyFont="1" applyBorder="1" applyAlignment="1">
      <alignment horizontal="left" vertical="center" shrinkToFit="1"/>
    </xf>
    <xf numFmtId="41" fontId="56" fillId="35" borderId="27" xfId="14" applyFont="1" applyFill="1" applyBorder="1" applyAlignment="1">
      <alignment horizontal="center" vertical="center" shrinkToFit="1"/>
    </xf>
    <xf numFmtId="41" fontId="56" fillId="35" borderId="34" xfId="14" applyFont="1" applyFill="1" applyBorder="1" applyAlignment="1">
      <alignment horizontal="center" vertical="center" shrinkToFit="1"/>
    </xf>
    <xf numFmtId="41" fontId="56" fillId="35" borderId="28" xfId="14" applyFont="1" applyFill="1" applyBorder="1" applyAlignment="1">
      <alignment horizontal="center" vertical="center" shrinkToFit="1"/>
    </xf>
    <xf numFmtId="0" fontId="29" fillId="0" borderId="0" xfId="0" applyNumberFormat="1" applyFont="1" applyFill="1" applyBorder="1" applyAlignment="1">
      <alignment horizontal="distributed" vertical="center" shrinkToFit="1"/>
    </xf>
    <xf numFmtId="49" fontId="56" fillId="35" borderId="33" xfId="0" applyNumberFormat="1" applyFont="1" applyFill="1" applyBorder="1" applyAlignment="1">
      <alignment horizontal="center" vertical="center" shrinkToFit="1"/>
    </xf>
    <xf numFmtId="49" fontId="56" fillId="35" borderId="2" xfId="0" applyNumberFormat="1" applyFont="1" applyFill="1" applyBorder="1" applyAlignment="1">
      <alignment horizontal="center" vertical="center" shrinkToFit="1"/>
    </xf>
    <xf numFmtId="0" fontId="51" fillId="0" borderId="0" xfId="0" applyFont="1" applyFill="1" applyBorder="1" applyAlignment="1">
      <alignment horizontal="distributed" vertical="center" shrinkToFit="1"/>
    </xf>
    <xf numFmtId="41" fontId="59" fillId="0" borderId="0" xfId="14" applyFont="1" applyFill="1" applyBorder="1" applyAlignment="1">
      <alignment horizontal="center" vertical="center"/>
    </xf>
    <xf numFmtId="49" fontId="14" fillId="0" borderId="0" xfId="14" applyNumberFormat="1" applyFont="1" applyFill="1" applyBorder="1" applyAlignment="1">
      <alignment horizontal="center" vertical="center"/>
    </xf>
    <xf numFmtId="41" fontId="14" fillId="0" borderId="0" xfId="14" applyFont="1" applyFill="1" applyBorder="1" applyAlignment="1">
      <alignment horizontal="center" vertical="center"/>
    </xf>
    <xf numFmtId="0" fontId="58" fillId="35" borderId="27" xfId="0" applyFont="1" applyFill="1" applyBorder="1" applyAlignment="1">
      <alignment horizontal="distributed" vertical="center" indent="1"/>
    </xf>
    <xf numFmtId="0" fontId="58" fillId="35" borderId="2" xfId="0" applyFont="1" applyFill="1" applyBorder="1" applyAlignment="1">
      <alignment horizontal="distributed" vertical="center" indent="1"/>
    </xf>
    <xf numFmtId="0" fontId="56" fillId="35" borderId="26" xfId="0" applyFont="1" applyFill="1" applyBorder="1" applyAlignment="1">
      <alignment horizontal="center" vertical="center"/>
    </xf>
    <xf numFmtId="0" fontId="56" fillId="35" borderId="8" xfId="0" applyFont="1" applyFill="1" applyBorder="1" applyAlignment="1">
      <alignment horizontal="center" vertical="center"/>
    </xf>
    <xf numFmtId="0" fontId="56" fillId="35" borderId="10" xfId="0" applyFont="1" applyFill="1" applyBorder="1" applyAlignment="1">
      <alignment horizontal="center" vertical="center"/>
    </xf>
    <xf numFmtId="0" fontId="55" fillId="0" borderId="0" xfId="95" applyFont="1" applyFill="1" applyBorder="1" applyAlignment="1">
      <alignment horizontal="left" vertical="center"/>
    </xf>
    <xf numFmtId="182" fontId="53" fillId="0" borderId="0" xfId="94" applyNumberFormat="1" applyFont="1" applyFill="1" applyBorder="1" applyAlignment="1">
      <alignment horizontal="center" vertical="center"/>
    </xf>
    <xf numFmtId="182" fontId="52" fillId="0" borderId="0" xfId="94" applyNumberFormat="1" applyFont="1" applyFill="1" applyBorder="1" applyAlignment="1">
      <alignment horizontal="center" vertical="center"/>
    </xf>
    <xf numFmtId="0" fontId="55" fillId="35" borderId="44" xfId="95" applyFont="1" applyFill="1" applyBorder="1" applyAlignment="1">
      <alignment horizontal="center" vertical="center"/>
    </xf>
    <xf numFmtId="0" fontId="55" fillId="35" borderId="24" xfId="95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/>
    </xf>
    <xf numFmtId="182" fontId="55" fillId="35" borderId="28" xfId="95" applyNumberFormat="1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 wrapText="1"/>
    </xf>
    <xf numFmtId="182" fontId="55" fillId="35" borderId="28" xfId="95" applyNumberFormat="1" applyFont="1" applyFill="1" applyBorder="1" applyAlignment="1">
      <alignment horizontal="center" vertical="center" wrapText="1"/>
    </xf>
    <xf numFmtId="1" fontId="33" fillId="0" borderId="0" xfId="0" applyNumberFormat="1" applyFont="1" applyBorder="1" applyAlignment="1">
      <alignment horizontal="center" vertical="center" shrinkToFit="1"/>
    </xf>
    <xf numFmtId="182" fontId="60" fillId="0" borderId="12" xfId="0" quotePrefix="1" applyNumberFormat="1" applyFont="1" applyBorder="1" applyAlignment="1">
      <alignment horizontal="right" vertical="top" wrapText="1"/>
    </xf>
    <xf numFmtId="41" fontId="60" fillId="0" borderId="9" xfId="14" quotePrefix="1" applyFont="1" applyBorder="1" applyAlignment="1">
      <alignment horizontal="right" vertical="top" wrapText="1"/>
    </xf>
    <xf numFmtId="182" fontId="60" fillId="0" borderId="9" xfId="0" quotePrefix="1" applyNumberFormat="1" applyFont="1" applyBorder="1" applyAlignment="1">
      <alignment horizontal="right" vertical="top" wrapText="1"/>
    </xf>
    <xf numFmtId="182" fontId="62" fillId="0" borderId="11" xfId="0" quotePrefix="1" applyNumberFormat="1" applyFont="1" applyBorder="1" applyAlignment="1">
      <alignment horizontal="right" vertical="top" wrapText="1"/>
    </xf>
    <xf numFmtId="182" fontId="60" fillId="0" borderId="19" xfId="0" quotePrefix="1" applyNumberFormat="1" applyFont="1" applyBorder="1" applyAlignment="1">
      <alignment horizontal="right" vertical="top" wrapText="1"/>
    </xf>
    <xf numFmtId="182" fontId="60" fillId="0" borderId="12" xfId="14" applyNumberFormat="1" applyFont="1" applyBorder="1" applyAlignment="1">
      <alignment horizontal="right" vertical="top" wrapText="1"/>
    </xf>
  </cellXfs>
  <cellStyles count="2190">
    <cellStyle name="%" xfId="831"/>
    <cellStyle name=".000" xfId="832"/>
    <cellStyle name="??&amp;O?&amp;H?_x0008__x000f__x0007_?_x0007__x0001__x0001_" xfId="833"/>
    <cellStyle name="??&amp;O?&amp;H?_x0008_??_x0007__x0001__x0001_" xfId="834"/>
    <cellStyle name="??_x0011_?_x0010_?" xfId="835"/>
    <cellStyle name="?W?_BOOKSHIP" xfId="836"/>
    <cellStyle name="_~7207288" xfId="837"/>
    <cellStyle name="_Agere-FS03(draft)" xfId="838"/>
    <cellStyle name="_Deferred tax" xfId="839"/>
    <cellStyle name="_Deferred tax(Mja03)" xfId="840"/>
    <cellStyle name="_FS03(MMK)-final(revised)" xfId="841"/>
    <cellStyle name="_HT&amp;C2005FS20060131" xfId="842"/>
    <cellStyle name="_LS(Legend_04)" xfId="843"/>
    <cellStyle name="_LS(한화투신운용04)" xfId="844"/>
    <cellStyle name="_Scoresheet(해태2005)" xfId="845"/>
    <cellStyle name="_가세무조정(Mja_Semi04)" xfId="846"/>
    <cellStyle name="_무형자산 wp" xfId="847"/>
    <cellStyle name="_무형자산(개발비_영업권)" xfId="848"/>
    <cellStyle name="_수정사항(2006220)" xfId="849"/>
    <cellStyle name="_자본(3Q)" xfId="850"/>
    <cellStyle name="_재고LS" xfId="851"/>
    <cellStyle name="_투자유가증권(04)" xfId="852"/>
    <cellStyle name="¡§¡i￠R|?¨I￠R맊?e [0.00]_PRODUCT DETAIL Q3 (2)" xfId="853"/>
    <cellStyle name="¡§¡i￠R|?¨I￠R맊?e_PRODUCT DETAIL Q1" xfId="854"/>
    <cellStyle name="’E‰Y [0.00]_PRODUCT DETAIL Q3 (2)_6.Sample ⓒoYAaⓒø¡i￠?¨￡ " xfId="855"/>
    <cellStyle name="’E‰Y_PRODUCT DETAIL Q3 (2)_6.Sample ⓒoYAaⓒø¡i￠?¨￡ " xfId="856"/>
    <cellStyle name="￠R?E¡E￠OY [0.00]_PRODUCT DETAIL Q3 (2)" xfId="857"/>
    <cellStyle name="⥜준_제강원가최종_1" xfId="858"/>
    <cellStyle name="12" xfId="859"/>
    <cellStyle name="16" xfId="860"/>
    <cellStyle name="1월" xfId="861"/>
    <cellStyle name="20% - 강조색1" xfId="37" builtinId="30" customBuiltin="1"/>
    <cellStyle name="20% - 강조색1 10" xfId="229"/>
    <cellStyle name="20% - 강조색1 11" xfId="656"/>
    <cellStyle name="20% - 강조색1 12" xfId="862"/>
    <cellStyle name="20% - 강조색1 2" xfId="64"/>
    <cellStyle name="20% - 강조색1 2 2" xfId="153"/>
    <cellStyle name="20% - 강조색1 2 2 2" xfId="525"/>
    <cellStyle name="20% - 강조색1 2 2 2 2" xfId="1974"/>
    <cellStyle name="20% - 강조색1 2 2 3" xfId="349"/>
    <cellStyle name="20% - 강조색1 2 2 4" xfId="759"/>
    <cellStyle name="20% - 강조색1 2 2 5" xfId="1597"/>
    <cellStyle name="20% - 강조색1 2 3" xfId="438"/>
    <cellStyle name="20% - 강조색1 2 3 2" xfId="1855"/>
    <cellStyle name="20% - 강조색1 2 4" xfId="246"/>
    <cellStyle name="20% - 강조색1 2 5" xfId="672"/>
    <cellStyle name="20% - 강조색1 2 6" xfId="1467"/>
    <cellStyle name="20% - 강조색1 3" xfId="78"/>
    <cellStyle name="20% - 강조색1 3 2" xfId="167"/>
    <cellStyle name="20% - 강조색1 3 2 2" xfId="539"/>
    <cellStyle name="20% - 강조색1 3 2 3" xfId="363"/>
    <cellStyle name="20% - 강조색1 3 2 4" xfId="773"/>
    <cellStyle name="20% - 강조색1 3 2 5" xfId="2060"/>
    <cellStyle name="20% - 강조색1 3 3" xfId="452"/>
    <cellStyle name="20% - 강조색1 3 4" xfId="271"/>
    <cellStyle name="20% - 강조색1 3 5" xfId="686"/>
    <cellStyle name="20% - 강조색1 3 6" xfId="1683"/>
    <cellStyle name="20% - 강조색1 4" xfId="97"/>
    <cellStyle name="20% - 강조색1 4 2" xfId="184"/>
    <cellStyle name="20% - 강조색1 4 2 2" xfId="556"/>
    <cellStyle name="20% - 강조색1 4 2 3" xfId="380"/>
    <cellStyle name="20% - 강조색1 4 2 4" xfId="790"/>
    <cellStyle name="20% - 강조색1 4 2 5" xfId="2114"/>
    <cellStyle name="20% - 강조색1 4 3" xfId="469"/>
    <cellStyle name="20% - 강조색1 4 4" xfId="286"/>
    <cellStyle name="20% - 강조색1 4 5" xfId="703"/>
    <cellStyle name="20% - 강조색1 4 6" xfId="1754"/>
    <cellStyle name="20% - 강조색1 5" xfId="111"/>
    <cellStyle name="20% - 강조색1 5 2" xfId="198"/>
    <cellStyle name="20% - 강조색1 5 2 2" xfId="570"/>
    <cellStyle name="20% - 강조색1 5 2 3" xfId="394"/>
    <cellStyle name="20% - 강조색1 5 2 4" xfId="804"/>
    <cellStyle name="20% - 강조색1 5 2 5" xfId="2175"/>
    <cellStyle name="20% - 강조색1 5 3" xfId="483"/>
    <cellStyle name="20% - 강조색1 5 4" xfId="301"/>
    <cellStyle name="20% - 강조색1 5 5" xfId="717"/>
    <cellStyle name="20% - 강조색1 5 6" xfId="1825"/>
    <cellStyle name="20% - 강조색1 6" xfId="125"/>
    <cellStyle name="20% - 강조색1 6 2" xfId="212"/>
    <cellStyle name="20% - 강조색1 6 2 2" xfId="584"/>
    <cellStyle name="20% - 강조색1 6 2 3" xfId="408"/>
    <cellStyle name="20% - 강조색1 6 2 4" xfId="818"/>
    <cellStyle name="20% - 강조색1 6 3" xfId="497"/>
    <cellStyle name="20% - 강조색1 6 4" xfId="316"/>
    <cellStyle name="20% - 강조색1 6 5" xfId="731"/>
    <cellStyle name="20% - 강조색1 7" xfId="137"/>
    <cellStyle name="20% - 강조색1 7 2" xfId="509"/>
    <cellStyle name="20% - 강조색1 7 3" xfId="333"/>
    <cellStyle name="20% - 강조색1 7 4" xfId="743"/>
    <cellStyle name="20% - 강조색1 8" xfId="422"/>
    <cellStyle name="20% - 강조색1 9" xfId="600"/>
    <cellStyle name="20% - 강조색2" xfId="41" builtinId="34" customBuiltin="1"/>
    <cellStyle name="20% - 강조색2 10" xfId="231"/>
    <cellStyle name="20% - 강조색2 11" xfId="658"/>
    <cellStyle name="20% - 강조색2 12" xfId="863"/>
    <cellStyle name="20% - 강조색2 2" xfId="66"/>
    <cellStyle name="20% - 강조색2 2 2" xfId="155"/>
    <cellStyle name="20% - 강조색2 2 2 2" xfId="527"/>
    <cellStyle name="20% - 강조색2 2 2 2 2" xfId="1976"/>
    <cellStyle name="20% - 강조색2 2 2 3" xfId="351"/>
    <cellStyle name="20% - 강조색2 2 2 4" xfId="761"/>
    <cellStyle name="20% - 강조색2 2 2 5" xfId="1599"/>
    <cellStyle name="20% - 강조색2 2 3" xfId="440"/>
    <cellStyle name="20% - 강조색2 2 3 2" xfId="1857"/>
    <cellStyle name="20% - 강조색2 2 4" xfId="248"/>
    <cellStyle name="20% - 강조색2 2 5" xfId="674"/>
    <cellStyle name="20% - 강조색2 2 6" xfId="1471"/>
    <cellStyle name="20% - 강조색2 3" xfId="80"/>
    <cellStyle name="20% - 강조색2 3 2" xfId="169"/>
    <cellStyle name="20% - 강조색2 3 2 2" xfId="541"/>
    <cellStyle name="20% - 강조색2 3 2 3" xfId="365"/>
    <cellStyle name="20% - 강조색2 3 2 4" xfId="775"/>
    <cellStyle name="20% - 강조색2 3 2 5" xfId="2064"/>
    <cellStyle name="20% - 강조색2 3 3" xfId="454"/>
    <cellStyle name="20% - 강조색2 3 4" xfId="273"/>
    <cellStyle name="20% - 강조색2 3 5" xfId="688"/>
    <cellStyle name="20% - 강조색2 3 6" xfId="1687"/>
    <cellStyle name="20% - 강조색2 4" xfId="99"/>
    <cellStyle name="20% - 강조색2 4 2" xfId="186"/>
    <cellStyle name="20% - 강조색2 4 2 2" xfId="558"/>
    <cellStyle name="20% - 강조색2 4 2 3" xfId="382"/>
    <cellStyle name="20% - 강조색2 4 2 4" xfId="792"/>
    <cellStyle name="20% - 강조색2 4 2 5" xfId="2116"/>
    <cellStyle name="20% - 강조색2 4 3" xfId="471"/>
    <cellStyle name="20% - 강조색2 4 4" xfId="288"/>
    <cellStyle name="20% - 강조색2 4 5" xfId="705"/>
    <cellStyle name="20% - 강조색2 4 6" xfId="1758"/>
    <cellStyle name="20% - 강조색2 5" xfId="113"/>
    <cellStyle name="20% - 강조색2 5 2" xfId="200"/>
    <cellStyle name="20% - 강조색2 5 2 2" xfId="572"/>
    <cellStyle name="20% - 강조색2 5 2 3" xfId="396"/>
    <cellStyle name="20% - 강조색2 5 2 4" xfId="806"/>
    <cellStyle name="20% - 강조색2 5 2 5" xfId="2177"/>
    <cellStyle name="20% - 강조색2 5 3" xfId="485"/>
    <cellStyle name="20% - 강조색2 5 4" xfId="303"/>
    <cellStyle name="20% - 강조색2 5 5" xfId="719"/>
    <cellStyle name="20% - 강조색2 5 6" xfId="1827"/>
    <cellStyle name="20% - 강조색2 6" xfId="127"/>
    <cellStyle name="20% - 강조색2 6 2" xfId="214"/>
    <cellStyle name="20% - 강조색2 6 2 2" xfId="586"/>
    <cellStyle name="20% - 강조색2 6 2 3" xfId="410"/>
    <cellStyle name="20% - 강조색2 6 2 4" xfId="820"/>
    <cellStyle name="20% - 강조색2 6 3" xfId="499"/>
    <cellStyle name="20% - 강조색2 6 4" xfId="318"/>
    <cellStyle name="20% - 강조색2 6 5" xfId="733"/>
    <cellStyle name="20% - 강조색2 7" xfId="139"/>
    <cellStyle name="20% - 강조색2 7 2" xfId="511"/>
    <cellStyle name="20% - 강조색2 7 3" xfId="335"/>
    <cellStyle name="20% - 강조색2 7 4" xfId="745"/>
    <cellStyle name="20% - 강조색2 8" xfId="424"/>
    <cellStyle name="20% - 강조색2 9" xfId="602"/>
    <cellStyle name="20% - 강조색3" xfId="45" builtinId="38" customBuiltin="1"/>
    <cellStyle name="20% - 강조색3 10" xfId="233"/>
    <cellStyle name="20% - 강조색3 11" xfId="660"/>
    <cellStyle name="20% - 강조색3 12" xfId="864"/>
    <cellStyle name="20% - 강조색3 2" xfId="68"/>
    <cellStyle name="20% - 강조색3 2 2" xfId="157"/>
    <cellStyle name="20% - 강조색3 2 2 2" xfId="529"/>
    <cellStyle name="20% - 강조색3 2 2 2 2" xfId="1978"/>
    <cellStyle name="20% - 강조색3 2 2 3" xfId="353"/>
    <cellStyle name="20% - 강조색3 2 2 4" xfId="763"/>
    <cellStyle name="20% - 강조색3 2 2 5" xfId="1601"/>
    <cellStyle name="20% - 강조색3 2 3" xfId="442"/>
    <cellStyle name="20% - 강조색3 2 3 2" xfId="1859"/>
    <cellStyle name="20% - 강조색3 2 4" xfId="250"/>
    <cellStyle name="20% - 강조색3 2 5" xfId="676"/>
    <cellStyle name="20% - 강조색3 2 6" xfId="1475"/>
    <cellStyle name="20% - 강조색3 3" xfId="82"/>
    <cellStyle name="20% - 강조색3 3 2" xfId="171"/>
    <cellStyle name="20% - 강조색3 3 2 2" xfId="543"/>
    <cellStyle name="20% - 강조색3 3 2 3" xfId="367"/>
    <cellStyle name="20% - 강조색3 3 2 4" xfId="777"/>
    <cellStyle name="20% - 강조색3 3 2 5" xfId="2068"/>
    <cellStyle name="20% - 강조색3 3 3" xfId="456"/>
    <cellStyle name="20% - 강조색3 3 4" xfId="275"/>
    <cellStyle name="20% - 강조색3 3 5" xfId="690"/>
    <cellStyle name="20% - 강조색3 3 6" xfId="1691"/>
    <cellStyle name="20% - 강조색3 4" xfId="101"/>
    <cellStyle name="20% - 강조색3 4 2" xfId="188"/>
    <cellStyle name="20% - 강조색3 4 2 2" xfId="560"/>
    <cellStyle name="20% - 강조색3 4 2 3" xfId="384"/>
    <cellStyle name="20% - 강조색3 4 2 4" xfId="794"/>
    <cellStyle name="20% - 강조색3 4 2 5" xfId="2118"/>
    <cellStyle name="20% - 강조색3 4 3" xfId="473"/>
    <cellStyle name="20% - 강조색3 4 4" xfId="290"/>
    <cellStyle name="20% - 강조색3 4 5" xfId="707"/>
    <cellStyle name="20% - 강조색3 4 6" xfId="1762"/>
    <cellStyle name="20% - 강조색3 5" xfId="115"/>
    <cellStyle name="20% - 강조색3 5 2" xfId="202"/>
    <cellStyle name="20% - 강조색3 5 2 2" xfId="574"/>
    <cellStyle name="20% - 강조색3 5 2 3" xfId="398"/>
    <cellStyle name="20% - 강조색3 5 2 4" xfId="808"/>
    <cellStyle name="20% - 강조색3 5 2 5" xfId="2179"/>
    <cellStyle name="20% - 강조색3 5 3" xfId="487"/>
    <cellStyle name="20% - 강조색3 5 4" xfId="305"/>
    <cellStyle name="20% - 강조색3 5 5" xfId="721"/>
    <cellStyle name="20% - 강조색3 5 6" xfId="1829"/>
    <cellStyle name="20% - 강조색3 6" xfId="129"/>
    <cellStyle name="20% - 강조색3 6 2" xfId="216"/>
    <cellStyle name="20% - 강조색3 6 2 2" xfId="588"/>
    <cellStyle name="20% - 강조색3 6 2 3" xfId="412"/>
    <cellStyle name="20% - 강조색3 6 2 4" xfId="822"/>
    <cellStyle name="20% - 강조색3 6 3" xfId="501"/>
    <cellStyle name="20% - 강조색3 6 4" xfId="320"/>
    <cellStyle name="20% - 강조색3 6 5" xfId="735"/>
    <cellStyle name="20% - 강조색3 7" xfId="141"/>
    <cellStyle name="20% - 강조색3 7 2" xfId="513"/>
    <cellStyle name="20% - 강조색3 7 3" xfId="337"/>
    <cellStyle name="20% - 강조색3 7 4" xfId="747"/>
    <cellStyle name="20% - 강조색3 8" xfId="426"/>
    <cellStyle name="20% - 강조색3 9" xfId="604"/>
    <cellStyle name="20% - 강조색4" xfId="49" builtinId="42" customBuiltin="1"/>
    <cellStyle name="20% - 강조색4 10" xfId="235"/>
    <cellStyle name="20% - 강조색4 11" xfId="662"/>
    <cellStyle name="20% - 강조색4 12" xfId="865"/>
    <cellStyle name="20% - 강조색4 2" xfId="70"/>
    <cellStyle name="20% - 강조색4 2 2" xfId="159"/>
    <cellStyle name="20% - 강조색4 2 2 2" xfId="531"/>
    <cellStyle name="20% - 강조색4 2 2 2 2" xfId="1980"/>
    <cellStyle name="20% - 강조색4 2 2 3" xfId="355"/>
    <cellStyle name="20% - 강조색4 2 2 4" xfId="765"/>
    <cellStyle name="20% - 강조색4 2 2 5" xfId="1603"/>
    <cellStyle name="20% - 강조색4 2 3" xfId="444"/>
    <cellStyle name="20% - 강조색4 2 3 2" xfId="1861"/>
    <cellStyle name="20% - 강조색4 2 4" xfId="252"/>
    <cellStyle name="20% - 강조색4 2 5" xfId="678"/>
    <cellStyle name="20% - 강조색4 2 6" xfId="1479"/>
    <cellStyle name="20% - 강조색4 3" xfId="84"/>
    <cellStyle name="20% - 강조색4 3 2" xfId="173"/>
    <cellStyle name="20% - 강조색4 3 2 2" xfId="545"/>
    <cellStyle name="20% - 강조색4 3 2 3" xfId="369"/>
    <cellStyle name="20% - 강조색4 3 2 4" xfId="779"/>
    <cellStyle name="20% - 강조색4 3 2 5" xfId="2072"/>
    <cellStyle name="20% - 강조색4 3 3" xfId="458"/>
    <cellStyle name="20% - 강조색4 3 4" xfId="277"/>
    <cellStyle name="20% - 강조색4 3 5" xfId="692"/>
    <cellStyle name="20% - 강조색4 3 6" xfId="1695"/>
    <cellStyle name="20% - 강조색4 4" xfId="103"/>
    <cellStyle name="20% - 강조색4 4 2" xfId="190"/>
    <cellStyle name="20% - 강조색4 4 2 2" xfId="562"/>
    <cellStyle name="20% - 강조색4 4 2 3" xfId="386"/>
    <cellStyle name="20% - 강조색4 4 2 4" xfId="796"/>
    <cellStyle name="20% - 강조색4 4 2 5" xfId="2121"/>
    <cellStyle name="20% - 강조색4 4 3" xfId="475"/>
    <cellStyle name="20% - 강조색4 4 4" xfId="292"/>
    <cellStyle name="20% - 강조색4 4 5" xfId="709"/>
    <cellStyle name="20% - 강조색4 4 6" xfId="1766"/>
    <cellStyle name="20% - 강조색4 5" xfId="117"/>
    <cellStyle name="20% - 강조색4 5 2" xfId="204"/>
    <cellStyle name="20% - 강조색4 5 2 2" xfId="576"/>
    <cellStyle name="20% - 강조색4 5 2 3" xfId="400"/>
    <cellStyle name="20% - 강조색4 5 2 4" xfId="810"/>
    <cellStyle name="20% - 강조색4 5 2 5" xfId="2181"/>
    <cellStyle name="20% - 강조색4 5 3" xfId="489"/>
    <cellStyle name="20% - 강조색4 5 4" xfId="307"/>
    <cellStyle name="20% - 강조색4 5 5" xfId="723"/>
    <cellStyle name="20% - 강조색4 5 6" xfId="1831"/>
    <cellStyle name="20% - 강조색4 6" xfId="131"/>
    <cellStyle name="20% - 강조색4 6 2" xfId="218"/>
    <cellStyle name="20% - 강조색4 6 2 2" xfId="590"/>
    <cellStyle name="20% - 강조색4 6 2 3" xfId="414"/>
    <cellStyle name="20% - 강조색4 6 2 4" xfId="824"/>
    <cellStyle name="20% - 강조색4 6 3" xfId="503"/>
    <cellStyle name="20% - 강조색4 6 4" xfId="322"/>
    <cellStyle name="20% - 강조색4 6 5" xfId="737"/>
    <cellStyle name="20% - 강조색4 7" xfId="143"/>
    <cellStyle name="20% - 강조색4 7 2" xfId="515"/>
    <cellStyle name="20% - 강조색4 7 3" xfId="339"/>
    <cellStyle name="20% - 강조색4 7 4" xfId="749"/>
    <cellStyle name="20% - 강조색4 8" xfId="428"/>
    <cellStyle name="20% - 강조색4 9" xfId="606"/>
    <cellStyle name="20% - 강조색5" xfId="53" builtinId="46" customBuiltin="1"/>
    <cellStyle name="20% - 강조색5 10" xfId="237"/>
    <cellStyle name="20% - 강조색5 11" xfId="664"/>
    <cellStyle name="20% - 강조색5 12" xfId="866"/>
    <cellStyle name="20% - 강조색5 2" xfId="72"/>
    <cellStyle name="20% - 강조색5 2 2" xfId="161"/>
    <cellStyle name="20% - 강조색5 2 2 2" xfId="533"/>
    <cellStyle name="20% - 강조색5 2 2 2 2" xfId="1982"/>
    <cellStyle name="20% - 강조색5 2 2 3" xfId="357"/>
    <cellStyle name="20% - 강조색5 2 2 4" xfId="767"/>
    <cellStyle name="20% - 강조색5 2 2 5" xfId="1605"/>
    <cellStyle name="20% - 강조색5 2 3" xfId="446"/>
    <cellStyle name="20% - 강조색5 2 3 2" xfId="1863"/>
    <cellStyle name="20% - 강조색5 2 4" xfId="254"/>
    <cellStyle name="20% - 강조색5 2 5" xfId="680"/>
    <cellStyle name="20% - 강조색5 2 6" xfId="1483"/>
    <cellStyle name="20% - 강조색5 3" xfId="86"/>
    <cellStyle name="20% - 강조색5 3 2" xfId="175"/>
    <cellStyle name="20% - 강조색5 3 2 2" xfId="547"/>
    <cellStyle name="20% - 강조색5 3 2 3" xfId="371"/>
    <cellStyle name="20% - 강조색5 3 2 4" xfId="781"/>
    <cellStyle name="20% - 강조색5 3 2 5" xfId="2076"/>
    <cellStyle name="20% - 강조색5 3 3" xfId="460"/>
    <cellStyle name="20% - 강조색5 3 4" xfId="279"/>
    <cellStyle name="20% - 강조색5 3 5" xfId="694"/>
    <cellStyle name="20% - 강조색5 3 6" xfId="1699"/>
    <cellStyle name="20% - 강조색5 4" xfId="105"/>
    <cellStyle name="20% - 강조색5 4 2" xfId="192"/>
    <cellStyle name="20% - 강조색5 4 2 2" xfId="564"/>
    <cellStyle name="20% - 강조색5 4 2 3" xfId="388"/>
    <cellStyle name="20% - 강조색5 4 2 4" xfId="798"/>
    <cellStyle name="20% - 강조색5 4 2 5" xfId="2123"/>
    <cellStyle name="20% - 강조색5 4 3" xfId="477"/>
    <cellStyle name="20% - 강조색5 4 4" xfId="294"/>
    <cellStyle name="20% - 강조색5 4 5" xfId="711"/>
    <cellStyle name="20% - 강조색5 4 6" xfId="1770"/>
    <cellStyle name="20% - 강조색5 5" xfId="119"/>
    <cellStyle name="20% - 강조색5 5 2" xfId="206"/>
    <cellStyle name="20% - 강조색5 5 2 2" xfId="578"/>
    <cellStyle name="20% - 강조색5 5 2 3" xfId="402"/>
    <cellStyle name="20% - 강조색5 5 2 4" xfId="812"/>
    <cellStyle name="20% - 강조색5 5 2 5" xfId="2183"/>
    <cellStyle name="20% - 강조색5 5 3" xfId="491"/>
    <cellStyle name="20% - 강조색5 5 4" xfId="309"/>
    <cellStyle name="20% - 강조색5 5 5" xfId="725"/>
    <cellStyle name="20% - 강조색5 5 6" xfId="1833"/>
    <cellStyle name="20% - 강조색5 6" xfId="133"/>
    <cellStyle name="20% - 강조색5 6 2" xfId="220"/>
    <cellStyle name="20% - 강조색5 6 2 2" xfId="592"/>
    <cellStyle name="20% - 강조색5 6 2 3" xfId="416"/>
    <cellStyle name="20% - 강조색5 6 2 4" xfId="826"/>
    <cellStyle name="20% - 강조색5 6 3" xfId="505"/>
    <cellStyle name="20% - 강조색5 6 4" xfId="324"/>
    <cellStyle name="20% - 강조색5 6 5" xfId="739"/>
    <cellStyle name="20% - 강조색5 7" xfId="145"/>
    <cellStyle name="20% - 강조색5 7 2" xfId="517"/>
    <cellStyle name="20% - 강조색5 7 3" xfId="341"/>
    <cellStyle name="20% - 강조색5 7 4" xfId="751"/>
    <cellStyle name="20% - 강조색5 8" xfId="430"/>
    <cellStyle name="20% - 강조색5 9" xfId="608"/>
    <cellStyle name="20% - 강조색6" xfId="57" builtinId="50" customBuiltin="1"/>
    <cellStyle name="20% - 강조색6 10" xfId="239"/>
    <cellStyle name="20% - 강조색6 11" xfId="666"/>
    <cellStyle name="20% - 강조색6 12" xfId="867"/>
    <cellStyle name="20% - 강조색6 2" xfId="74"/>
    <cellStyle name="20% - 강조색6 2 2" xfId="163"/>
    <cellStyle name="20% - 강조색6 2 2 2" xfId="535"/>
    <cellStyle name="20% - 강조색6 2 2 2 2" xfId="1984"/>
    <cellStyle name="20% - 강조색6 2 2 3" xfId="359"/>
    <cellStyle name="20% - 강조색6 2 2 4" xfId="769"/>
    <cellStyle name="20% - 강조색6 2 2 5" xfId="1607"/>
    <cellStyle name="20% - 강조색6 2 3" xfId="448"/>
    <cellStyle name="20% - 강조색6 2 3 2" xfId="1865"/>
    <cellStyle name="20% - 강조색6 2 4" xfId="256"/>
    <cellStyle name="20% - 강조색6 2 5" xfId="682"/>
    <cellStyle name="20% - 강조색6 2 6" xfId="1487"/>
    <cellStyle name="20% - 강조색6 3" xfId="88"/>
    <cellStyle name="20% - 강조색6 3 2" xfId="177"/>
    <cellStyle name="20% - 강조색6 3 2 2" xfId="549"/>
    <cellStyle name="20% - 강조색6 3 2 3" xfId="373"/>
    <cellStyle name="20% - 강조색6 3 2 4" xfId="783"/>
    <cellStyle name="20% - 강조색6 3 2 5" xfId="2080"/>
    <cellStyle name="20% - 강조색6 3 3" xfId="462"/>
    <cellStyle name="20% - 강조색6 3 4" xfId="281"/>
    <cellStyle name="20% - 강조색6 3 5" xfId="696"/>
    <cellStyle name="20% - 강조색6 3 6" xfId="1703"/>
    <cellStyle name="20% - 강조색6 4" xfId="107"/>
    <cellStyle name="20% - 강조색6 4 2" xfId="194"/>
    <cellStyle name="20% - 강조색6 4 2 2" xfId="566"/>
    <cellStyle name="20% - 강조색6 4 2 3" xfId="390"/>
    <cellStyle name="20% - 강조색6 4 2 4" xfId="800"/>
    <cellStyle name="20% - 강조색6 4 2 5" xfId="2125"/>
    <cellStyle name="20% - 강조색6 4 3" xfId="479"/>
    <cellStyle name="20% - 강조색6 4 4" xfId="296"/>
    <cellStyle name="20% - 강조색6 4 5" xfId="713"/>
    <cellStyle name="20% - 강조색6 4 6" xfId="1774"/>
    <cellStyle name="20% - 강조색6 5" xfId="121"/>
    <cellStyle name="20% - 강조색6 5 2" xfId="208"/>
    <cellStyle name="20% - 강조색6 5 2 2" xfId="580"/>
    <cellStyle name="20% - 강조색6 5 2 3" xfId="404"/>
    <cellStyle name="20% - 강조색6 5 2 4" xfId="814"/>
    <cellStyle name="20% - 강조색6 5 2 5" xfId="2186"/>
    <cellStyle name="20% - 강조색6 5 3" xfId="493"/>
    <cellStyle name="20% - 강조색6 5 4" xfId="311"/>
    <cellStyle name="20% - 강조색6 5 5" xfId="727"/>
    <cellStyle name="20% - 강조색6 5 6" xfId="1836"/>
    <cellStyle name="20% - 강조색6 6" xfId="135"/>
    <cellStyle name="20% - 강조색6 6 2" xfId="222"/>
    <cellStyle name="20% - 강조색6 6 2 2" xfId="594"/>
    <cellStyle name="20% - 강조색6 6 2 3" xfId="418"/>
    <cellStyle name="20% - 강조색6 6 2 4" xfId="828"/>
    <cellStyle name="20% - 강조색6 6 3" xfId="507"/>
    <cellStyle name="20% - 강조색6 6 4" xfId="326"/>
    <cellStyle name="20% - 강조색6 6 5" xfId="741"/>
    <cellStyle name="20% - 강조색6 7" xfId="147"/>
    <cellStyle name="20% - 강조색6 7 2" xfId="519"/>
    <cellStyle name="20% - 강조색6 7 3" xfId="343"/>
    <cellStyle name="20% - 강조색6 7 4" xfId="753"/>
    <cellStyle name="20% - 강조색6 8" xfId="432"/>
    <cellStyle name="20% - 강조색6 9" xfId="610"/>
    <cellStyle name="_x0004_3;_x0018_" xfId="868"/>
    <cellStyle name="40% - 강조색1" xfId="38" builtinId="31" customBuiltin="1"/>
    <cellStyle name="40% - 강조색1 10" xfId="230"/>
    <cellStyle name="40% - 강조색1 11" xfId="657"/>
    <cellStyle name="40% - 강조색1 12" xfId="869"/>
    <cellStyle name="40% - 강조색1 2" xfId="65"/>
    <cellStyle name="40% - 강조색1 2 2" xfId="154"/>
    <cellStyle name="40% - 강조색1 2 2 2" xfId="526"/>
    <cellStyle name="40% - 강조색1 2 2 2 2" xfId="1975"/>
    <cellStyle name="40% - 강조색1 2 2 3" xfId="350"/>
    <cellStyle name="40% - 강조색1 2 2 4" xfId="760"/>
    <cellStyle name="40% - 강조색1 2 2 5" xfId="1598"/>
    <cellStyle name="40% - 강조색1 2 3" xfId="439"/>
    <cellStyle name="40% - 강조색1 2 3 2" xfId="1856"/>
    <cellStyle name="40% - 강조색1 2 4" xfId="247"/>
    <cellStyle name="40% - 강조색1 2 5" xfId="673"/>
    <cellStyle name="40% - 강조색1 2 6" xfId="1468"/>
    <cellStyle name="40% - 강조색1 3" xfId="77"/>
    <cellStyle name="40% - 강조색1 3 2" xfId="166"/>
    <cellStyle name="40% - 강조색1 3 2 2" xfId="538"/>
    <cellStyle name="40% - 강조색1 3 2 3" xfId="362"/>
    <cellStyle name="40% - 강조색1 3 2 4" xfId="772"/>
    <cellStyle name="40% - 강조색1 3 2 5" xfId="2061"/>
    <cellStyle name="40% - 강조색1 3 3" xfId="451"/>
    <cellStyle name="40% - 강조색1 3 4" xfId="272"/>
    <cellStyle name="40% - 강조색1 3 5" xfId="685"/>
    <cellStyle name="40% - 강조색1 3 6" xfId="1684"/>
    <cellStyle name="40% - 강조색1 4" xfId="98"/>
    <cellStyle name="40% - 강조색1 4 2" xfId="185"/>
    <cellStyle name="40% - 강조색1 4 2 2" xfId="557"/>
    <cellStyle name="40% - 강조색1 4 2 3" xfId="381"/>
    <cellStyle name="40% - 강조색1 4 2 4" xfId="791"/>
    <cellStyle name="40% - 강조색1 4 2 5" xfId="2115"/>
    <cellStyle name="40% - 강조색1 4 3" xfId="470"/>
    <cellStyle name="40% - 강조색1 4 4" xfId="287"/>
    <cellStyle name="40% - 강조색1 4 5" xfId="704"/>
    <cellStyle name="40% - 강조색1 4 6" xfId="1755"/>
    <cellStyle name="40% - 강조색1 5" xfId="112"/>
    <cellStyle name="40% - 강조색1 5 2" xfId="199"/>
    <cellStyle name="40% - 강조색1 5 2 2" xfId="571"/>
    <cellStyle name="40% - 강조색1 5 2 3" xfId="395"/>
    <cellStyle name="40% - 강조색1 5 2 4" xfId="805"/>
    <cellStyle name="40% - 강조색1 5 2 5" xfId="2176"/>
    <cellStyle name="40% - 강조색1 5 3" xfId="484"/>
    <cellStyle name="40% - 강조색1 5 4" xfId="302"/>
    <cellStyle name="40% - 강조색1 5 5" xfId="718"/>
    <cellStyle name="40% - 강조색1 5 6" xfId="1826"/>
    <cellStyle name="40% - 강조색1 6" xfId="126"/>
    <cellStyle name="40% - 강조색1 6 2" xfId="213"/>
    <cellStyle name="40% - 강조색1 6 2 2" xfId="585"/>
    <cellStyle name="40% - 강조색1 6 2 3" xfId="409"/>
    <cellStyle name="40% - 강조색1 6 2 4" xfId="819"/>
    <cellStyle name="40% - 강조색1 6 3" xfId="498"/>
    <cellStyle name="40% - 강조색1 6 4" xfId="317"/>
    <cellStyle name="40% - 강조색1 6 5" xfId="732"/>
    <cellStyle name="40% - 강조색1 7" xfId="138"/>
    <cellStyle name="40% - 강조색1 7 2" xfId="510"/>
    <cellStyle name="40% - 강조색1 7 3" xfId="334"/>
    <cellStyle name="40% - 강조색1 7 4" xfId="744"/>
    <cellStyle name="40% - 강조색1 8" xfId="423"/>
    <cellStyle name="40% - 강조색1 9" xfId="601"/>
    <cellStyle name="40% - 강조색2" xfId="42" builtinId="35" customBuiltin="1"/>
    <cellStyle name="40% - 강조색2 10" xfId="232"/>
    <cellStyle name="40% - 강조색2 11" xfId="659"/>
    <cellStyle name="40% - 강조색2 12" xfId="870"/>
    <cellStyle name="40% - 강조색2 2" xfId="67"/>
    <cellStyle name="40% - 강조색2 2 2" xfId="156"/>
    <cellStyle name="40% - 강조색2 2 2 2" xfId="528"/>
    <cellStyle name="40% - 강조색2 2 2 2 2" xfId="1977"/>
    <cellStyle name="40% - 강조색2 2 2 3" xfId="352"/>
    <cellStyle name="40% - 강조색2 2 2 4" xfId="762"/>
    <cellStyle name="40% - 강조색2 2 2 5" xfId="1600"/>
    <cellStyle name="40% - 강조색2 2 3" xfId="441"/>
    <cellStyle name="40% - 강조색2 2 3 2" xfId="1858"/>
    <cellStyle name="40% - 강조색2 2 4" xfId="249"/>
    <cellStyle name="40% - 강조색2 2 5" xfId="675"/>
    <cellStyle name="40% - 강조색2 2 6" xfId="1472"/>
    <cellStyle name="40% - 강조색2 3" xfId="81"/>
    <cellStyle name="40% - 강조색2 3 2" xfId="170"/>
    <cellStyle name="40% - 강조색2 3 2 2" xfId="542"/>
    <cellStyle name="40% - 강조색2 3 2 3" xfId="366"/>
    <cellStyle name="40% - 강조색2 3 2 4" xfId="776"/>
    <cellStyle name="40% - 강조색2 3 2 5" xfId="2065"/>
    <cellStyle name="40% - 강조색2 3 3" xfId="455"/>
    <cellStyle name="40% - 강조색2 3 4" xfId="274"/>
    <cellStyle name="40% - 강조색2 3 5" xfId="689"/>
    <cellStyle name="40% - 강조색2 3 6" xfId="1688"/>
    <cellStyle name="40% - 강조색2 4" xfId="100"/>
    <cellStyle name="40% - 강조색2 4 2" xfId="187"/>
    <cellStyle name="40% - 강조색2 4 2 2" xfId="559"/>
    <cellStyle name="40% - 강조색2 4 2 3" xfId="383"/>
    <cellStyle name="40% - 강조색2 4 2 4" xfId="793"/>
    <cellStyle name="40% - 강조색2 4 2 5" xfId="2117"/>
    <cellStyle name="40% - 강조색2 4 3" xfId="472"/>
    <cellStyle name="40% - 강조색2 4 4" xfId="289"/>
    <cellStyle name="40% - 강조색2 4 5" xfId="706"/>
    <cellStyle name="40% - 강조색2 4 6" xfId="1759"/>
    <cellStyle name="40% - 강조색2 5" xfId="114"/>
    <cellStyle name="40% - 강조색2 5 2" xfId="201"/>
    <cellStyle name="40% - 강조색2 5 2 2" xfId="573"/>
    <cellStyle name="40% - 강조색2 5 2 3" xfId="397"/>
    <cellStyle name="40% - 강조색2 5 2 4" xfId="807"/>
    <cellStyle name="40% - 강조색2 5 2 5" xfId="2178"/>
    <cellStyle name="40% - 강조색2 5 3" xfId="486"/>
    <cellStyle name="40% - 강조색2 5 4" xfId="304"/>
    <cellStyle name="40% - 강조색2 5 5" xfId="720"/>
    <cellStyle name="40% - 강조색2 5 6" xfId="1828"/>
    <cellStyle name="40% - 강조색2 6" xfId="128"/>
    <cellStyle name="40% - 강조색2 6 2" xfId="215"/>
    <cellStyle name="40% - 강조색2 6 2 2" xfId="587"/>
    <cellStyle name="40% - 강조색2 6 2 3" xfId="411"/>
    <cellStyle name="40% - 강조색2 6 2 4" xfId="821"/>
    <cellStyle name="40% - 강조색2 6 3" xfId="500"/>
    <cellStyle name="40% - 강조색2 6 4" xfId="319"/>
    <cellStyle name="40% - 강조색2 6 5" xfId="734"/>
    <cellStyle name="40% - 강조색2 7" xfId="140"/>
    <cellStyle name="40% - 강조색2 7 2" xfId="512"/>
    <cellStyle name="40% - 강조색2 7 3" xfId="336"/>
    <cellStyle name="40% - 강조색2 7 4" xfId="746"/>
    <cellStyle name="40% - 강조색2 8" xfId="425"/>
    <cellStyle name="40% - 강조색2 9" xfId="603"/>
    <cellStyle name="40% - 강조색3" xfId="46" builtinId="39" customBuiltin="1"/>
    <cellStyle name="40% - 강조색3 10" xfId="234"/>
    <cellStyle name="40% - 강조색3 11" xfId="661"/>
    <cellStyle name="40% - 강조색3 12" xfId="871"/>
    <cellStyle name="40% - 강조색3 2" xfId="69"/>
    <cellStyle name="40% - 강조색3 2 2" xfId="158"/>
    <cellStyle name="40% - 강조색3 2 2 2" xfId="530"/>
    <cellStyle name="40% - 강조색3 2 2 2 2" xfId="1979"/>
    <cellStyle name="40% - 강조색3 2 2 3" xfId="354"/>
    <cellStyle name="40% - 강조색3 2 2 4" xfId="764"/>
    <cellStyle name="40% - 강조색3 2 2 5" xfId="1602"/>
    <cellStyle name="40% - 강조색3 2 3" xfId="443"/>
    <cellStyle name="40% - 강조색3 2 3 2" xfId="1860"/>
    <cellStyle name="40% - 강조색3 2 4" xfId="251"/>
    <cellStyle name="40% - 강조색3 2 5" xfId="677"/>
    <cellStyle name="40% - 강조색3 2 6" xfId="1476"/>
    <cellStyle name="40% - 강조색3 3" xfId="83"/>
    <cellStyle name="40% - 강조색3 3 2" xfId="172"/>
    <cellStyle name="40% - 강조색3 3 2 2" xfId="544"/>
    <cellStyle name="40% - 강조색3 3 2 3" xfId="368"/>
    <cellStyle name="40% - 강조색3 3 2 4" xfId="778"/>
    <cellStyle name="40% - 강조색3 3 2 5" xfId="2069"/>
    <cellStyle name="40% - 강조색3 3 3" xfId="457"/>
    <cellStyle name="40% - 강조색3 3 4" xfId="276"/>
    <cellStyle name="40% - 강조색3 3 5" xfId="691"/>
    <cellStyle name="40% - 강조색3 3 6" xfId="1692"/>
    <cellStyle name="40% - 강조색3 4" xfId="102"/>
    <cellStyle name="40% - 강조색3 4 2" xfId="189"/>
    <cellStyle name="40% - 강조색3 4 2 2" xfId="561"/>
    <cellStyle name="40% - 강조색3 4 2 3" xfId="385"/>
    <cellStyle name="40% - 강조색3 4 2 4" xfId="795"/>
    <cellStyle name="40% - 강조색3 4 2 5" xfId="2119"/>
    <cellStyle name="40% - 강조색3 4 3" xfId="474"/>
    <cellStyle name="40% - 강조색3 4 4" xfId="291"/>
    <cellStyle name="40% - 강조색3 4 5" xfId="708"/>
    <cellStyle name="40% - 강조색3 4 6" xfId="1763"/>
    <cellStyle name="40% - 강조색3 5" xfId="116"/>
    <cellStyle name="40% - 강조색3 5 2" xfId="203"/>
    <cellStyle name="40% - 강조색3 5 2 2" xfId="575"/>
    <cellStyle name="40% - 강조색3 5 2 3" xfId="399"/>
    <cellStyle name="40% - 강조색3 5 2 4" xfId="809"/>
    <cellStyle name="40% - 강조색3 5 2 5" xfId="2180"/>
    <cellStyle name="40% - 강조색3 5 3" xfId="488"/>
    <cellStyle name="40% - 강조색3 5 4" xfId="306"/>
    <cellStyle name="40% - 강조색3 5 5" xfId="722"/>
    <cellStyle name="40% - 강조색3 5 6" xfId="1830"/>
    <cellStyle name="40% - 강조색3 6" xfId="130"/>
    <cellStyle name="40% - 강조색3 6 2" xfId="217"/>
    <cellStyle name="40% - 강조색3 6 2 2" xfId="589"/>
    <cellStyle name="40% - 강조색3 6 2 3" xfId="413"/>
    <cellStyle name="40% - 강조색3 6 2 4" xfId="823"/>
    <cellStyle name="40% - 강조색3 6 3" xfId="502"/>
    <cellStyle name="40% - 강조색3 6 4" xfId="321"/>
    <cellStyle name="40% - 강조색3 6 5" xfId="736"/>
    <cellStyle name="40% - 강조색3 7" xfId="142"/>
    <cellStyle name="40% - 강조색3 7 2" xfId="514"/>
    <cellStyle name="40% - 강조색3 7 3" xfId="338"/>
    <cellStyle name="40% - 강조색3 7 4" xfId="748"/>
    <cellStyle name="40% - 강조색3 8" xfId="427"/>
    <cellStyle name="40% - 강조색3 9" xfId="605"/>
    <cellStyle name="40% - 강조색4" xfId="50" builtinId="43" customBuiltin="1"/>
    <cellStyle name="40% - 강조색4 10" xfId="236"/>
    <cellStyle name="40% - 강조색4 11" xfId="663"/>
    <cellStyle name="40% - 강조색4 12" xfId="872"/>
    <cellStyle name="40% - 강조색4 2" xfId="71"/>
    <cellStyle name="40% - 강조색4 2 2" xfId="160"/>
    <cellStyle name="40% - 강조색4 2 2 2" xfId="532"/>
    <cellStyle name="40% - 강조색4 2 2 2 2" xfId="1981"/>
    <cellStyle name="40% - 강조색4 2 2 3" xfId="356"/>
    <cellStyle name="40% - 강조색4 2 2 4" xfId="766"/>
    <cellStyle name="40% - 강조색4 2 2 5" xfId="1604"/>
    <cellStyle name="40% - 강조색4 2 3" xfId="445"/>
    <cellStyle name="40% - 강조색4 2 3 2" xfId="1862"/>
    <cellStyle name="40% - 강조색4 2 4" xfId="253"/>
    <cellStyle name="40% - 강조색4 2 5" xfId="679"/>
    <cellStyle name="40% - 강조색4 2 6" xfId="1480"/>
    <cellStyle name="40% - 강조색4 3" xfId="85"/>
    <cellStyle name="40% - 강조색4 3 2" xfId="174"/>
    <cellStyle name="40% - 강조색4 3 2 2" xfId="546"/>
    <cellStyle name="40% - 강조색4 3 2 3" xfId="370"/>
    <cellStyle name="40% - 강조색4 3 2 4" xfId="780"/>
    <cellStyle name="40% - 강조색4 3 2 5" xfId="2073"/>
    <cellStyle name="40% - 강조색4 3 3" xfId="459"/>
    <cellStyle name="40% - 강조색4 3 4" xfId="278"/>
    <cellStyle name="40% - 강조색4 3 5" xfId="693"/>
    <cellStyle name="40% - 강조색4 3 6" xfId="1696"/>
    <cellStyle name="40% - 강조색4 4" xfId="104"/>
    <cellStyle name="40% - 강조색4 4 2" xfId="191"/>
    <cellStyle name="40% - 강조색4 4 2 2" xfId="563"/>
    <cellStyle name="40% - 강조색4 4 2 3" xfId="387"/>
    <cellStyle name="40% - 강조색4 4 2 4" xfId="797"/>
    <cellStyle name="40% - 강조색4 4 2 5" xfId="2122"/>
    <cellStyle name="40% - 강조색4 4 3" xfId="476"/>
    <cellStyle name="40% - 강조색4 4 4" xfId="293"/>
    <cellStyle name="40% - 강조색4 4 5" xfId="710"/>
    <cellStyle name="40% - 강조색4 4 6" xfId="1767"/>
    <cellStyle name="40% - 강조색4 5" xfId="118"/>
    <cellStyle name="40% - 강조색4 5 2" xfId="205"/>
    <cellStyle name="40% - 강조색4 5 2 2" xfId="577"/>
    <cellStyle name="40% - 강조색4 5 2 3" xfId="401"/>
    <cellStyle name="40% - 강조색4 5 2 4" xfId="811"/>
    <cellStyle name="40% - 강조색4 5 2 5" xfId="2182"/>
    <cellStyle name="40% - 강조색4 5 3" xfId="490"/>
    <cellStyle name="40% - 강조색4 5 4" xfId="308"/>
    <cellStyle name="40% - 강조색4 5 5" xfId="724"/>
    <cellStyle name="40% - 강조색4 5 6" xfId="1832"/>
    <cellStyle name="40% - 강조색4 6" xfId="132"/>
    <cellStyle name="40% - 강조색4 6 2" xfId="219"/>
    <cellStyle name="40% - 강조색4 6 2 2" xfId="591"/>
    <cellStyle name="40% - 강조색4 6 2 3" xfId="415"/>
    <cellStyle name="40% - 강조색4 6 2 4" xfId="825"/>
    <cellStyle name="40% - 강조색4 6 3" xfId="504"/>
    <cellStyle name="40% - 강조색4 6 4" xfId="323"/>
    <cellStyle name="40% - 강조색4 6 5" xfId="738"/>
    <cellStyle name="40% - 강조색4 7" xfId="144"/>
    <cellStyle name="40% - 강조색4 7 2" xfId="516"/>
    <cellStyle name="40% - 강조색4 7 3" xfId="340"/>
    <cellStyle name="40% - 강조색4 7 4" xfId="750"/>
    <cellStyle name="40% - 강조색4 8" xfId="429"/>
    <cellStyle name="40% - 강조색4 9" xfId="607"/>
    <cellStyle name="40% - 강조색5" xfId="54" builtinId="47" customBuiltin="1"/>
    <cellStyle name="40% - 강조색5 10" xfId="238"/>
    <cellStyle name="40% - 강조색5 11" xfId="665"/>
    <cellStyle name="40% - 강조색5 12" xfId="873"/>
    <cellStyle name="40% - 강조색5 2" xfId="73"/>
    <cellStyle name="40% - 강조색5 2 2" xfId="162"/>
    <cellStyle name="40% - 강조색5 2 2 2" xfId="534"/>
    <cellStyle name="40% - 강조색5 2 2 2 2" xfId="1983"/>
    <cellStyle name="40% - 강조색5 2 2 3" xfId="358"/>
    <cellStyle name="40% - 강조색5 2 2 4" xfId="768"/>
    <cellStyle name="40% - 강조색5 2 2 5" xfId="1606"/>
    <cellStyle name="40% - 강조색5 2 3" xfId="447"/>
    <cellStyle name="40% - 강조색5 2 3 2" xfId="1864"/>
    <cellStyle name="40% - 강조색5 2 4" xfId="255"/>
    <cellStyle name="40% - 강조색5 2 5" xfId="681"/>
    <cellStyle name="40% - 강조색5 2 6" xfId="1484"/>
    <cellStyle name="40% - 강조색5 3" xfId="87"/>
    <cellStyle name="40% - 강조색5 3 2" xfId="176"/>
    <cellStyle name="40% - 강조색5 3 2 2" xfId="548"/>
    <cellStyle name="40% - 강조색5 3 2 3" xfId="372"/>
    <cellStyle name="40% - 강조색5 3 2 4" xfId="782"/>
    <cellStyle name="40% - 강조색5 3 2 5" xfId="2077"/>
    <cellStyle name="40% - 강조색5 3 3" xfId="461"/>
    <cellStyle name="40% - 강조색5 3 4" xfId="280"/>
    <cellStyle name="40% - 강조색5 3 5" xfId="695"/>
    <cellStyle name="40% - 강조색5 3 6" xfId="1700"/>
    <cellStyle name="40% - 강조색5 4" xfId="106"/>
    <cellStyle name="40% - 강조색5 4 2" xfId="193"/>
    <cellStyle name="40% - 강조색5 4 2 2" xfId="565"/>
    <cellStyle name="40% - 강조색5 4 2 3" xfId="389"/>
    <cellStyle name="40% - 강조색5 4 2 4" xfId="799"/>
    <cellStyle name="40% - 강조색5 4 2 5" xfId="2124"/>
    <cellStyle name="40% - 강조색5 4 3" xfId="478"/>
    <cellStyle name="40% - 강조색5 4 4" xfId="295"/>
    <cellStyle name="40% - 강조색5 4 5" xfId="712"/>
    <cellStyle name="40% - 강조색5 4 6" xfId="1771"/>
    <cellStyle name="40% - 강조색5 5" xfId="120"/>
    <cellStyle name="40% - 강조색5 5 2" xfId="207"/>
    <cellStyle name="40% - 강조색5 5 2 2" xfId="579"/>
    <cellStyle name="40% - 강조색5 5 2 3" xfId="403"/>
    <cellStyle name="40% - 강조색5 5 2 4" xfId="813"/>
    <cellStyle name="40% - 강조색5 5 2 5" xfId="2184"/>
    <cellStyle name="40% - 강조색5 5 3" xfId="492"/>
    <cellStyle name="40% - 강조색5 5 4" xfId="310"/>
    <cellStyle name="40% - 강조색5 5 5" xfId="726"/>
    <cellStyle name="40% - 강조색5 5 6" xfId="1834"/>
    <cellStyle name="40% - 강조색5 6" xfId="134"/>
    <cellStyle name="40% - 강조색5 6 2" xfId="221"/>
    <cellStyle name="40% - 강조색5 6 2 2" xfId="593"/>
    <cellStyle name="40% - 강조색5 6 2 3" xfId="417"/>
    <cellStyle name="40% - 강조색5 6 2 4" xfId="827"/>
    <cellStyle name="40% - 강조색5 6 3" xfId="506"/>
    <cellStyle name="40% - 강조색5 6 4" xfId="325"/>
    <cellStyle name="40% - 강조색5 6 5" xfId="740"/>
    <cellStyle name="40% - 강조색5 7" xfId="146"/>
    <cellStyle name="40% - 강조색5 7 2" xfId="518"/>
    <cellStyle name="40% - 강조색5 7 3" xfId="342"/>
    <cellStyle name="40% - 강조색5 7 4" xfId="752"/>
    <cellStyle name="40% - 강조색5 8" xfId="431"/>
    <cellStyle name="40% - 강조색5 9" xfId="609"/>
    <cellStyle name="40% - 강조색6" xfId="58" builtinId="51" customBuiltin="1"/>
    <cellStyle name="40% - 강조색6 10" xfId="240"/>
    <cellStyle name="40% - 강조색6 11" xfId="667"/>
    <cellStyle name="40% - 강조색6 12" xfId="874"/>
    <cellStyle name="40% - 강조색6 2" xfId="75"/>
    <cellStyle name="40% - 강조색6 2 2" xfId="164"/>
    <cellStyle name="40% - 강조색6 2 2 2" xfId="536"/>
    <cellStyle name="40% - 강조색6 2 2 2 2" xfId="1985"/>
    <cellStyle name="40% - 강조색6 2 2 3" xfId="360"/>
    <cellStyle name="40% - 강조색6 2 2 4" xfId="770"/>
    <cellStyle name="40% - 강조색6 2 2 5" xfId="1608"/>
    <cellStyle name="40% - 강조색6 2 3" xfId="449"/>
    <cellStyle name="40% - 강조색6 2 3 2" xfId="1866"/>
    <cellStyle name="40% - 강조색6 2 4" xfId="257"/>
    <cellStyle name="40% - 강조색6 2 5" xfId="683"/>
    <cellStyle name="40% - 강조색6 2 6" xfId="1488"/>
    <cellStyle name="40% - 강조색6 3" xfId="89"/>
    <cellStyle name="40% - 강조색6 3 2" xfId="178"/>
    <cellStyle name="40% - 강조색6 3 2 2" xfId="550"/>
    <cellStyle name="40% - 강조색6 3 2 3" xfId="374"/>
    <cellStyle name="40% - 강조색6 3 2 4" xfId="784"/>
    <cellStyle name="40% - 강조색6 3 2 5" xfId="2081"/>
    <cellStyle name="40% - 강조색6 3 3" xfId="463"/>
    <cellStyle name="40% - 강조색6 3 4" xfId="282"/>
    <cellStyle name="40% - 강조색6 3 5" xfId="697"/>
    <cellStyle name="40% - 강조색6 3 6" xfId="1704"/>
    <cellStyle name="40% - 강조색6 4" xfId="108"/>
    <cellStyle name="40% - 강조색6 4 2" xfId="195"/>
    <cellStyle name="40% - 강조색6 4 2 2" xfId="567"/>
    <cellStyle name="40% - 강조색6 4 2 3" xfId="391"/>
    <cellStyle name="40% - 강조색6 4 2 4" xfId="801"/>
    <cellStyle name="40% - 강조색6 4 2 5" xfId="2126"/>
    <cellStyle name="40% - 강조색6 4 3" xfId="480"/>
    <cellStyle name="40% - 강조색6 4 4" xfId="297"/>
    <cellStyle name="40% - 강조색6 4 5" xfId="714"/>
    <cellStyle name="40% - 강조색6 4 6" xfId="1775"/>
    <cellStyle name="40% - 강조색6 5" xfId="122"/>
    <cellStyle name="40% - 강조색6 5 2" xfId="209"/>
    <cellStyle name="40% - 강조색6 5 2 2" xfId="581"/>
    <cellStyle name="40% - 강조색6 5 2 3" xfId="405"/>
    <cellStyle name="40% - 강조색6 5 2 4" xfId="815"/>
    <cellStyle name="40% - 강조색6 5 2 5" xfId="2187"/>
    <cellStyle name="40% - 강조색6 5 3" xfId="494"/>
    <cellStyle name="40% - 강조색6 5 4" xfId="312"/>
    <cellStyle name="40% - 강조색6 5 5" xfId="728"/>
    <cellStyle name="40% - 강조색6 5 6" xfId="1837"/>
    <cellStyle name="40% - 강조색6 6" xfId="136"/>
    <cellStyle name="40% - 강조색6 6 2" xfId="223"/>
    <cellStyle name="40% - 강조색6 6 2 2" xfId="595"/>
    <cellStyle name="40% - 강조색6 6 2 3" xfId="419"/>
    <cellStyle name="40% - 강조색6 6 2 4" xfId="829"/>
    <cellStyle name="40% - 강조색6 6 3" xfId="508"/>
    <cellStyle name="40% - 강조색6 6 4" xfId="327"/>
    <cellStyle name="40% - 강조색6 6 5" xfId="742"/>
    <cellStyle name="40% - 강조색6 7" xfId="148"/>
    <cellStyle name="40% - 강조색6 7 2" xfId="520"/>
    <cellStyle name="40% - 강조색6 7 3" xfId="344"/>
    <cellStyle name="40% - 강조색6 7 4" xfId="754"/>
    <cellStyle name="40% - 강조색6 8" xfId="433"/>
    <cellStyle name="40% - 강조색6 9" xfId="611"/>
    <cellStyle name="4월12일" xfId="875"/>
    <cellStyle name="60% - 강조색1" xfId="39" builtinId="32" customBuiltin="1"/>
    <cellStyle name="60% - 강조색1 2" xfId="1469"/>
    <cellStyle name="60% - 강조색1 3" xfId="1756"/>
    <cellStyle name="60% - 강조색1 4" xfId="876"/>
    <cellStyle name="60% - 강조색2" xfId="43" builtinId="36" customBuiltin="1"/>
    <cellStyle name="60% - 강조색2 2" xfId="1473"/>
    <cellStyle name="60% - 강조색2 3" xfId="1760"/>
    <cellStyle name="60% - 강조색2 4" xfId="877"/>
    <cellStyle name="60% - 강조색3" xfId="47" builtinId="40" customBuiltin="1"/>
    <cellStyle name="60% - 강조색3 2" xfId="1477"/>
    <cellStyle name="60% - 강조색3 3" xfId="1764"/>
    <cellStyle name="60% - 강조색3 4" xfId="878"/>
    <cellStyle name="60% - 강조색4" xfId="51" builtinId="44" customBuiltin="1"/>
    <cellStyle name="60% - 강조색4 2" xfId="1481"/>
    <cellStyle name="60% - 강조색4 3" xfId="1768"/>
    <cellStyle name="60% - 강조색4 4" xfId="879"/>
    <cellStyle name="60% - 강조색5" xfId="55" builtinId="48" customBuiltin="1"/>
    <cellStyle name="60% - 강조색5 2" xfId="1485"/>
    <cellStyle name="60% - 강조색5 3" xfId="1772"/>
    <cellStyle name="60% - 강조색5 4" xfId="880"/>
    <cellStyle name="60% - 강조색6" xfId="59" builtinId="52" customBuiltin="1"/>
    <cellStyle name="60% - 강조색6 2" xfId="1489"/>
    <cellStyle name="60% - 강조색6 3" xfId="1776"/>
    <cellStyle name="60% - 강조색6 4" xfId="881"/>
    <cellStyle name="A" xfId="882"/>
    <cellStyle name="A_Bank Statement_LLK" xfId="883"/>
    <cellStyle name="A_Estern star_Nov 2002" xfId="884"/>
    <cellStyle name="A_esternstar-Dec.2002" xfId="885"/>
    <cellStyle name="A_RECON -OBN" xfId="886"/>
    <cellStyle name="A_Sheet1" xfId="887"/>
    <cellStyle name="A¡§¡ⓒ¡E¡þ¡EO [0]_¡§￠Ri¡§u¡§¡þ¡§¡þI¡§u￠R¨I" xfId="888"/>
    <cellStyle name="A¡§¡ⓒ¡E¡þ¡EO_¡§¡þn¡E?e¡E?¨Io￠Rie_PERSONAL" xfId="889"/>
    <cellStyle name="A¨­???? [0]_2000¨?OER " xfId="890"/>
    <cellStyle name="A¨­????_2000¨?OER " xfId="891"/>
    <cellStyle name="A¨­￠￢￠O [0]_¡¾￠￢¨￢¨￠¨uOAI_6.Sample ⓒoYAaⓒø¡i￠?¨￡ " xfId="892"/>
    <cellStyle name="A¨­¢¬¢Ò [0]_2000¨ùOER " xfId="893"/>
    <cellStyle name="A¨­￠￢￠O [0]_A￠´¡¾C¨oA¡Æi¨u¡ⓒ(¨oA¡Æi¨u¡ⓒⓒo¡¿666Aa¨￢I)" xfId="894"/>
    <cellStyle name="A¨­￠￢￠O_¡¾￠￢¨￢¨￠¨uOAI_6.Sample ⓒoYAaⓒø¡i￠?¨￡ " xfId="895"/>
    <cellStyle name="A¨­¢¬¢Ò_2000¨ùOER " xfId="896"/>
    <cellStyle name="AeE­ [0]_´e¿i" xfId="897"/>
    <cellStyle name="ÅëÈ­ [0]_¸ÅÃâ" xfId="898"/>
    <cellStyle name="AeE­ [0]_¸AAa_6.Sample ¹YAa³≫¿ª " xfId="899"/>
    <cellStyle name="ÅëÈ­ [0]_±âÅ¸" xfId="900"/>
    <cellStyle name="AeE­ [0]_°eE¹_11¿a½A " xfId="901"/>
    <cellStyle name="ÅëÈ­ [0]_°ü¸®¿ø°¡" xfId="902"/>
    <cellStyle name="AeE­ [0]_¼oAI¼º " xfId="903"/>
    <cellStyle name="ÅëÈ­ [0]_¹Ì¼ö¼öÀÍ" xfId="904"/>
    <cellStyle name="AeE­_´e¿i" xfId="905"/>
    <cellStyle name="ÅëÈ­_¸ÅÃâ" xfId="906"/>
    <cellStyle name="AeE­_¸AAa_6.Sample ¹YAa³≫¿ª " xfId="907"/>
    <cellStyle name="ÅëÈ­_±âÅ¸" xfId="908"/>
    <cellStyle name="AeE­_°eE¹_11¿a½A " xfId="909"/>
    <cellStyle name="ÅëÈ­_°ü¸®¿ø°¡" xfId="910"/>
    <cellStyle name="AeE­_¼oAI¼º " xfId="911"/>
    <cellStyle name="ÅëÈ­_¹Ì¼ö¼öÀÍ" xfId="912"/>
    <cellStyle name="AeE¡? [0]_2000¨?OER " xfId="913"/>
    <cellStyle name="AeE¡?_2000¨?OER " xfId="914"/>
    <cellStyle name="AeE¡© [0]_2000¨ùOER " xfId="915"/>
    <cellStyle name="AeE¡©_2000¨ùOER " xfId="916"/>
    <cellStyle name="AeE¡ⓒ [0]_¡¾￠￢¨￢¨￠¨uOAI_6.Sample ⓒoYAaⓒø¡i￠?¨￡ " xfId="917"/>
    <cellStyle name="AeE¡ⓒ_¡¾￠￢¨￢¨￠¨uOAI_6.Sample ⓒoYAaⓒø¡i￠?¨￡ " xfId="918"/>
    <cellStyle name="AeE￠R¨I [0]_¡§￠Ri¡§u¡§¡þ¡§¡þI¡§u￠R¨I" xfId="919"/>
    <cellStyle name="AeE￠R¨I_¡§￠Ri¡§u¡§¡þ¡§¡þI¡§u￠R¨I" xfId="920"/>
    <cellStyle name="Afrundet valuta_A" xfId="921"/>
    <cellStyle name="ALIGNMENT" xfId="922"/>
    <cellStyle name="AppendixDescription" xfId="923"/>
    <cellStyle name="AppendixTitle" xfId="924"/>
    <cellStyle name="AÞ¸¶ [0]_´e¿i" xfId="925"/>
    <cellStyle name="ÄÞ¸¶ [0]_¸ÅÃâ" xfId="926"/>
    <cellStyle name="AÞ¸¶ [0]_¸AAa_6.Sample ¹YAa³≫¿ª " xfId="927"/>
    <cellStyle name="ÄÞ¸¶ [0]_±âÅ¸" xfId="928"/>
    <cellStyle name="AÞ¸¶ [0]_°eE¹_11¿a½A " xfId="929"/>
    <cellStyle name="ÄÞ¸¶ [0]_°ü¸®¿ø°¡" xfId="930"/>
    <cellStyle name="AÞ¸¶ [0]_¼oAI¼º " xfId="931"/>
    <cellStyle name="ÄÞ¸¶ [0]_¹Ì¼ö¼öÀÍ" xfId="932"/>
    <cellStyle name="AÞ¸¶_´e¿i" xfId="933"/>
    <cellStyle name="ÄÞ¸¶_¸ÅÃâ" xfId="934"/>
    <cellStyle name="AÞ¸¶_°eE¹_11¿a½A " xfId="935"/>
    <cellStyle name="ÄÞ¸¶_°ü¸®¿ø°¡" xfId="936"/>
    <cellStyle name="Besøgt Hyperlink_Kap07.xls Diagram 173" xfId="937"/>
    <cellStyle name="Body" xfId="938"/>
    <cellStyle name="Border" xfId="939"/>
    <cellStyle name="C¡?A¨ª_2000¨?OER " xfId="940"/>
    <cellStyle name="C¡IA¨ª_#1,2" xfId="941"/>
    <cellStyle name="C¡ÍA¨ª_¨öCAu" xfId="942"/>
    <cellStyle name="C¡IA¨ª_2000¨uOER " xfId="943"/>
    <cellStyle name="C¡ÍA¨ª_2000¨ùOER " xfId="944"/>
    <cellStyle name="C¡IA¨ª_2000¨uOER _1월채권" xfId="945"/>
    <cellStyle name="C￠RIA¡§¨￡_#1,2" xfId="946"/>
    <cellStyle name="C￥AØ_  FAB AIA¤  " xfId="947"/>
    <cellStyle name="Ç¥ÁØ_¸ÅÃâ" xfId="948"/>
    <cellStyle name="C￥AØ_¸AAa.¼OAI " xfId="949"/>
    <cellStyle name="Ç¥ÁØ_°ü¸®¿ø°¡" xfId="950"/>
    <cellStyle name="C￥AØ_CPK9902v100A" xfId="951"/>
    <cellStyle name="Calc Currency (0)" xfId="1"/>
    <cellStyle name="Calc Currency (0) 2" xfId="952"/>
    <cellStyle name="Calc Currency (2)" xfId="953"/>
    <cellStyle name="Calc Percent (0)" xfId="954"/>
    <cellStyle name="Calc Percent (1)" xfId="955"/>
    <cellStyle name="Calc Percent (2)" xfId="956"/>
    <cellStyle name="Calc Units (0)" xfId="957"/>
    <cellStyle name="Calc Units (1)" xfId="958"/>
    <cellStyle name="Calc Units (2)" xfId="959"/>
    <cellStyle name="category" xfId="2"/>
    <cellStyle name="category 2" xfId="960"/>
    <cellStyle name="ColTitle" xfId="961"/>
    <cellStyle name="ColTitleLabel" xfId="962"/>
    <cellStyle name="Column_Title" xfId="963"/>
    <cellStyle name="ColumnHeading" xfId="964"/>
    <cellStyle name="columns_array" xfId="965"/>
    <cellStyle name="Comma" xfId="966"/>
    <cellStyle name="Comma  - Style1" xfId="967"/>
    <cellStyle name="Comma  - Style2" xfId="968"/>
    <cellStyle name="Comma  - Style3" xfId="969"/>
    <cellStyle name="Comma  - Style4" xfId="970"/>
    <cellStyle name="Comma  - Style5" xfId="971"/>
    <cellStyle name="Comma  - Style6" xfId="972"/>
    <cellStyle name="Comma  - Style7" xfId="973"/>
    <cellStyle name="Comma  - Style8" xfId="974"/>
    <cellStyle name="Comma [0]" xfId="975"/>
    <cellStyle name="Comma [00]" xfId="976"/>
    <cellStyle name="Comma 0" xfId="977"/>
    <cellStyle name="Comma 2" xfId="978"/>
    <cellStyle name="comma zerodec" xfId="979"/>
    <cellStyle name="Comma_ ROW DATA" xfId="980"/>
    <cellStyle name="Copied" xfId="981"/>
    <cellStyle name="Currency" xfId="982"/>
    <cellStyle name="Currency [0]" xfId="983"/>
    <cellStyle name="Currency [00]" xfId="984"/>
    <cellStyle name="Currency 0" xfId="985"/>
    <cellStyle name="Currency 2" xfId="986"/>
    <cellStyle name="Currency_ ROW DATA" xfId="987"/>
    <cellStyle name="Currency1" xfId="988"/>
    <cellStyle name="Curren堼y_9월경비_1월회비내역 (2)_1" xfId="989"/>
    <cellStyle name="D" xfId="990"/>
    <cellStyle name="D_Bank Statement_LLK" xfId="991"/>
    <cellStyle name="D_Estern star_Nov 2002" xfId="992"/>
    <cellStyle name="D_esternstar-Dec.2002" xfId="993"/>
    <cellStyle name="D_RECON -OBN" xfId="994"/>
    <cellStyle name="D_Sheet1" xfId="995"/>
    <cellStyle name="Data" xfId="996"/>
    <cellStyle name="date" xfId="997"/>
    <cellStyle name="Date Short" xfId="998"/>
    <cellStyle name="Date_~7207288" xfId="999"/>
    <cellStyle name="DATETIME" xfId="1000"/>
    <cellStyle name="DELTA" xfId="1001"/>
    <cellStyle name="Dezimal [0]_gewinn98" xfId="1002"/>
    <cellStyle name="Dezimal_gewinn98" xfId="1003"/>
    <cellStyle name="Dollar (zero dec)" xfId="1004"/>
    <cellStyle name="Enter Currency (0)" xfId="1005"/>
    <cellStyle name="Enter Currency (2)" xfId="1006"/>
    <cellStyle name="Enter Units (0)" xfId="1007"/>
    <cellStyle name="Enter Units (1)" xfId="1008"/>
    <cellStyle name="Enter Units (2)" xfId="1009"/>
    <cellStyle name="Entered" xfId="1010"/>
    <cellStyle name="Euro" xfId="1011"/>
    <cellStyle name="EvenBodyShade" xfId="1012"/>
    <cellStyle name="F1" xfId="1013"/>
    <cellStyle name="F2" xfId="1014"/>
    <cellStyle name="F3" xfId="1015"/>
    <cellStyle name="F4" xfId="1016"/>
    <cellStyle name="F5" xfId="1017"/>
    <cellStyle name="F6" xfId="1018"/>
    <cellStyle name="F7" xfId="1019"/>
    <cellStyle name="F8" xfId="1020"/>
    <cellStyle name="Fixed" xfId="1021"/>
    <cellStyle name="Followed Hyperlink" xfId="1022"/>
    <cellStyle name="g/표준" xfId="1023"/>
    <cellStyle name="GrandTotal" xfId="1024"/>
    <cellStyle name="Grey" xfId="3"/>
    <cellStyle name="Head1" xfId="1025"/>
    <cellStyle name="Head2" xfId="1026"/>
    <cellStyle name="Head3" xfId="1027"/>
    <cellStyle name="Head4" xfId="1028"/>
    <cellStyle name="Head5" xfId="1029"/>
    <cellStyle name="Head6" xfId="1030"/>
    <cellStyle name="Head7" xfId="1031"/>
    <cellStyle name="Head8" xfId="1032"/>
    <cellStyle name="Head9" xfId="1033"/>
    <cellStyle name="HEADER" xfId="4"/>
    <cellStyle name="HEADER 2" xfId="1034"/>
    <cellStyle name="Header1" xfId="5"/>
    <cellStyle name="Header1 2" xfId="1035"/>
    <cellStyle name="Header2" xfId="6"/>
    <cellStyle name="Header2 2" xfId="1036"/>
    <cellStyle name="Heading" xfId="1037"/>
    <cellStyle name="heading, 1,A MAJOR/BOLD" xfId="1038"/>
    <cellStyle name="HEADING1" xfId="1039"/>
    <cellStyle name="HEADING2" xfId="1040"/>
    <cellStyle name="HeadShade" xfId="1041"/>
    <cellStyle name="Hyperlink" xfId="1042"/>
    <cellStyle name="I" xfId="1043"/>
    <cellStyle name="I_Estern star_Nov 2002" xfId="1044"/>
    <cellStyle name="I_esternstar-Dec.2002" xfId="1045"/>
    <cellStyle name="I_Sheet1" xfId="1046"/>
    <cellStyle name="Input" xfId="1047"/>
    <cellStyle name="Input [yellow]" xfId="7"/>
    <cellStyle name="left" xfId="1048"/>
    <cellStyle name="LineCode" xfId="1049"/>
    <cellStyle name="Link Currency (0)" xfId="1050"/>
    <cellStyle name="Link Currency (2)" xfId="1051"/>
    <cellStyle name="Link Units (0)" xfId="1052"/>
    <cellStyle name="Link Units (1)" xfId="1053"/>
    <cellStyle name="Link Units (2)" xfId="1054"/>
    <cellStyle name="LISAM" xfId="1055"/>
    <cellStyle name="Locked" xfId="1056"/>
    <cellStyle name="M" xfId="1057"/>
    <cellStyle name="M_Bank Statement_LLK" xfId="1058"/>
    <cellStyle name="M_Estern star_Nov 2002" xfId="1059"/>
    <cellStyle name="M_esternstar-Dec.2002" xfId="1060"/>
    <cellStyle name="M_RECON -OBN" xfId="1061"/>
    <cellStyle name="Migliaia (0)_CB_CONS.XLS" xfId="1062"/>
    <cellStyle name="Migliaia_Fs2000hy" xfId="1063"/>
    <cellStyle name="Millares [0]_laroux" xfId="1064"/>
    <cellStyle name="Millares_laroux" xfId="1065"/>
    <cellStyle name="Milliers [0]_1" xfId="1066"/>
    <cellStyle name="Milliers_1" xfId="1067"/>
    <cellStyle name="Model" xfId="8"/>
    <cellStyle name="Model 2" xfId="1068"/>
    <cellStyle name="Mon?aire [0]_1" xfId="1069"/>
    <cellStyle name="Mon?aire_1" xfId="1070"/>
    <cellStyle name="Moneda [0]_CONTENCION CONDELL 25.051" xfId="1071"/>
    <cellStyle name="Moneda_CONTENCION CONDELL 25.051" xfId="1072"/>
    <cellStyle name="Monétaire [0]_ActPerso" xfId="1073"/>
    <cellStyle name="Monétaire_ActPerso" xfId="1074"/>
    <cellStyle name="no dec" xfId="1075"/>
    <cellStyle name="Normal - Style1" xfId="9"/>
    <cellStyle name="Normal - Style1 2" xfId="1076"/>
    <cellStyle name="Normal - Style2" xfId="1077"/>
    <cellStyle name="Normal - Style3" xfId="1078"/>
    <cellStyle name="Normal - Style4" xfId="1079"/>
    <cellStyle name="Normal - Style5" xfId="1080"/>
    <cellStyle name="Normal - Style6" xfId="1081"/>
    <cellStyle name="Normal - Style7" xfId="1082"/>
    <cellStyle name="Normal - Style8" xfId="1083"/>
    <cellStyle name="Normal - 유형1" xfId="1084"/>
    <cellStyle name="Normal - 유형2" xfId="1085"/>
    <cellStyle name="Normal - 유형3" xfId="1086"/>
    <cellStyle name="Normal - 유형4" xfId="1087"/>
    <cellStyle name="Normal - 유형5" xfId="1088"/>
    <cellStyle name="Normal - 유형6" xfId="1089"/>
    <cellStyle name="Normal - 유형7" xfId="1090"/>
    <cellStyle name="Normal - 유형8" xfId="1091"/>
    <cellStyle name="Normal_ ROW DATA" xfId="1092"/>
    <cellStyle name="Normal1" xfId="1093"/>
    <cellStyle name="Normal2" xfId="1094"/>
    <cellStyle name="Normal3" xfId="1095"/>
    <cellStyle name="Normal4" xfId="1096"/>
    <cellStyle name="Normale_CB_CON95.XLS" xfId="1097"/>
    <cellStyle name="OddBodyShade" xfId="1098"/>
    <cellStyle name="Œ…?ⓒ¡맇㎤?e_PRODUCT DETAIL Q3 (2)" xfId="1099"/>
    <cellStyle name="Output Amounts" xfId="1100"/>
    <cellStyle name="Output Column Headings" xfId="1101"/>
    <cellStyle name="Output Line Items" xfId="1102"/>
    <cellStyle name="Output Report Heading" xfId="1103"/>
    <cellStyle name="Output Report Title" xfId="1104"/>
    <cellStyle name="Overscore" xfId="1105"/>
    <cellStyle name="Overunder" xfId="1106"/>
    <cellStyle name="P" xfId="1107"/>
    <cellStyle name="Percent" xfId="1108"/>
    <cellStyle name="Percent (0)" xfId="1109"/>
    <cellStyle name="Percent [0]" xfId="1110"/>
    <cellStyle name="Percent [00]" xfId="1111"/>
    <cellStyle name="Percent [2]" xfId="10"/>
    <cellStyle name="Percent 0" xfId="1112"/>
    <cellStyle name="Percent 2" xfId="1113"/>
    <cellStyle name="Percent_#6 Temps &amp; Contractors" xfId="1114"/>
    <cellStyle name="PERCENTAGE" xfId="1115"/>
    <cellStyle name="PrePop Currency (0)" xfId="1116"/>
    <cellStyle name="PrePop Currency (2)" xfId="1117"/>
    <cellStyle name="PrePop Units (0)" xfId="1118"/>
    <cellStyle name="PrePop Units (1)" xfId="1119"/>
    <cellStyle name="PrePop Units (2)" xfId="1120"/>
    <cellStyle name="PSChar" xfId="1121"/>
    <cellStyle name="PSDate" xfId="1122"/>
    <cellStyle name="PSDec" xfId="1123"/>
    <cellStyle name="PSHeading" xfId="1124"/>
    <cellStyle name="PSInt" xfId="1125"/>
    <cellStyle name="PSSpacer" xfId="1126"/>
    <cellStyle name="pwstyle" xfId="1127"/>
    <cellStyle name="qbh_x0003__x000c_bh_x0017_&quot;blTT０_x0008__x0003__x0008_?)(일)" xfId="1128"/>
    <cellStyle name="qbh_x0003__x000c_bh_x0017_&quot;blTT０_x0008__x0003__x0008_磚)(일)" xfId="1129"/>
    <cellStyle name="Reg1" xfId="1130"/>
    <cellStyle name="Reg2" xfId="1131"/>
    <cellStyle name="Reg3" xfId="1132"/>
    <cellStyle name="Reg4" xfId="1133"/>
    <cellStyle name="Reg5" xfId="1134"/>
    <cellStyle name="Reg6" xfId="1135"/>
    <cellStyle name="Reg7" xfId="1136"/>
    <cellStyle name="Reg8" xfId="1137"/>
    <cellStyle name="Reg9" xfId="1138"/>
    <cellStyle name="RevList" xfId="1139"/>
    <cellStyle name="row_def_array" xfId="1140"/>
    <cellStyle name="s]_x000d__x000a_spooler=yes_x000d__x000a_load=_x000d__x000a_run=_x000d__x000a_Beep=yes_x000d__x000a_NullPort=None_x000d__x000a_BorderWidth=3_x000d__x000a_CursorBlinkRate=530_x000d__x000a_DoubleClickSpeed=452_x000d__x000a_Progra" xfId="1141"/>
    <cellStyle name="SAPLocked" xfId="1142"/>
    <cellStyle name="SAPOutput" xfId="1143"/>
    <cellStyle name="SAPUnLocked" xfId="1144"/>
    <cellStyle name="SpecialHeader" xfId="1145"/>
    <cellStyle name="Standard_A Forms Version 00" xfId="1146"/>
    <cellStyle name="subhead" xfId="11"/>
    <cellStyle name="subhead 2" xfId="1147"/>
    <cellStyle name="SubHeader" xfId="1148"/>
    <cellStyle name="Subtotal" xfId="1149"/>
    <cellStyle name="T" xfId="1150"/>
    <cellStyle name="T_Bank Statement_LLK" xfId="1151"/>
    <cellStyle name="T_Estern star_Nov 2002" xfId="1152"/>
    <cellStyle name="T_esternstar-Dec.2002" xfId="1153"/>
    <cellStyle name="T_RECON -OBN" xfId="1154"/>
    <cellStyle name="T_Sheet1" xfId="1155"/>
    <cellStyle name="T０_x0008__x0003__x0008_?)(일)" xfId="1156"/>
    <cellStyle name="T０_x0008__x0003__x0008_磚)(일)" xfId="1157"/>
    <cellStyle name="TEST" xfId="1158"/>
    <cellStyle name="Text Indent A" xfId="1159"/>
    <cellStyle name="Text Indent B" xfId="1160"/>
    <cellStyle name="Text Indent C" xfId="1161"/>
    <cellStyle name="þ_x001d_ð'&amp;Oy?Hy9_x0008__x000f__x0007_æ_x0007__x0007__x0001__x0001_" xfId="1162"/>
    <cellStyle name="Tickmark" xfId="1163"/>
    <cellStyle name="TIME" xfId="1164"/>
    <cellStyle name="Title" xfId="1165"/>
    <cellStyle name="Title1" xfId="1166"/>
    <cellStyle name="TitleOther" xfId="1167"/>
    <cellStyle name="Total" xfId="1168"/>
    <cellStyle name="Total1" xfId="1169"/>
    <cellStyle name="Total2" xfId="1170"/>
    <cellStyle name="Total3" xfId="1171"/>
    <cellStyle name="Total4" xfId="1172"/>
    <cellStyle name="Total5" xfId="1173"/>
    <cellStyle name="Total6" xfId="1174"/>
    <cellStyle name="Total7" xfId="1175"/>
    <cellStyle name="Total8" xfId="1176"/>
    <cellStyle name="Total9" xfId="1177"/>
    <cellStyle name="TotShade" xfId="1178"/>
    <cellStyle name="Underscore" xfId="1179"/>
    <cellStyle name="Unprotect" xfId="1180"/>
    <cellStyle name="Valuta_A" xfId="1181"/>
    <cellStyle name="W?rung [0]_gewinn98" xfId="1182"/>
    <cellStyle name="W?rung_gewinn98" xfId="1183"/>
    <cellStyle name="wrap" xfId="1184"/>
    <cellStyle name="강조색1" xfId="36" builtinId="29" customBuiltin="1"/>
    <cellStyle name="강조색1 2" xfId="1466"/>
    <cellStyle name="강조색1 3" xfId="1753"/>
    <cellStyle name="강조색1 4" xfId="1185"/>
    <cellStyle name="강조색2" xfId="40" builtinId="33" customBuiltin="1"/>
    <cellStyle name="강조색2 2" xfId="1470"/>
    <cellStyle name="강조색2 3" xfId="1757"/>
    <cellStyle name="강조색2 4" xfId="1186"/>
    <cellStyle name="강조색3" xfId="44" builtinId="37" customBuiltin="1"/>
    <cellStyle name="강조색3 2" xfId="1474"/>
    <cellStyle name="강조색3 3" xfId="1761"/>
    <cellStyle name="강조색3 4" xfId="1187"/>
    <cellStyle name="강조색4" xfId="48" builtinId="41" customBuiltin="1"/>
    <cellStyle name="강조색4 2" xfId="1478"/>
    <cellStyle name="강조색4 3" xfId="1765"/>
    <cellStyle name="강조색4 4" xfId="1188"/>
    <cellStyle name="강조색5" xfId="52" builtinId="45" customBuiltin="1"/>
    <cellStyle name="강조색5 2" xfId="1482"/>
    <cellStyle name="강조색5 3" xfId="1769"/>
    <cellStyle name="강조색5 4" xfId="1189"/>
    <cellStyle name="강조색6" xfId="56" builtinId="49" customBuiltin="1"/>
    <cellStyle name="강조색6 2" xfId="1486"/>
    <cellStyle name="강조색6 3" xfId="1773"/>
    <cellStyle name="강조색6 4" xfId="1190"/>
    <cellStyle name="견적" xfId="1191"/>
    <cellStyle name="경고문" xfId="33" builtinId="11" customBuiltin="1"/>
    <cellStyle name="경고문 2" xfId="1462"/>
    <cellStyle name="경고문 3" xfId="1749"/>
    <cellStyle name="경고문 4" xfId="1192"/>
    <cellStyle name="계산" xfId="30" builtinId="22" customBuiltin="1"/>
    <cellStyle name="계산 2" xfId="1459"/>
    <cellStyle name="계산 3" xfId="1746"/>
    <cellStyle name="계산 4" xfId="1193"/>
    <cellStyle name="고정소숫점" xfId="1194"/>
    <cellStyle name="고정출력1" xfId="1195"/>
    <cellStyle name="고정출력2" xfId="1196"/>
    <cellStyle name="咬訌裝?INCOM1" xfId="1197"/>
    <cellStyle name="咬訌裝?INCOM10" xfId="1198"/>
    <cellStyle name="咬訌裝?INCOM2" xfId="1199"/>
    <cellStyle name="咬訌裝?INCOM3" xfId="1200"/>
    <cellStyle name="咬訌裝?INCOM4" xfId="1201"/>
    <cellStyle name="咬訌裝?INCOM5" xfId="1202"/>
    <cellStyle name="咬訌裝?INCOM6" xfId="1203"/>
    <cellStyle name="咬訌裝?INCOM7" xfId="1204"/>
    <cellStyle name="咬訌裝?INCOM8" xfId="1205"/>
    <cellStyle name="咬訌裝?INCOM9" xfId="1206"/>
    <cellStyle name="咬訌裝?PRIB11" xfId="1207"/>
    <cellStyle name="咬訌裝?report-2 " xfId="1208"/>
    <cellStyle name="굴림체" xfId="1209"/>
    <cellStyle name="금액" xfId="12"/>
    <cellStyle name="기계" xfId="1210"/>
    <cellStyle name="나쁨" xfId="26" builtinId="27" customBuiltin="1"/>
    <cellStyle name="나쁨 2" xfId="1455"/>
    <cellStyle name="나쁨 3" xfId="1742"/>
    <cellStyle name="나쁨 4" xfId="1211"/>
    <cellStyle name="날짜" xfId="1212"/>
    <cellStyle name="달러" xfId="1213"/>
    <cellStyle name="뒤에 오는 하이퍼링크" xfId="1214"/>
    <cellStyle name="똿뗦먛귟 [0.00]_PRODUCT DETAIL Q1" xfId="1215"/>
    <cellStyle name="똿뗦먛귟_PRODUCT DETAIL Q1" xfId="1216"/>
    <cellStyle name="메모 2" xfId="61"/>
    <cellStyle name="메모 2 2" xfId="150"/>
    <cellStyle name="메모 2 2 2" xfId="522"/>
    <cellStyle name="메모 2 2 2 2" xfId="1973"/>
    <cellStyle name="메모 2 2 3" xfId="346"/>
    <cellStyle name="메모 2 2 4" xfId="756"/>
    <cellStyle name="메모 2 2 5" xfId="1596"/>
    <cellStyle name="메모 2 3" xfId="435"/>
    <cellStyle name="메모 2 3 2" xfId="1854"/>
    <cellStyle name="메모 2 4" xfId="242"/>
    <cellStyle name="메모 2 5" xfId="669"/>
    <cellStyle name="메모 2 6" xfId="1463"/>
    <cellStyle name="메모 3" xfId="63"/>
    <cellStyle name="메모 3 2" xfId="152"/>
    <cellStyle name="메모 3 2 2" xfId="524"/>
    <cellStyle name="메모 3 2 3" xfId="348"/>
    <cellStyle name="메모 3 2 4" xfId="758"/>
    <cellStyle name="메모 3 2 5" xfId="2056"/>
    <cellStyle name="메모 3 3" xfId="437"/>
    <cellStyle name="메모 3 4" xfId="245"/>
    <cellStyle name="메모 3 5" xfId="671"/>
    <cellStyle name="메모 3 6" xfId="1679"/>
    <cellStyle name="메모 4" xfId="79"/>
    <cellStyle name="메모 4 2" xfId="168"/>
    <cellStyle name="메모 4 2 2" xfId="540"/>
    <cellStyle name="메모 4 2 3" xfId="364"/>
    <cellStyle name="메모 4 2 4" xfId="774"/>
    <cellStyle name="메모 4 2 5" xfId="2113"/>
    <cellStyle name="메모 4 3" xfId="453"/>
    <cellStyle name="메모 4 4" xfId="270"/>
    <cellStyle name="메모 4 5" xfId="687"/>
    <cellStyle name="메모 4 6" xfId="1750"/>
    <cellStyle name="메모 5" xfId="96"/>
    <cellStyle name="메모 5 2" xfId="183"/>
    <cellStyle name="메모 5 2 2" xfId="555"/>
    <cellStyle name="메모 5 2 3" xfId="379"/>
    <cellStyle name="메모 5 2 4" xfId="789"/>
    <cellStyle name="메모 5 2 5" xfId="2174"/>
    <cellStyle name="메모 5 3" xfId="468"/>
    <cellStyle name="메모 5 4" xfId="285"/>
    <cellStyle name="메모 5 5" xfId="702"/>
    <cellStyle name="메모 5 6" xfId="1824"/>
    <cellStyle name="메모 6" xfId="110"/>
    <cellStyle name="메모 6 2" xfId="197"/>
    <cellStyle name="메모 6 2 2" xfId="569"/>
    <cellStyle name="메모 6 2 3" xfId="393"/>
    <cellStyle name="메모 6 2 4" xfId="803"/>
    <cellStyle name="메모 6 3" xfId="482"/>
    <cellStyle name="메모 6 4" xfId="300"/>
    <cellStyle name="메모 6 5" xfId="716"/>
    <cellStyle name="메모 7" xfId="124"/>
    <cellStyle name="메모 7 2" xfId="211"/>
    <cellStyle name="메모 7 2 2" xfId="583"/>
    <cellStyle name="메모 7 2 3" xfId="407"/>
    <cellStyle name="메모 7 2 4" xfId="817"/>
    <cellStyle name="메모 7 3" xfId="496"/>
    <cellStyle name="메모 7 4" xfId="315"/>
    <cellStyle name="메모 7 5" xfId="730"/>
    <cellStyle name="메모 8" xfId="599"/>
    <cellStyle name="메모 9" xfId="1217"/>
    <cellStyle name="묮뎋 [0.00]_PRODUCT DETAIL Q3 (2)_6.Sample ¹YAa³≫¿ª " xfId="1218"/>
    <cellStyle name="묮뎋_PRODUCT DETAIL Q3 (2)_6.Sample ¹YAa³≫¿ª " xfId="1219"/>
    <cellStyle name="믅됞 [0.00]_볷?붎 " xfId="1220"/>
    <cellStyle name="믅됞_볷?붎 " xfId="1221"/>
    <cellStyle name="백" xfId="1222"/>
    <cellStyle name="백만원" xfId="1223"/>
    <cellStyle name="백분율 2" xfId="13"/>
    <cellStyle name="백분율 유형(&amp;P)" xfId="1224"/>
    <cellStyle name="백분율유형(1)" xfId="1225"/>
    <cellStyle name="보통" xfId="27" builtinId="28" customBuiltin="1"/>
    <cellStyle name="보통 2" xfId="1456"/>
    <cellStyle name="보통 3" xfId="1743"/>
    <cellStyle name="보통 4" xfId="1226"/>
    <cellStyle name="뷭?" xfId="1227"/>
    <cellStyle name="삼일-금지" xfId="1228"/>
    <cellStyle name="삼일-입력" xfId="1229"/>
    <cellStyle name="常规_LIST" xfId="1230"/>
    <cellStyle name="선택영역의 가운데로" xfId="1231"/>
    <cellStyle name="설명 텍스트" xfId="34" builtinId="53" customBuiltin="1"/>
    <cellStyle name="설명 텍스트 2" xfId="1464"/>
    <cellStyle name="설명 텍스트 3" xfId="1751"/>
    <cellStyle name="설명 텍스트 4" xfId="1232"/>
    <cellStyle name="셀 확인" xfId="32" builtinId="23" customBuiltin="1"/>
    <cellStyle name="셀 확인 2" xfId="1461"/>
    <cellStyle name="셀 확인 3" xfId="1748"/>
    <cellStyle name="셀 확인 4" xfId="1233"/>
    <cellStyle name="숫자(R)" xfId="1234"/>
    <cellStyle name="쉼표 [0]" xfId="14" builtinId="6"/>
    <cellStyle name="쉼표 [0] 2" xfId="15"/>
    <cellStyle name="쉼표 [0] 2 2" xfId="265"/>
    <cellStyle name="쉼표 [0] 3" xfId="93"/>
    <cellStyle name="쉼표 [0] 3 2" xfId="182"/>
    <cellStyle name="쉼표 [0] 3 2 2" xfId="554"/>
    <cellStyle name="쉼표 [0] 3 2 2 2" xfId="1997"/>
    <cellStyle name="쉼표 [0] 3 2 3" xfId="378"/>
    <cellStyle name="쉼표 [0] 3 2 4" xfId="788"/>
    <cellStyle name="쉼표 [0] 3 2 5" xfId="1620"/>
    <cellStyle name="쉼표 [0] 3 3" xfId="467"/>
    <cellStyle name="쉼표 [0] 3 3 2" xfId="1878"/>
    <cellStyle name="쉼표 [0] 3 4" xfId="243"/>
    <cellStyle name="쉼표 [0] 3 5" xfId="701"/>
    <cellStyle name="쉼표 [0] 3 6" xfId="1501"/>
    <cellStyle name="쉼표 [0] 4" xfId="263"/>
    <cellStyle name="쉼표 [0] 4 2" xfId="1235"/>
    <cellStyle name="쉼표 [0] 5" xfId="268"/>
    <cellStyle name="쉼표 [0] 5 2" xfId="1929"/>
    <cellStyle name="쉼표 [0] 5 3" xfId="1552"/>
    <cellStyle name="쉼표 [0] 6" xfId="283"/>
    <cellStyle name="쉼표 [0] 7" xfId="298"/>
    <cellStyle name="쉼표 [0] 8" xfId="313"/>
    <cellStyle name="쉼표 [0] 9" xfId="329"/>
    <cellStyle name="쉼표 [0]_SSA03202_반기FS" xfId="94"/>
    <cellStyle name="스타일 1" xfId="1236"/>
    <cellStyle name="스타일 10" xfId="1237"/>
    <cellStyle name="스타일 100" xfId="1238"/>
    <cellStyle name="스타일 101" xfId="1239"/>
    <cellStyle name="스타일 102" xfId="1240"/>
    <cellStyle name="스타일 103" xfId="1241"/>
    <cellStyle name="스타일 104" xfId="1242"/>
    <cellStyle name="스타일 105" xfId="1243"/>
    <cellStyle name="스타일 106" xfId="1244"/>
    <cellStyle name="스타일 107" xfId="1245"/>
    <cellStyle name="스타일 108" xfId="1246"/>
    <cellStyle name="스타일 109" xfId="1247"/>
    <cellStyle name="스타일 11" xfId="1248"/>
    <cellStyle name="스타일 110" xfId="1249"/>
    <cellStyle name="스타일 111" xfId="1250"/>
    <cellStyle name="스타일 112" xfId="1251"/>
    <cellStyle name="스타일 113" xfId="1252"/>
    <cellStyle name="스타일 114" xfId="1253"/>
    <cellStyle name="스타일 115" xfId="1254"/>
    <cellStyle name="스타일 116" xfId="1255"/>
    <cellStyle name="스타일 117" xfId="1256"/>
    <cellStyle name="스타일 118" xfId="1257"/>
    <cellStyle name="스타일 119" xfId="1258"/>
    <cellStyle name="스타일 12" xfId="1259"/>
    <cellStyle name="스타일 120" xfId="1260"/>
    <cellStyle name="스타일 121" xfId="1261"/>
    <cellStyle name="스타일 122" xfId="1262"/>
    <cellStyle name="스타일 123" xfId="1263"/>
    <cellStyle name="스타일 124" xfId="1264"/>
    <cellStyle name="스타일 125" xfId="1265"/>
    <cellStyle name="스타일 126" xfId="1266"/>
    <cellStyle name="스타일 127" xfId="1267"/>
    <cellStyle name="스타일 128" xfId="1268"/>
    <cellStyle name="스타일 129" xfId="1269"/>
    <cellStyle name="스타일 13" xfId="1270"/>
    <cellStyle name="스타일 130" xfId="1271"/>
    <cellStyle name="스타일 131" xfId="1272"/>
    <cellStyle name="스타일 132" xfId="1273"/>
    <cellStyle name="스타일 133" xfId="1274"/>
    <cellStyle name="스타일 134" xfId="1275"/>
    <cellStyle name="스타일 135" xfId="1276"/>
    <cellStyle name="스타일 136" xfId="1277"/>
    <cellStyle name="스타일 137" xfId="1278"/>
    <cellStyle name="스타일 138" xfId="1279"/>
    <cellStyle name="스타일 139" xfId="1280"/>
    <cellStyle name="스타일 14" xfId="1281"/>
    <cellStyle name="스타일 140" xfId="1282"/>
    <cellStyle name="스타일 141" xfId="1283"/>
    <cellStyle name="스타일 142" xfId="1284"/>
    <cellStyle name="스타일 143" xfId="1285"/>
    <cellStyle name="스타일 144" xfId="1286"/>
    <cellStyle name="스타일 145" xfId="1287"/>
    <cellStyle name="스타일 146" xfId="1288"/>
    <cellStyle name="스타일 147" xfId="1289"/>
    <cellStyle name="스타일 148" xfId="1290"/>
    <cellStyle name="스타일 149" xfId="1291"/>
    <cellStyle name="스타일 15" xfId="1292"/>
    <cellStyle name="스타일 150" xfId="1293"/>
    <cellStyle name="스타일 151" xfId="1294"/>
    <cellStyle name="스타일 152" xfId="1295"/>
    <cellStyle name="스타일 153" xfId="1296"/>
    <cellStyle name="스타일 154" xfId="1297"/>
    <cellStyle name="스타일 155" xfId="1298"/>
    <cellStyle name="스타일 156" xfId="1299"/>
    <cellStyle name="스타일 16" xfId="1300"/>
    <cellStyle name="스타일 17" xfId="1301"/>
    <cellStyle name="스타일 18" xfId="1302"/>
    <cellStyle name="스타일 19" xfId="1303"/>
    <cellStyle name="스타일 2" xfId="1304"/>
    <cellStyle name="스타일 20" xfId="1305"/>
    <cellStyle name="스타일 21" xfId="1306"/>
    <cellStyle name="스타일 22" xfId="1307"/>
    <cellStyle name="스타일 23" xfId="1308"/>
    <cellStyle name="스타일 24" xfId="1309"/>
    <cellStyle name="스타일 25" xfId="1310"/>
    <cellStyle name="스타일 26" xfId="1311"/>
    <cellStyle name="스타일 27" xfId="1312"/>
    <cellStyle name="스타일 28" xfId="1313"/>
    <cellStyle name="스타일 29" xfId="1314"/>
    <cellStyle name="스타일 3" xfId="1315"/>
    <cellStyle name="스타일 30" xfId="1316"/>
    <cellStyle name="스타일 31" xfId="1317"/>
    <cellStyle name="스타일 32" xfId="1318"/>
    <cellStyle name="스타일 33" xfId="1319"/>
    <cellStyle name="스타일 34" xfId="1320"/>
    <cellStyle name="스타일 35" xfId="1321"/>
    <cellStyle name="스타일 36" xfId="1322"/>
    <cellStyle name="스타일 37" xfId="1323"/>
    <cellStyle name="스타일 38" xfId="1324"/>
    <cellStyle name="스타일 39" xfId="1325"/>
    <cellStyle name="스타일 4" xfId="1326"/>
    <cellStyle name="스타일 40" xfId="1327"/>
    <cellStyle name="스타일 41" xfId="1328"/>
    <cellStyle name="스타일 42" xfId="1329"/>
    <cellStyle name="스타일 43" xfId="1330"/>
    <cellStyle name="스타일 44" xfId="1331"/>
    <cellStyle name="스타일 45" xfId="1332"/>
    <cellStyle name="스타일 46" xfId="1333"/>
    <cellStyle name="스타일 47" xfId="1334"/>
    <cellStyle name="스타일 48" xfId="1335"/>
    <cellStyle name="스타일 49" xfId="1336"/>
    <cellStyle name="스타일 5" xfId="1337"/>
    <cellStyle name="스타일 50" xfId="1338"/>
    <cellStyle name="스타일 51" xfId="1339"/>
    <cellStyle name="스타일 52" xfId="1340"/>
    <cellStyle name="스타일 53" xfId="1341"/>
    <cellStyle name="스타일 54" xfId="1342"/>
    <cellStyle name="스타일 55" xfId="1343"/>
    <cellStyle name="스타일 56" xfId="1344"/>
    <cellStyle name="스타일 57" xfId="1345"/>
    <cellStyle name="스타일 58" xfId="1346"/>
    <cellStyle name="스타일 59" xfId="1347"/>
    <cellStyle name="스타일 6" xfId="1348"/>
    <cellStyle name="스타일 60" xfId="1349"/>
    <cellStyle name="스타일 61" xfId="1350"/>
    <cellStyle name="스타일 62" xfId="1351"/>
    <cellStyle name="스타일 63" xfId="1352"/>
    <cellStyle name="스타일 64" xfId="1353"/>
    <cellStyle name="스타일 65" xfId="1354"/>
    <cellStyle name="스타일 66" xfId="1355"/>
    <cellStyle name="스타일 67" xfId="1356"/>
    <cellStyle name="스타일 68" xfId="1357"/>
    <cellStyle name="스타일 69" xfId="1358"/>
    <cellStyle name="스타일 7" xfId="1359"/>
    <cellStyle name="스타일 70" xfId="1360"/>
    <cellStyle name="스타일 71" xfId="1361"/>
    <cellStyle name="스타일 72" xfId="1362"/>
    <cellStyle name="스타일 73" xfId="1363"/>
    <cellStyle name="스타일 74" xfId="1364"/>
    <cellStyle name="스타일 75" xfId="1365"/>
    <cellStyle name="스타일 76" xfId="1366"/>
    <cellStyle name="스타일 77" xfId="1367"/>
    <cellStyle name="스타일 78" xfId="1368"/>
    <cellStyle name="스타일 79" xfId="1369"/>
    <cellStyle name="스타일 8" xfId="1370"/>
    <cellStyle name="스타일 80" xfId="1371"/>
    <cellStyle name="스타일 81" xfId="1372"/>
    <cellStyle name="스타일 82" xfId="1373"/>
    <cellStyle name="스타일 83" xfId="1374"/>
    <cellStyle name="스타일 84" xfId="1375"/>
    <cellStyle name="스타일 85" xfId="1376"/>
    <cellStyle name="스타일 86" xfId="1377"/>
    <cellStyle name="스타일 87" xfId="1378"/>
    <cellStyle name="스타일 88" xfId="1379"/>
    <cellStyle name="스타일 89" xfId="1380"/>
    <cellStyle name="스타일 9" xfId="1381"/>
    <cellStyle name="스타일 90" xfId="1382"/>
    <cellStyle name="스타일 91" xfId="1383"/>
    <cellStyle name="스타일 92" xfId="1384"/>
    <cellStyle name="스타일 93" xfId="1385"/>
    <cellStyle name="스타일 94" xfId="1386"/>
    <cellStyle name="스타일 95" xfId="1387"/>
    <cellStyle name="스타일 96" xfId="1388"/>
    <cellStyle name="스타일 97" xfId="1389"/>
    <cellStyle name="스타일 98" xfId="1390"/>
    <cellStyle name="스타일 99" xfId="1391"/>
    <cellStyle name="안건회계법인" xfId="16"/>
    <cellStyle name="안건회계법인 2" xfId="1392"/>
    <cellStyle name="연결된 셀" xfId="31" builtinId="24" customBuiltin="1"/>
    <cellStyle name="연결된 셀 2" xfId="1460"/>
    <cellStyle name="연결된 셀 3" xfId="1747"/>
    <cellStyle name="연결된 셀 4" xfId="1393"/>
    <cellStyle name="열어본 하이퍼링크" xfId="1394"/>
    <cellStyle name="요약" xfId="35" builtinId="25" customBuiltin="1"/>
    <cellStyle name="요약 2" xfId="1465"/>
    <cellStyle name="요약 3" xfId="1752"/>
    <cellStyle name="요약 4" xfId="1395"/>
    <cellStyle name="원화" xfId="1396"/>
    <cellStyle name="一般_306B Monthly Reconciliation" xfId="1397"/>
    <cellStyle name="입력" xfId="28" builtinId="20" customBuiltin="1"/>
    <cellStyle name="입력 2" xfId="1457"/>
    <cellStyle name="입력 3" xfId="1744"/>
    <cellStyle name="입력 4" xfId="1398"/>
    <cellStyle name="자리수" xfId="1399"/>
    <cellStyle name="자리수0" xfId="1400"/>
    <cellStyle name="제목" xfId="20" builtinId="15" customBuiltin="1"/>
    <cellStyle name="제목 1" xfId="21" builtinId="16" customBuiltin="1"/>
    <cellStyle name="제목 1 2" xfId="1450"/>
    <cellStyle name="제목 1 3" xfId="1737"/>
    <cellStyle name="제목 1 4" xfId="1402"/>
    <cellStyle name="제목 2" xfId="22" builtinId="17" customBuiltin="1"/>
    <cellStyle name="제목 2 2" xfId="1451"/>
    <cellStyle name="제목 2 3" xfId="1738"/>
    <cellStyle name="제목 2 4" xfId="1403"/>
    <cellStyle name="제목 3" xfId="23" builtinId="18" customBuiltin="1"/>
    <cellStyle name="제목 3 2" xfId="1452"/>
    <cellStyle name="제목 3 3" xfId="1739"/>
    <cellStyle name="제목 3 4" xfId="1404"/>
    <cellStyle name="제목 4" xfId="24" builtinId="19" customBuiltin="1"/>
    <cellStyle name="제목 4 2" xfId="1453"/>
    <cellStyle name="제목 4 3" xfId="1740"/>
    <cellStyle name="제목 4 4" xfId="1405"/>
    <cellStyle name="제목 5" xfId="1449"/>
    <cellStyle name="제목 6" xfId="1736"/>
    <cellStyle name="제목 7" xfId="1401"/>
    <cellStyle name="좋음" xfId="25" builtinId="26" customBuiltin="1"/>
    <cellStyle name="좋음 2" xfId="1454"/>
    <cellStyle name="좋음 3" xfId="1741"/>
    <cellStyle name="좋음 4" xfId="1406"/>
    <cellStyle name="지정되지 않음" xfId="1407"/>
    <cellStyle name="쨊ㅐ?[0]_MIS-PL" xfId="1408"/>
    <cellStyle name="千位分隔[0]_LIST" xfId="1409"/>
    <cellStyle name="千位分隔_LIST" xfId="1410"/>
    <cellStyle name="출력" xfId="29" builtinId="21" customBuiltin="1"/>
    <cellStyle name="출력 2" xfId="1458"/>
    <cellStyle name="출력 3" xfId="1745"/>
    <cellStyle name="출력 4" xfId="1411"/>
    <cellStyle name="콤" xfId="1412"/>
    <cellStyle name="콤냡?&lt;_x000f_$??:_x0009_`1_1 " xfId="1413"/>
    <cellStyle name="콤마 [" xfId="1414"/>
    <cellStyle name="콤마 [0]_   1997   " xfId="1415"/>
    <cellStyle name="콤마 [2" xfId="1416"/>
    <cellStyle name="콤마_   1997   " xfId="1417"/>
    <cellStyle name="통" xfId="1418"/>
    <cellStyle name="통화 [" xfId="1419"/>
    <cellStyle name="통화 [0] 2" xfId="1420"/>
    <cellStyle name="통화 [0] 3" xfId="17"/>
    <cellStyle name="통화 [0ɝ_laroux_성일개발(주)현금흐름표" xfId="1421"/>
    <cellStyle name="퍼센트" xfId="1422"/>
    <cellStyle name="표" xfId="1423"/>
    <cellStyle name="표준" xfId="0" builtinId="0"/>
    <cellStyle name="표준 - Style1" xfId="1424"/>
    <cellStyle name="표준 - Style2" xfId="1425"/>
    <cellStyle name="표준 - Style3" xfId="1426"/>
    <cellStyle name="표준 - Style4" xfId="1427"/>
    <cellStyle name="표준 - Style5" xfId="1428"/>
    <cellStyle name="표준 - Style6" xfId="1429"/>
    <cellStyle name="표준 - Style7" xfId="1430"/>
    <cellStyle name="표준 - Style8" xfId="1431"/>
    <cellStyle name="표준 - 유형1" xfId="1432"/>
    <cellStyle name="표준 - 유형2" xfId="1433"/>
    <cellStyle name="표준 - 유형3" xfId="1434"/>
    <cellStyle name="표준 - 유형4" xfId="1435"/>
    <cellStyle name="표준 - 유형5" xfId="1436"/>
    <cellStyle name="표준 - 유형6" xfId="1437"/>
    <cellStyle name="표준 - 유형7" xfId="1438"/>
    <cellStyle name="표준 - 유형8" xfId="1439"/>
    <cellStyle name="표준 10" xfId="109"/>
    <cellStyle name="표준 10 2" xfId="196"/>
    <cellStyle name="표준 10 2 2" xfId="568"/>
    <cellStyle name="표준 10 2 2 2" xfId="1991"/>
    <cellStyle name="표준 10 2 3" xfId="392"/>
    <cellStyle name="표준 10 2 4" xfId="802"/>
    <cellStyle name="표준 10 2 5" xfId="1614"/>
    <cellStyle name="표준 10 3" xfId="481"/>
    <cellStyle name="표준 10 3 2" xfId="1872"/>
    <cellStyle name="표준 10 4" xfId="267"/>
    <cellStyle name="표준 10 5" xfId="715"/>
    <cellStyle name="표준 10 6" xfId="1495"/>
    <cellStyle name="표준 100" xfId="1587"/>
    <cellStyle name="표준 100 2" xfId="1964"/>
    <cellStyle name="표준 101" xfId="1588"/>
    <cellStyle name="표준 101 2" xfId="1965"/>
    <cellStyle name="표준 102" xfId="1589"/>
    <cellStyle name="표준 102 2" xfId="1966"/>
    <cellStyle name="표준 103" xfId="1590"/>
    <cellStyle name="표준 103 2" xfId="1967"/>
    <cellStyle name="표준 104" xfId="1591"/>
    <cellStyle name="표준 104 2" xfId="1968"/>
    <cellStyle name="표준 105" xfId="1592"/>
    <cellStyle name="표준 105 2" xfId="1969"/>
    <cellStyle name="표준 106" xfId="1593"/>
    <cellStyle name="표준 106 2" xfId="1970"/>
    <cellStyle name="표준 107" xfId="1594"/>
    <cellStyle name="표준 107 2" xfId="1971"/>
    <cellStyle name="표준 108" xfId="1670"/>
    <cellStyle name="표준 108 2" xfId="2047"/>
    <cellStyle name="표준 109" xfId="1674"/>
    <cellStyle name="표준 109 2" xfId="2051"/>
    <cellStyle name="표준 11" xfId="123"/>
    <cellStyle name="표준 11 2" xfId="210"/>
    <cellStyle name="표준 11 2 2" xfId="582"/>
    <cellStyle name="표준 11 2 2 2" xfId="1992"/>
    <cellStyle name="표준 11 2 3" xfId="406"/>
    <cellStyle name="표준 11 2 4" xfId="816"/>
    <cellStyle name="표준 11 2 5" xfId="1615"/>
    <cellStyle name="표준 11 3" xfId="495"/>
    <cellStyle name="표준 11 3 2" xfId="1873"/>
    <cellStyle name="표준 11 4" xfId="269"/>
    <cellStyle name="표준 11 5" xfId="729"/>
    <cellStyle name="표준 11 6" xfId="1496"/>
    <cellStyle name="표준 110" xfId="1677"/>
    <cellStyle name="표준 110 2" xfId="2054"/>
    <cellStyle name="표준 111" xfId="1672"/>
    <cellStyle name="표준 111 2" xfId="2049"/>
    <cellStyle name="표준 112" xfId="1678"/>
    <cellStyle name="표준 112 2" xfId="2055"/>
    <cellStyle name="표준 113" xfId="1680"/>
    <cellStyle name="표준 113 2" xfId="2057"/>
    <cellStyle name="표준 114" xfId="1702"/>
    <cellStyle name="표준 114 2" xfId="2079"/>
    <cellStyle name="표준 115" xfId="1675"/>
    <cellStyle name="표준 115 2" xfId="2052"/>
    <cellStyle name="표준 116" xfId="1673"/>
    <cellStyle name="표준 116 2" xfId="2050"/>
    <cellStyle name="표준 117" xfId="1676"/>
    <cellStyle name="표준 117 2" xfId="2053"/>
    <cellStyle name="표준 118" xfId="1671"/>
    <cellStyle name="표준 118 2" xfId="2048"/>
    <cellStyle name="표준 119" xfId="1709"/>
    <cellStyle name="표준 119 2" xfId="2086"/>
    <cellStyle name="표준 12" xfId="284"/>
    <cellStyle name="표준 12 2" xfId="1616"/>
    <cellStyle name="표준 12 2 2" xfId="1993"/>
    <cellStyle name="표준 12 3" xfId="1874"/>
    <cellStyle name="표준 12 4" xfId="1497"/>
    <cellStyle name="표준 120" xfId="1715"/>
    <cellStyle name="표준 120 2" xfId="2092"/>
    <cellStyle name="표준 121" xfId="1706"/>
    <cellStyle name="표준 121 2" xfId="2083"/>
    <cellStyle name="표준 122" xfId="1698"/>
    <cellStyle name="표준 122 2" xfId="2075"/>
    <cellStyle name="표준 123" xfId="1712"/>
    <cellStyle name="표준 123 2" xfId="2089"/>
    <cellStyle name="표준 124" xfId="1693"/>
    <cellStyle name="표준 124 2" xfId="2070"/>
    <cellStyle name="표준 125" xfId="1714"/>
    <cellStyle name="표준 125 2" xfId="2091"/>
    <cellStyle name="표준 126" xfId="1685"/>
    <cellStyle name="표준 126 2" xfId="2062"/>
    <cellStyle name="표준 127" xfId="1710"/>
    <cellStyle name="표준 127 2" xfId="2087"/>
    <cellStyle name="표준 128" xfId="1681"/>
    <cellStyle name="표준 128 2" xfId="2058"/>
    <cellStyle name="표준 129" xfId="1721"/>
    <cellStyle name="표준 129 2" xfId="2098"/>
    <cellStyle name="표준 13" xfId="299"/>
    <cellStyle name="표준 13 2" xfId="1617"/>
    <cellStyle name="표준 13 2 2" xfId="1994"/>
    <cellStyle name="표준 13 3" xfId="1875"/>
    <cellStyle name="표준 13 4" xfId="1498"/>
    <cellStyle name="표준 130" xfId="1720"/>
    <cellStyle name="표준 130 2" xfId="2097"/>
    <cellStyle name="표준 131" xfId="1719"/>
    <cellStyle name="표준 131 2" xfId="2096"/>
    <cellStyle name="표준 132" xfId="1705"/>
    <cellStyle name="표준 132 2" xfId="2082"/>
    <cellStyle name="표준 133" xfId="1724"/>
    <cellStyle name="표준 133 2" xfId="2101"/>
    <cellStyle name="표준 134" xfId="1718"/>
    <cellStyle name="표준 134 2" xfId="2095"/>
    <cellStyle name="표준 135" xfId="1725"/>
    <cellStyle name="표준 135 2" xfId="2102"/>
    <cellStyle name="표준 136" xfId="1711"/>
    <cellStyle name="표준 136 2" xfId="2088"/>
    <cellStyle name="표준 137" xfId="1716"/>
    <cellStyle name="표준 137 2" xfId="2093"/>
    <cellStyle name="표준 138" xfId="1722"/>
    <cellStyle name="표준 138 2" xfId="2099"/>
    <cellStyle name="표준 139" xfId="1726"/>
    <cellStyle name="표준 139 2" xfId="2103"/>
    <cellStyle name="표준 14" xfId="314"/>
    <cellStyle name="표준 14 2" xfId="1618"/>
    <cellStyle name="표준 14 2 2" xfId="1995"/>
    <cellStyle name="표준 14 3" xfId="1876"/>
    <cellStyle name="표준 14 4" xfId="1499"/>
    <cellStyle name="표준 140" xfId="1686"/>
    <cellStyle name="표준 140 2" xfId="2063"/>
    <cellStyle name="표준 141" xfId="1701"/>
    <cellStyle name="표준 141 2" xfId="2078"/>
    <cellStyle name="표준 142" xfId="1723"/>
    <cellStyle name="표준 142 2" xfId="2100"/>
    <cellStyle name="표준 143" xfId="1713"/>
    <cellStyle name="표준 143 2" xfId="2090"/>
    <cellStyle name="표준 144" xfId="1690"/>
    <cellStyle name="표준 144 2" xfId="2067"/>
    <cellStyle name="표준 145" xfId="1707"/>
    <cellStyle name="표준 145 2" xfId="2084"/>
    <cellStyle name="표준 146" xfId="1728"/>
    <cellStyle name="표준 146 2" xfId="2105"/>
    <cellStyle name="표준 147" xfId="1708"/>
    <cellStyle name="표준 147 2" xfId="2085"/>
    <cellStyle name="표준 148" xfId="1717"/>
    <cellStyle name="표준 148 2" xfId="2094"/>
    <cellStyle name="표준 149" xfId="1682"/>
    <cellStyle name="표준 149 2" xfId="2059"/>
    <cellStyle name="표준 15" xfId="328"/>
    <cellStyle name="표준 15 2" xfId="1619"/>
    <cellStyle name="표준 15 2 2" xfId="1996"/>
    <cellStyle name="표준 15 3" xfId="1877"/>
    <cellStyle name="표준 15 4" xfId="1500"/>
    <cellStyle name="표준 150" xfId="1689"/>
    <cellStyle name="표준 150 2" xfId="2066"/>
    <cellStyle name="표준 151" xfId="1727"/>
    <cellStyle name="표준 151 2" xfId="2104"/>
    <cellStyle name="표준 152" xfId="1694"/>
    <cellStyle name="표준 152 2" xfId="2071"/>
    <cellStyle name="표준 153" xfId="1729"/>
    <cellStyle name="표준 153 2" xfId="2106"/>
    <cellStyle name="표준 154" xfId="1730"/>
    <cellStyle name="표준 154 2" xfId="2107"/>
    <cellStyle name="표준 155" xfId="1697"/>
    <cellStyle name="표준 155 2" xfId="2074"/>
    <cellStyle name="표준 156" xfId="1733"/>
    <cellStyle name="표준 156 2" xfId="2110"/>
    <cellStyle name="표준 157" xfId="1732"/>
    <cellStyle name="표준 157 2" xfId="2109"/>
    <cellStyle name="표준 158" xfId="1734"/>
    <cellStyle name="표준 158 2" xfId="2111"/>
    <cellStyle name="표준 159" xfId="1731"/>
    <cellStyle name="표준 159 2" xfId="2108"/>
    <cellStyle name="표준 16" xfId="420"/>
    <cellStyle name="표준 16 2" xfId="1621"/>
    <cellStyle name="표준 16 2 2" xfId="1998"/>
    <cellStyle name="표준 16 3" xfId="1879"/>
    <cellStyle name="표준 16 4" xfId="1502"/>
    <cellStyle name="표준 160" xfId="1735"/>
    <cellStyle name="표준 160 2" xfId="2112"/>
    <cellStyle name="표준 161" xfId="1777"/>
    <cellStyle name="표준 161 2" xfId="2127"/>
    <cellStyle name="표준 162" xfId="1781"/>
    <cellStyle name="표준 162 2" xfId="2131"/>
    <cellStyle name="표준 163" xfId="1784"/>
    <cellStyle name="표준 163 2" xfId="2134"/>
    <cellStyle name="표준 164" xfId="1786"/>
    <cellStyle name="표준 164 2" xfId="2136"/>
    <cellStyle name="표준 165" xfId="1782"/>
    <cellStyle name="표준 165 2" xfId="2132"/>
    <cellStyle name="표준 166" xfId="1787"/>
    <cellStyle name="표준 166 2" xfId="2137"/>
    <cellStyle name="표준 167" xfId="1785"/>
    <cellStyle name="표준 167 2" xfId="2135"/>
    <cellStyle name="표준 168" xfId="1778"/>
    <cellStyle name="표준 168 2" xfId="2128"/>
    <cellStyle name="표준 169" xfId="1780"/>
    <cellStyle name="표준 169 2" xfId="2130"/>
    <cellStyle name="표준 17" xfId="421"/>
    <cellStyle name="표준 17 2" xfId="1622"/>
    <cellStyle name="표준 17 2 2" xfId="1999"/>
    <cellStyle name="표준 17 3" xfId="1880"/>
    <cellStyle name="표준 17 4" xfId="1503"/>
    <cellStyle name="표준 170" xfId="1783"/>
    <cellStyle name="표준 170 2" xfId="2133"/>
    <cellStyle name="표준 171" xfId="1779"/>
    <cellStyle name="표준 171 2" xfId="2129"/>
    <cellStyle name="표준 172" xfId="1788"/>
    <cellStyle name="표준 172 2" xfId="2138"/>
    <cellStyle name="표준 173" xfId="1809"/>
    <cellStyle name="표준 173 2" xfId="2159"/>
    <cellStyle name="표준 174" xfId="1798"/>
    <cellStyle name="표준 174 2" xfId="2148"/>
    <cellStyle name="표준 175" xfId="1796"/>
    <cellStyle name="표준 175 2" xfId="2146"/>
    <cellStyle name="표준 176" xfId="1804"/>
    <cellStyle name="표준 176 2" xfId="2154"/>
    <cellStyle name="표준 177" xfId="1795"/>
    <cellStyle name="표준 177 2" xfId="2145"/>
    <cellStyle name="표준 178" xfId="1808"/>
    <cellStyle name="표준 178 2" xfId="2158"/>
    <cellStyle name="표준 179" xfId="1802"/>
    <cellStyle name="표준 179 2" xfId="2152"/>
    <cellStyle name="표준 18" xfId="596"/>
    <cellStyle name="표준 18 2" xfId="1623"/>
    <cellStyle name="표준 18 2 2" xfId="2000"/>
    <cellStyle name="표준 18 3" xfId="1881"/>
    <cellStyle name="표준 18 4" xfId="1504"/>
    <cellStyle name="표준 180" xfId="1803"/>
    <cellStyle name="표준 180 2" xfId="2153"/>
    <cellStyle name="표준 181" xfId="1799"/>
    <cellStyle name="표준 181 2" xfId="2149"/>
    <cellStyle name="표준 182" xfId="1792"/>
    <cellStyle name="표준 182 2" xfId="2142"/>
    <cellStyle name="표준 183" xfId="1793"/>
    <cellStyle name="표준 183 2" xfId="2143"/>
    <cellStyle name="표준 184" xfId="1789"/>
    <cellStyle name="표준 184 2" xfId="2139"/>
    <cellStyle name="표준 185" xfId="1805"/>
    <cellStyle name="표준 185 2" xfId="2155"/>
    <cellStyle name="표준 186" xfId="1791"/>
    <cellStyle name="표준 186 2" xfId="2141"/>
    <cellStyle name="표준 187" xfId="1797"/>
    <cellStyle name="표준 187 2" xfId="2147"/>
    <cellStyle name="표준 188" xfId="1800"/>
    <cellStyle name="표준 188 2" xfId="2150"/>
    <cellStyle name="표준 189" xfId="1811"/>
    <cellStyle name="표준 189 2" xfId="2161"/>
    <cellStyle name="표준 19" xfId="597"/>
    <cellStyle name="표준 19 2" xfId="1624"/>
    <cellStyle name="표준 19 2 2" xfId="2001"/>
    <cellStyle name="표준 19 3" xfId="1882"/>
    <cellStyle name="표준 19 4" xfId="1505"/>
    <cellStyle name="표준 190" xfId="1790"/>
    <cellStyle name="표준 190 2" xfId="2140"/>
    <cellStyle name="표준 191" xfId="1801"/>
    <cellStyle name="표준 191 2" xfId="2151"/>
    <cellStyle name="표준 192" xfId="1807"/>
    <cellStyle name="표준 192 2" xfId="2157"/>
    <cellStyle name="표준 193" xfId="1806"/>
    <cellStyle name="표준 193 2" xfId="2156"/>
    <cellStyle name="표준 194" xfId="1810"/>
    <cellStyle name="표준 194 2" xfId="2160"/>
    <cellStyle name="표준 195" xfId="1794"/>
    <cellStyle name="표준 195 2" xfId="2144"/>
    <cellStyle name="표준 196" xfId="1812"/>
    <cellStyle name="표준 196 2" xfId="2162"/>
    <cellStyle name="표준 197" xfId="1813"/>
    <cellStyle name="표준 197 2" xfId="2163"/>
    <cellStyle name="표준 198" xfId="1814"/>
    <cellStyle name="표준 198 2" xfId="2164"/>
    <cellStyle name="표준 199" xfId="1815"/>
    <cellStyle name="표준 199 2" xfId="2165"/>
    <cellStyle name="표준 2" xfId="18"/>
    <cellStyle name="표준 2 2" xfId="264"/>
    <cellStyle name="표준 2 3" xfId="331"/>
    <cellStyle name="표준 2 4" xfId="241"/>
    <cellStyle name="표준 2 5" xfId="1440"/>
    <cellStyle name="표준 20" xfId="598"/>
    <cellStyle name="표준 20 2" xfId="1625"/>
    <cellStyle name="표준 20 2 2" xfId="2002"/>
    <cellStyle name="표준 20 3" xfId="1883"/>
    <cellStyle name="표준 20 4" xfId="1506"/>
    <cellStyle name="표준 200" xfId="1816"/>
    <cellStyle name="표준 200 2" xfId="2166"/>
    <cellStyle name="표준 201" xfId="1817"/>
    <cellStyle name="표준 201 2" xfId="2167"/>
    <cellStyle name="표준 202" xfId="1818"/>
    <cellStyle name="표준 202 2" xfId="2168"/>
    <cellStyle name="표준 203" xfId="1819"/>
    <cellStyle name="표준 203 2" xfId="2169"/>
    <cellStyle name="표준 204" xfId="1822"/>
    <cellStyle name="표준 204 2" xfId="2172"/>
    <cellStyle name="표준 205" xfId="1820"/>
    <cellStyle name="표준 205 2" xfId="2170"/>
    <cellStyle name="표준 206" xfId="1835"/>
    <cellStyle name="표준 206 2" xfId="2185"/>
    <cellStyle name="표준 207" xfId="1821"/>
    <cellStyle name="표준 207 2" xfId="2171"/>
    <cellStyle name="표준 208" xfId="1823"/>
    <cellStyle name="표준 208 2" xfId="2173"/>
    <cellStyle name="표준 209" xfId="1848"/>
    <cellStyle name="표준 21" xfId="224"/>
    <cellStyle name="표준 21 2" xfId="1626"/>
    <cellStyle name="표준 21 2 2" xfId="2003"/>
    <cellStyle name="표준 21 3" xfId="1884"/>
    <cellStyle name="표준 21 4" xfId="1507"/>
    <cellStyle name="표준 210" xfId="1849"/>
    <cellStyle name="표준 211" xfId="1842"/>
    <cellStyle name="표준 212" xfId="1841"/>
    <cellStyle name="표준 213" xfId="1839"/>
    <cellStyle name="표준 214" xfId="1852"/>
    <cellStyle name="표준 215" xfId="1845"/>
    <cellStyle name="표준 216" xfId="1846"/>
    <cellStyle name="표준 217" xfId="2189"/>
    <cellStyle name="표준 218" xfId="1847"/>
    <cellStyle name="표준 219" xfId="2120"/>
    <cellStyle name="표준 22" xfId="330"/>
    <cellStyle name="표준 22 2" xfId="1627"/>
    <cellStyle name="표준 22 2 2" xfId="2004"/>
    <cellStyle name="표준 22 3" xfId="1885"/>
    <cellStyle name="표준 22 4" xfId="1508"/>
    <cellStyle name="표준 220" xfId="1844"/>
    <cellStyle name="표준 221" xfId="1838"/>
    <cellStyle name="표준 222" xfId="1850"/>
    <cellStyle name="표준 223" xfId="1843"/>
    <cellStyle name="표준 224" xfId="1851"/>
    <cellStyle name="표준 225" xfId="1840"/>
    <cellStyle name="표준 226" xfId="2188"/>
    <cellStyle name="표준 227" xfId="830"/>
    <cellStyle name="표준 23" xfId="228"/>
    <cellStyle name="표준 23 2" xfId="1628"/>
    <cellStyle name="표준 23 2 2" xfId="2005"/>
    <cellStyle name="표준 23 3" xfId="1886"/>
    <cellStyle name="표준 23 4" xfId="1509"/>
    <cellStyle name="표준 24" xfId="626"/>
    <cellStyle name="표준 24 2" xfId="1629"/>
    <cellStyle name="표준 24 2 2" xfId="2006"/>
    <cellStyle name="표준 24 3" xfId="1887"/>
    <cellStyle name="표준 24 4" xfId="1510"/>
    <cellStyle name="표준 25" xfId="636"/>
    <cellStyle name="표준 25 2" xfId="1630"/>
    <cellStyle name="표준 25 2 2" xfId="2007"/>
    <cellStyle name="표준 25 3" xfId="1888"/>
    <cellStyle name="표준 25 4" xfId="1511"/>
    <cellStyle name="표준 26" xfId="612"/>
    <cellStyle name="표준 26 2" xfId="1631"/>
    <cellStyle name="표준 26 2 2" xfId="2008"/>
    <cellStyle name="표준 26 3" xfId="1889"/>
    <cellStyle name="표준 26 4" xfId="1512"/>
    <cellStyle name="표준 27" xfId="227"/>
    <cellStyle name="표준 27 2" xfId="1632"/>
    <cellStyle name="표준 27 2 2" xfId="2009"/>
    <cellStyle name="표준 27 3" xfId="1890"/>
    <cellStyle name="표준 27 4" xfId="1513"/>
    <cellStyle name="표준 28" xfId="650"/>
    <cellStyle name="표준 28 2" xfId="1633"/>
    <cellStyle name="표준 28 2 2" xfId="2010"/>
    <cellStyle name="표준 28 3" xfId="1891"/>
    <cellStyle name="표준 28 4" xfId="1514"/>
    <cellStyle name="표준 29" xfId="614"/>
    <cellStyle name="표준 29 2" xfId="1634"/>
    <cellStyle name="표준 29 2 2" xfId="2011"/>
    <cellStyle name="표준 29 3" xfId="1892"/>
    <cellStyle name="표준 29 4" xfId="1515"/>
    <cellStyle name="표준 3" xfId="19"/>
    <cellStyle name="표준 3 2" xfId="332"/>
    <cellStyle name="표준 3 3" xfId="244"/>
    <cellStyle name="표준 3 4" xfId="1441"/>
    <cellStyle name="표준 30" xfId="623"/>
    <cellStyle name="표준 30 2" xfId="1635"/>
    <cellStyle name="표준 30 2 2" xfId="2012"/>
    <cellStyle name="표준 30 3" xfId="1893"/>
    <cellStyle name="표준 30 4" xfId="1516"/>
    <cellStyle name="표준 31" xfId="621"/>
    <cellStyle name="표준 31 2" xfId="1636"/>
    <cellStyle name="표준 31 2 2" xfId="2013"/>
    <cellStyle name="표준 31 3" xfId="1894"/>
    <cellStyle name="표준 31 4" xfId="1517"/>
    <cellStyle name="표준 32" xfId="643"/>
    <cellStyle name="표준 32 2" xfId="1637"/>
    <cellStyle name="표준 32 2 2" xfId="2014"/>
    <cellStyle name="표준 32 3" xfId="1895"/>
    <cellStyle name="표준 32 4" xfId="1518"/>
    <cellStyle name="표준 33" xfId="634"/>
    <cellStyle name="표준 33 2" xfId="1638"/>
    <cellStyle name="표준 33 2 2" xfId="2015"/>
    <cellStyle name="표준 33 3" xfId="1896"/>
    <cellStyle name="표준 33 4" xfId="1519"/>
    <cellStyle name="표준 34" xfId="630"/>
    <cellStyle name="표준 34 2" xfId="1639"/>
    <cellStyle name="표준 34 2 2" xfId="2016"/>
    <cellStyle name="표준 34 3" xfId="1897"/>
    <cellStyle name="표준 34 4" xfId="1520"/>
    <cellStyle name="표준 35" xfId="651"/>
    <cellStyle name="표준 35 2" xfId="1640"/>
    <cellStyle name="표준 35 2 2" xfId="2017"/>
    <cellStyle name="표준 35 3" xfId="1898"/>
    <cellStyle name="표준 35 4" xfId="1521"/>
    <cellStyle name="표준 36" xfId="628"/>
    <cellStyle name="표준 36 2" xfId="1641"/>
    <cellStyle name="표준 36 2 2" xfId="2018"/>
    <cellStyle name="표준 36 3" xfId="1899"/>
    <cellStyle name="표준 36 4" xfId="1522"/>
    <cellStyle name="표준 37" xfId="647"/>
    <cellStyle name="표준 37 2" xfId="1642"/>
    <cellStyle name="표준 37 2 2" xfId="2019"/>
    <cellStyle name="표준 37 3" xfId="1900"/>
    <cellStyle name="표준 37 4" xfId="1523"/>
    <cellStyle name="표준 38" xfId="646"/>
    <cellStyle name="표준 38 2" xfId="1643"/>
    <cellStyle name="표준 38 2 2" xfId="2020"/>
    <cellStyle name="표준 38 3" xfId="1901"/>
    <cellStyle name="표준 38 4" xfId="1524"/>
    <cellStyle name="표준 39" xfId="633"/>
    <cellStyle name="표준 39 2" xfId="1644"/>
    <cellStyle name="표준 39 2 2" xfId="2021"/>
    <cellStyle name="표준 39 3" xfId="1902"/>
    <cellStyle name="표준 39 4" xfId="1525"/>
    <cellStyle name="표준 4" xfId="60"/>
    <cellStyle name="표준 4 2" xfId="149"/>
    <cellStyle name="표준 4 2 2" xfId="521"/>
    <cellStyle name="표준 4 2 2 2" xfId="1972"/>
    <cellStyle name="표준 4 2 3" xfId="345"/>
    <cellStyle name="표준 4 2 4" xfId="755"/>
    <cellStyle name="표준 4 2 5" xfId="1595"/>
    <cellStyle name="표준 4 3" xfId="434"/>
    <cellStyle name="표준 4 3 2" xfId="1853"/>
    <cellStyle name="표준 4 4" xfId="258"/>
    <cellStyle name="표준 4 5" xfId="668"/>
    <cellStyle name="표준 4 6" xfId="1448"/>
    <cellStyle name="표준 40" xfId="639"/>
    <cellStyle name="표준 40 2" xfId="1645"/>
    <cellStyle name="표준 40 2 2" xfId="2022"/>
    <cellStyle name="표준 40 3" xfId="1903"/>
    <cellStyle name="표준 40 4" xfId="1526"/>
    <cellStyle name="표준 41" xfId="613"/>
    <cellStyle name="표준 41 2" xfId="1646"/>
    <cellStyle name="표준 41 2 2" xfId="2023"/>
    <cellStyle name="표준 41 3" xfId="1904"/>
    <cellStyle name="표준 41 4" xfId="1527"/>
    <cellStyle name="표준 42" xfId="617"/>
    <cellStyle name="표준 42 2" xfId="1647"/>
    <cellStyle name="표준 42 2 2" xfId="2024"/>
    <cellStyle name="표준 42 3" xfId="1905"/>
    <cellStyle name="표준 42 4" xfId="1528"/>
    <cellStyle name="표준 43" xfId="637"/>
    <cellStyle name="표준 43 2" xfId="1648"/>
    <cellStyle name="표준 43 2 2" xfId="2025"/>
    <cellStyle name="표준 43 3" xfId="1906"/>
    <cellStyle name="표준 43 4" xfId="1529"/>
    <cellStyle name="표준 44" xfId="645"/>
    <cellStyle name="표준 44 2" xfId="1649"/>
    <cellStyle name="표준 44 2 2" xfId="2026"/>
    <cellStyle name="표준 44 3" xfId="1907"/>
    <cellStyle name="표준 44 4" xfId="1530"/>
    <cellStyle name="표준 45" xfId="641"/>
    <cellStyle name="표준 45 2" xfId="1650"/>
    <cellStyle name="표준 45 2 2" xfId="2027"/>
    <cellStyle name="표준 45 3" xfId="1908"/>
    <cellStyle name="표준 45 4" xfId="1531"/>
    <cellStyle name="표준 46" xfId="622"/>
    <cellStyle name="표준 46 2" xfId="1651"/>
    <cellStyle name="표준 46 2 2" xfId="2028"/>
    <cellStyle name="표준 46 3" xfId="1909"/>
    <cellStyle name="표준 46 4" xfId="1532"/>
    <cellStyle name="표준 47" xfId="652"/>
    <cellStyle name="표준 47 2" xfId="1652"/>
    <cellStyle name="표준 47 2 2" xfId="2029"/>
    <cellStyle name="표준 47 3" xfId="1910"/>
    <cellStyle name="표준 47 4" xfId="1533"/>
    <cellStyle name="표준 48" xfId="615"/>
    <cellStyle name="표준 48 2" xfId="1653"/>
    <cellStyle name="표준 48 2 2" xfId="2030"/>
    <cellStyle name="표준 48 3" xfId="1911"/>
    <cellStyle name="표준 48 4" xfId="1534"/>
    <cellStyle name="표준 49" xfId="616"/>
    <cellStyle name="표준 49 2" xfId="1654"/>
    <cellStyle name="표준 49 2 2" xfId="2031"/>
    <cellStyle name="표준 49 3" xfId="1912"/>
    <cellStyle name="표준 49 4" xfId="1535"/>
    <cellStyle name="표준 5" xfId="62"/>
    <cellStyle name="표준 5 2" xfId="151"/>
    <cellStyle name="표준 5 2 2" xfId="523"/>
    <cellStyle name="표준 5 2 2 2" xfId="1986"/>
    <cellStyle name="표준 5 2 3" xfId="347"/>
    <cellStyle name="표준 5 2 4" xfId="757"/>
    <cellStyle name="표준 5 2 5" xfId="1609"/>
    <cellStyle name="표준 5 3" xfId="436"/>
    <cellStyle name="표준 5 3 2" xfId="1867"/>
    <cellStyle name="표준 5 4" xfId="259"/>
    <cellStyle name="표준 5 5" xfId="670"/>
    <cellStyle name="표준 5 6" xfId="1490"/>
    <cellStyle name="표준 50" xfId="631"/>
    <cellStyle name="표준 50 2" xfId="1655"/>
    <cellStyle name="표준 50 2 2" xfId="2032"/>
    <cellStyle name="표준 50 3" xfId="1913"/>
    <cellStyle name="표준 50 4" xfId="1536"/>
    <cellStyle name="표준 51" xfId="640"/>
    <cellStyle name="표준 51 2" xfId="1656"/>
    <cellStyle name="표준 51 2 2" xfId="2033"/>
    <cellStyle name="표준 51 3" xfId="1914"/>
    <cellStyle name="표준 51 4" xfId="1537"/>
    <cellStyle name="표준 52" xfId="653"/>
    <cellStyle name="표준 52 2" xfId="1657"/>
    <cellStyle name="표준 52 2 2" xfId="2034"/>
    <cellStyle name="표준 52 3" xfId="1915"/>
    <cellStyle name="표준 52 4" xfId="1538"/>
    <cellStyle name="표준 53" xfId="655"/>
    <cellStyle name="표준 53 2" xfId="1658"/>
    <cellStyle name="표준 53 2 2" xfId="2035"/>
    <cellStyle name="표준 53 3" xfId="1916"/>
    <cellStyle name="표준 53 4" xfId="1539"/>
    <cellStyle name="표준 54" xfId="635"/>
    <cellStyle name="표준 54 2" xfId="1659"/>
    <cellStyle name="표준 54 2 2" xfId="2036"/>
    <cellStyle name="표준 54 3" xfId="1917"/>
    <cellStyle name="표준 54 4" xfId="1540"/>
    <cellStyle name="표준 55" xfId="629"/>
    <cellStyle name="표준 55 2" xfId="1660"/>
    <cellStyle name="표준 55 2 2" xfId="2037"/>
    <cellStyle name="표준 55 3" xfId="1918"/>
    <cellStyle name="표준 55 4" xfId="1541"/>
    <cellStyle name="표준 56" xfId="632"/>
    <cellStyle name="표준 56 2" xfId="1661"/>
    <cellStyle name="표준 56 2 2" xfId="2038"/>
    <cellStyle name="표준 56 3" xfId="1919"/>
    <cellStyle name="표준 56 4" xfId="1542"/>
    <cellStyle name="표준 57" xfId="654"/>
    <cellStyle name="표준 57 2" xfId="1662"/>
    <cellStyle name="표준 57 2 2" xfId="2039"/>
    <cellStyle name="표준 57 3" xfId="1920"/>
    <cellStyle name="표준 57 4" xfId="1543"/>
    <cellStyle name="표준 58" xfId="625"/>
    <cellStyle name="표준 58 2" xfId="1663"/>
    <cellStyle name="표준 58 2 2" xfId="2040"/>
    <cellStyle name="표준 58 3" xfId="1921"/>
    <cellStyle name="표준 58 4" xfId="1544"/>
    <cellStyle name="표준 59" xfId="648"/>
    <cellStyle name="표준 59 2" xfId="1664"/>
    <cellStyle name="표준 59 2 2" xfId="2041"/>
    <cellStyle name="표준 59 3" xfId="1922"/>
    <cellStyle name="표준 59 4" xfId="1545"/>
    <cellStyle name="표준 6" xfId="76"/>
    <cellStyle name="표준 6 2" xfId="165"/>
    <cellStyle name="표준 6 2 2" xfId="537"/>
    <cellStyle name="표준 6 2 2 2" xfId="1987"/>
    <cellStyle name="표준 6 2 3" xfId="361"/>
    <cellStyle name="표준 6 2 4" xfId="771"/>
    <cellStyle name="표준 6 2 5" xfId="1610"/>
    <cellStyle name="표준 6 3" xfId="450"/>
    <cellStyle name="표준 6 3 2" xfId="1868"/>
    <cellStyle name="표준 6 4" xfId="260"/>
    <cellStyle name="표준 6 5" xfId="684"/>
    <cellStyle name="표준 6 6" xfId="1491"/>
    <cellStyle name="표준 60" xfId="620"/>
    <cellStyle name="표준 60 2" xfId="1665"/>
    <cellStyle name="표준 60 2 2" xfId="2042"/>
    <cellStyle name="표준 60 3" xfId="1923"/>
    <cellStyle name="표준 60 4" xfId="1546"/>
    <cellStyle name="표준 61" xfId="225"/>
    <cellStyle name="표준 61 2" xfId="1666"/>
    <cellStyle name="표준 61 2 2" xfId="2043"/>
    <cellStyle name="표준 61 3" xfId="1924"/>
    <cellStyle name="표준 61 4" xfId="1547"/>
    <cellStyle name="표준 62" xfId="226"/>
    <cellStyle name="표준 62 2" xfId="1667"/>
    <cellStyle name="표준 62 2 2" xfId="2044"/>
    <cellStyle name="표준 62 3" xfId="1925"/>
    <cellStyle name="표준 62 4" xfId="1548"/>
    <cellStyle name="표준 63" xfId="644"/>
    <cellStyle name="표준 63 2" xfId="1668"/>
    <cellStyle name="표준 63 2 2" xfId="2045"/>
    <cellStyle name="표준 63 3" xfId="1926"/>
    <cellStyle name="표준 63 4" xfId="1549"/>
    <cellStyle name="표준 64" xfId="642"/>
    <cellStyle name="표준 64 2" xfId="1669"/>
    <cellStyle name="표준 64 2 2" xfId="2046"/>
    <cellStyle name="표준 64 3" xfId="1927"/>
    <cellStyle name="표준 64 4" xfId="1550"/>
    <cellStyle name="표준 65" xfId="618"/>
    <cellStyle name="표준 65 2" xfId="1928"/>
    <cellStyle name="표준 65 3" xfId="1551"/>
    <cellStyle name="표준 66" xfId="649"/>
    <cellStyle name="표준 66 2" xfId="1930"/>
    <cellStyle name="표준 66 3" xfId="1553"/>
    <cellStyle name="표준 67" xfId="638"/>
    <cellStyle name="표준 67 2" xfId="1931"/>
    <cellStyle name="표준 67 3" xfId="1554"/>
    <cellStyle name="표준 68" xfId="619"/>
    <cellStyle name="표준 68 2" xfId="1932"/>
    <cellStyle name="표준 68 3" xfId="1555"/>
    <cellStyle name="표준 69" xfId="624"/>
    <cellStyle name="표준 69 2" xfId="1933"/>
    <cellStyle name="표준 69 3" xfId="1556"/>
    <cellStyle name="표준 7" xfId="90"/>
    <cellStyle name="표준 7 2" xfId="179"/>
    <cellStyle name="표준 7 2 2" xfId="551"/>
    <cellStyle name="표준 7 2 2 2" xfId="1989"/>
    <cellStyle name="표준 7 2 3" xfId="375"/>
    <cellStyle name="표준 7 2 4" xfId="785"/>
    <cellStyle name="표준 7 2 5" xfId="1612"/>
    <cellStyle name="표준 7 3" xfId="464"/>
    <cellStyle name="표준 7 3 2" xfId="1870"/>
    <cellStyle name="표준 7 4" xfId="261"/>
    <cellStyle name="표준 7 5" xfId="698"/>
    <cellStyle name="표준 7 6" xfId="1493"/>
    <cellStyle name="표준 70" xfId="627"/>
    <cellStyle name="표준 70 2" xfId="1934"/>
    <cellStyle name="표준 70 3" xfId="1557"/>
    <cellStyle name="표준 71" xfId="1558"/>
    <cellStyle name="표준 71 2" xfId="1935"/>
    <cellStyle name="표준 72" xfId="1559"/>
    <cellStyle name="표준 72 2" xfId="1936"/>
    <cellStyle name="표준 73" xfId="1560"/>
    <cellStyle name="표준 73 2" xfId="1937"/>
    <cellStyle name="표준 74" xfId="1561"/>
    <cellStyle name="표준 74 2" xfId="1938"/>
    <cellStyle name="표준 75" xfId="1562"/>
    <cellStyle name="표준 75 2" xfId="1939"/>
    <cellStyle name="표준 76" xfId="1563"/>
    <cellStyle name="표준 76 2" xfId="1940"/>
    <cellStyle name="표준 77" xfId="1564"/>
    <cellStyle name="표준 77 2" xfId="1941"/>
    <cellStyle name="표준 78" xfId="1565"/>
    <cellStyle name="표준 78 2" xfId="1942"/>
    <cellStyle name="표준 79" xfId="1566"/>
    <cellStyle name="표준 79 2" xfId="1943"/>
    <cellStyle name="표준 8" xfId="91"/>
    <cellStyle name="표준 8 2" xfId="180"/>
    <cellStyle name="표준 8 2 2" xfId="552"/>
    <cellStyle name="표준 8 2 2 2" xfId="1990"/>
    <cellStyle name="표준 8 2 3" xfId="376"/>
    <cellStyle name="표준 8 2 4" xfId="786"/>
    <cellStyle name="표준 8 2 5" xfId="1613"/>
    <cellStyle name="표준 8 3" xfId="465"/>
    <cellStyle name="표준 8 3 2" xfId="1871"/>
    <cellStyle name="표준 8 4" xfId="262"/>
    <cellStyle name="표준 8 5" xfId="699"/>
    <cellStyle name="표준 8 6" xfId="1494"/>
    <cellStyle name="표준 80" xfId="1567"/>
    <cellStyle name="표준 80 2" xfId="1944"/>
    <cellStyle name="표준 81" xfId="1568"/>
    <cellStyle name="표준 81 2" xfId="1945"/>
    <cellStyle name="표준 82" xfId="1569"/>
    <cellStyle name="표준 82 2" xfId="1946"/>
    <cellStyle name="표준 83" xfId="1570"/>
    <cellStyle name="표준 83 2" xfId="1947"/>
    <cellStyle name="표준 84" xfId="1571"/>
    <cellStyle name="표준 84 2" xfId="1948"/>
    <cellStyle name="표준 85" xfId="1572"/>
    <cellStyle name="표준 85 2" xfId="1949"/>
    <cellStyle name="표준 86" xfId="1573"/>
    <cellStyle name="표준 86 2" xfId="1950"/>
    <cellStyle name="표준 87" xfId="1574"/>
    <cellStyle name="표준 87 2" xfId="1951"/>
    <cellStyle name="표준 88" xfId="1575"/>
    <cellStyle name="표준 88 2" xfId="1952"/>
    <cellStyle name="표준 89" xfId="1576"/>
    <cellStyle name="표준 89 2" xfId="1953"/>
    <cellStyle name="표준 9" xfId="92"/>
    <cellStyle name="표준 9 2" xfId="181"/>
    <cellStyle name="표준 9 2 2" xfId="553"/>
    <cellStyle name="표준 9 2 2 2" xfId="1988"/>
    <cellStyle name="표준 9 2 3" xfId="377"/>
    <cellStyle name="표준 9 2 4" xfId="787"/>
    <cellStyle name="표준 9 2 5" xfId="1611"/>
    <cellStyle name="표준 9 3" xfId="466"/>
    <cellStyle name="표준 9 3 2" xfId="1869"/>
    <cellStyle name="표준 9 4" xfId="266"/>
    <cellStyle name="표준 9 5" xfId="700"/>
    <cellStyle name="표준 9 6" xfId="1492"/>
    <cellStyle name="표준 90" xfId="1577"/>
    <cellStyle name="표준 90 2" xfId="1954"/>
    <cellStyle name="표준 91" xfId="1578"/>
    <cellStyle name="표준 91 2" xfId="1955"/>
    <cellStyle name="표준 92" xfId="1579"/>
    <cellStyle name="표준 92 2" xfId="1956"/>
    <cellStyle name="표준 93" xfId="1580"/>
    <cellStyle name="표준 93 2" xfId="1957"/>
    <cellStyle name="표준 94" xfId="1581"/>
    <cellStyle name="표준 94 2" xfId="1958"/>
    <cellStyle name="표준 95" xfId="1582"/>
    <cellStyle name="표준 95 2" xfId="1959"/>
    <cellStyle name="표준 96" xfId="1583"/>
    <cellStyle name="표준 96 2" xfId="1960"/>
    <cellStyle name="표준 97" xfId="1584"/>
    <cellStyle name="표준 97 2" xfId="1961"/>
    <cellStyle name="표준 98" xfId="1585"/>
    <cellStyle name="표준 98 2" xfId="1962"/>
    <cellStyle name="표준 99" xfId="1586"/>
    <cellStyle name="표준 99 2" xfId="1963"/>
    <cellStyle name="標準_Disbursement Requests - To Be Paid" xfId="1442"/>
    <cellStyle name="표준_Sheet3" xfId="95"/>
    <cellStyle name="합산" xfId="1443"/>
    <cellStyle name="货币[0]_LIST" xfId="1444"/>
    <cellStyle name="货币_LIST" xfId="1445"/>
    <cellStyle name="화폐기호" xfId="1446"/>
    <cellStyle name="화폐기호0" xfId="14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59"/>
  <sheetViews>
    <sheetView tabSelected="1" view="pageBreakPreview" topLeftCell="B1" zoomScale="85" zoomScaleNormal="100" zoomScaleSheetLayoutView="85" workbookViewId="0">
      <selection activeCell="B2" sqref="B2:J2"/>
    </sheetView>
  </sheetViews>
  <sheetFormatPr defaultRowHeight="21.95" customHeight="1"/>
  <cols>
    <col min="1" max="1" width="2" style="2" hidden="1" customWidth="1"/>
    <col min="2" max="2" width="3.21875" style="41" customWidth="1"/>
    <col min="3" max="3" width="0.77734375" style="42" customWidth="1"/>
    <col min="4" max="4" width="2.44140625" style="42" customWidth="1"/>
    <col min="5" max="5" width="14.77734375" style="42" bestFit="1" customWidth="1"/>
    <col min="6" max="6" width="1.21875" style="42" customWidth="1"/>
    <col min="7" max="7" width="16.21875" style="71" customWidth="1"/>
    <col min="8" max="8" width="15.5546875" style="42" customWidth="1"/>
    <col min="9" max="9" width="16.5546875" style="67" customWidth="1"/>
    <col min="10" max="10" width="15.6640625" style="67" customWidth="1"/>
    <col min="11" max="11" width="14.109375" style="2" bestFit="1" customWidth="1"/>
    <col min="12" max="12" width="15.44140625" style="2" customWidth="1"/>
    <col min="13" max="13" width="14.109375" style="2" customWidth="1"/>
    <col min="14" max="16384" width="8.88671875" style="2"/>
  </cols>
  <sheetData>
    <row r="1" spans="1:10" s="1" customFormat="1" ht="21" customHeight="1">
      <c r="B1" s="250" t="s">
        <v>157</v>
      </c>
      <c r="C1" s="251"/>
      <c r="D1" s="251"/>
      <c r="E1" s="251"/>
      <c r="F1" s="251"/>
      <c r="G1" s="251"/>
      <c r="H1" s="251"/>
      <c r="I1" s="251"/>
      <c r="J1" s="252"/>
    </row>
    <row r="2" spans="1:10" s="6" customFormat="1" ht="21" customHeight="1">
      <c r="B2" s="241" t="s">
        <v>299</v>
      </c>
      <c r="C2" s="242"/>
      <c r="D2" s="242"/>
      <c r="E2" s="242"/>
      <c r="F2" s="242"/>
      <c r="G2" s="242"/>
      <c r="H2" s="242"/>
      <c r="I2" s="242"/>
      <c r="J2" s="243"/>
    </row>
    <row r="3" spans="1:10" s="6" customFormat="1" ht="21" customHeight="1">
      <c r="B3" s="241" t="s">
        <v>324</v>
      </c>
      <c r="C3" s="242"/>
      <c r="D3" s="242"/>
      <c r="E3" s="242"/>
      <c r="F3" s="242"/>
      <c r="G3" s="242"/>
      <c r="H3" s="242"/>
      <c r="I3" s="242"/>
      <c r="J3" s="243"/>
    </row>
    <row r="4" spans="1:10" ht="21" customHeight="1" thickBot="1">
      <c r="B4" s="256" t="s">
        <v>154</v>
      </c>
      <c r="C4" s="257"/>
      <c r="D4" s="257"/>
      <c r="E4" s="257"/>
      <c r="F4" s="22"/>
      <c r="G4" s="72"/>
      <c r="H4" s="23"/>
      <c r="I4" s="65"/>
      <c r="J4" s="45" t="s">
        <v>30</v>
      </c>
    </row>
    <row r="5" spans="1:10" ht="21" customHeight="1">
      <c r="B5" s="108" t="s">
        <v>192</v>
      </c>
      <c r="C5" s="255" t="s">
        <v>191</v>
      </c>
      <c r="D5" s="255"/>
      <c r="E5" s="255"/>
      <c r="F5" s="204"/>
      <c r="G5" s="253" t="s">
        <v>325</v>
      </c>
      <c r="H5" s="258"/>
      <c r="I5" s="253" t="s">
        <v>326</v>
      </c>
      <c r="J5" s="254"/>
    </row>
    <row r="6" spans="1:10" s="4" customFormat="1" ht="21" customHeight="1">
      <c r="B6" s="239" t="s">
        <v>95</v>
      </c>
      <c r="C6" s="240"/>
      <c r="D6" s="240"/>
      <c r="E6" s="240"/>
      <c r="F6" s="203"/>
      <c r="G6" s="62"/>
      <c r="H6" s="25"/>
      <c r="I6" s="24"/>
      <c r="J6" s="46"/>
    </row>
    <row r="7" spans="1:10" s="59" customFormat="1" ht="21" customHeight="1">
      <c r="B7" s="61" t="s">
        <v>96</v>
      </c>
      <c r="C7" s="259" t="s">
        <v>0</v>
      </c>
      <c r="D7" s="259"/>
      <c r="E7" s="259"/>
      <c r="F7" s="57"/>
      <c r="G7" s="69" t="s">
        <v>255</v>
      </c>
      <c r="H7" s="27">
        <v>269091345182</v>
      </c>
      <c r="I7" s="26" t="s">
        <v>255</v>
      </c>
      <c r="J7" s="47">
        <v>521840942319</v>
      </c>
    </row>
    <row r="8" spans="1:10" s="59" customFormat="1" ht="21" customHeight="1">
      <c r="B8" s="234" t="s">
        <v>97</v>
      </c>
      <c r="C8" s="235"/>
      <c r="D8" s="236" t="s">
        <v>1</v>
      </c>
      <c r="E8" s="236"/>
      <c r="F8" s="60"/>
      <c r="G8" s="69" t="s">
        <v>255</v>
      </c>
      <c r="H8" s="27">
        <v>228490338749</v>
      </c>
      <c r="I8" s="26" t="s">
        <v>255</v>
      </c>
      <c r="J8" s="47">
        <v>477280020536</v>
      </c>
    </row>
    <row r="9" spans="1:10" s="59" customFormat="1" ht="21" customHeight="1">
      <c r="A9" s="59">
        <v>1</v>
      </c>
      <c r="B9" s="61"/>
      <c r="C9" s="238" t="s">
        <v>98</v>
      </c>
      <c r="D9" s="238"/>
      <c r="E9" s="224" t="s">
        <v>165</v>
      </c>
      <c r="F9" s="60"/>
      <c r="G9" s="69">
        <v>108162981264</v>
      </c>
      <c r="H9" s="29" t="s">
        <v>255</v>
      </c>
      <c r="I9" s="28">
        <v>91120389836</v>
      </c>
      <c r="J9" s="48" t="s">
        <v>255</v>
      </c>
    </row>
    <row r="10" spans="1:10" s="59" customFormat="1" ht="21" customHeight="1">
      <c r="A10" s="59">
        <v>3</v>
      </c>
      <c r="B10" s="61"/>
      <c r="C10" s="238" t="s">
        <v>99</v>
      </c>
      <c r="D10" s="238"/>
      <c r="E10" s="224" t="s">
        <v>155</v>
      </c>
      <c r="F10" s="57"/>
      <c r="G10" s="70">
        <v>70384600136</v>
      </c>
      <c r="H10" s="29" t="s">
        <v>255</v>
      </c>
      <c r="I10" s="30">
        <v>304310822964</v>
      </c>
      <c r="J10" s="48" t="s">
        <v>255</v>
      </c>
    </row>
    <row r="11" spans="1:10" s="59" customFormat="1" ht="21" customHeight="1">
      <c r="A11" s="59">
        <v>4</v>
      </c>
      <c r="B11" s="61"/>
      <c r="C11" s="238" t="s">
        <v>34</v>
      </c>
      <c r="D11" s="238"/>
      <c r="E11" s="224" t="s">
        <v>166</v>
      </c>
      <c r="F11" s="60"/>
      <c r="G11" s="70">
        <v>12119215868</v>
      </c>
      <c r="H11" s="31" t="s">
        <v>255</v>
      </c>
      <c r="I11" s="30">
        <v>64008879377</v>
      </c>
      <c r="J11" s="49" t="s">
        <v>255</v>
      </c>
    </row>
    <row r="12" spans="1:10" s="59" customFormat="1" ht="21" customHeight="1">
      <c r="A12" s="59">
        <v>5</v>
      </c>
      <c r="B12" s="61"/>
      <c r="C12" s="58"/>
      <c r="D12" s="223"/>
      <c r="E12" s="224" t="s">
        <v>101</v>
      </c>
      <c r="F12" s="57"/>
      <c r="G12" s="76">
        <v>-266537211</v>
      </c>
      <c r="H12" s="32" t="s">
        <v>255</v>
      </c>
      <c r="I12" s="54">
        <v>-266537211</v>
      </c>
      <c r="J12" s="50" t="s">
        <v>255</v>
      </c>
    </row>
    <row r="13" spans="1:10" s="59" customFormat="1" ht="21" customHeight="1">
      <c r="A13" s="59">
        <v>6</v>
      </c>
      <c r="B13" s="61"/>
      <c r="C13" s="238" t="s">
        <v>35</v>
      </c>
      <c r="D13" s="238"/>
      <c r="E13" s="224" t="s">
        <v>167</v>
      </c>
      <c r="F13" s="60"/>
      <c r="G13" s="28">
        <v>1896762770</v>
      </c>
      <c r="H13" s="33"/>
      <c r="I13" s="30">
        <v>550982870</v>
      </c>
      <c r="J13" s="51"/>
    </row>
    <row r="14" spans="1:10" s="59" customFormat="1" ht="21" customHeight="1">
      <c r="A14" s="59">
        <v>7</v>
      </c>
      <c r="B14" s="61"/>
      <c r="C14" s="238" t="s">
        <v>36</v>
      </c>
      <c r="D14" s="238"/>
      <c r="E14" s="224" t="s">
        <v>168</v>
      </c>
      <c r="F14" s="60"/>
      <c r="G14" s="70">
        <v>4353947168</v>
      </c>
      <c r="H14" s="31" t="s">
        <v>255</v>
      </c>
      <c r="I14" s="30">
        <v>3161115900</v>
      </c>
      <c r="J14" s="49" t="s">
        <v>255</v>
      </c>
    </row>
    <row r="15" spans="1:10" s="59" customFormat="1" ht="21" customHeight="1">
      <c r="A15" s="59">
        <v>8</v>
      </c>
      <c r="B15" s="61"/>
      <c r="C15" s="58"/>
      <c r="D15" s="223"/>
      <c r="E15" s="224" t="s">
        <v>101</v>
      </c>
      <c r="F15" s="57"/>
      <c r="G15" s="76">
        <v>-85129505</v>
      </c>
      <c r="H15" s="32" t="s">
        <v>255</v>
      </c>
      <c r="I15" s="54">
        <v>-85129505</v>
      </c>
      <c r="J15" s="50" t="s">
        <v>255</v>
      </c>
    </row>
    <row r="16" spans="1:10" s="59" customFormat="1" ht="21" customHeight="1">
      <c r="A16" s="59">
        <v>102</v>
      </c>
      <c r="B16" s="61"/>
      <c r="C16" s="238" t="s">
        <v>193</v>
      </c>
      <c r="D16" s="238"/>
      <c r="E16" s="224" t="s">
        <v>198</v>
      </c>
      <c r="F16" s="57"/>
      <c r="G16" s="70">
        <v>745416032</v>
      </c>
      <c r="H16" s="56" t="s">
        <v>255</v>
      </c>
      <c r="I16" s="28">
        <v>7725053492</v>
      </c>
      <c r="J16" s="55" t="s">
        <v>255</v>
      </c>
    </row>
    <row r="17" spans="1:11" s="59" customFormat="1" ht="21" customHeight="1">
      <c r="A17" s="59">
        <v>9</v>
      </c>
      <c r="B17" s="61"/>
      <c r="C17" s="238" t="s">
        <v>194</v>
      </c>
      <c r="D17" s="238"/>
      <c r="E17" s="224" t="s">
        <v>2</v>
      </c>
      <c r="F17" s="60"/>
      <c r="G17" s="70">
        <v>27629556333</v>
      </c>
      <c r="H17" s="33" t="s">
        <v>255</v>
      </c>
      <c r="I17" s="30">
        <v>708600000</v>
      </c>
      <c r="J17" s="51" t="s">
        <v>255</v>
      </c>
    </row>
    <row r="18" spans="1:11" s="59" customFormat="1" ht="21" customHeight="1">
      <c r="A18" s="59">
        <v>10</v>
      </c>
      <c r="B18" s="61"/>
      <c r="C18" s="238" t="s">
        <v>195</v>
      </c>
      <c r="D18" s="238"/>
      <c r="E18" s="224" t="s">
        <v>3</v>
      </c>
      <c r="F18" s="57"/>
      <c r="G18" s="70">
        <v>472064574</v>
      </c>
      <c r="H18" s="33" t="s">
        <v>255</v>
      </c>
      <c r="I18" s="30">
        <v>476335733</v>
      </c>
      <c r="J18" s="51" t="s">
        <v>255</v>
      </c>
    </row>
    <row r="19" spans="1:11" s="59" customFormat="1" ht="21" customHeight="1">
      <c r="A19" s="59">
        <v>11</v>
      </c>
      <c r="B19" s="61"/>
      <c r="C19" s="238" t="s">
        <v>196</v>
      </c>
      <c r="D19" s="238"/>
      <c r="E19" s="224" t="s">
        <v>105</v>
      </c>
      <c r="F19" s="60"/>
      <c r="G19" s="70">
        <v>389706160</v>
      </c>
      <c r="H19" s="33" t="s">
        <v>255</v>
      </c>
      <c r="I19" s="30">
        <v>135522000</v>
      </c>
      <c r="J19" s="51" t="s">
        <v>255</v>
      </c>
    </row>
    <row r="20" spans="1:11" s="59" customFormat="1" ht="21" customHeight="1">
      <c r="A20" s="59">
        <v>13</v>
      </c>
      <c r="B20" s="61"/>
      <c r="C20" s="238" t="s">
        <v>197</v>
      </c>
      <c r="D20" s="238"/>
      <c r="E20" s="224" t="s">
        <v>248</v>
      </c>
      <c r="F20" s="60"/>
      <c r="G20" s="70">
        <v>2687755160</v>
      </c>
      <c r="H20" s="33" t="s">
        <v>255</v>
      </c>
      <c r="I20" s="30">
        <v>5433985080</v>
      </c>
      <c r="J20" s="51" t="s">
        <v>255</v>
      </c>
    </row>
    <row r="21" spans="1:11" s="59" customFormat="1" ht="21" customHeight="1">
      <c r="B21" s="234" t="s">
        <v>106</v>
      </c>
      <c r="C21" s="235"/>
      <c r="D21" s="236" t="s">
        <v>107</v>
      </c>
      <c r="E21" s="236"/>
      <c r="F21" s="60"/>
      <c r="G21" s="69" t="s">
        <v>255</v>
      </c>
      <c r="H21" s="32">
        <v>40601006433</v>
      </c>
      <c r="I21" s="69" t="s">
        <v>255</v>
      </c>
      <c r="J21" s="78">
        <v>44560921783</v>
      </c>
    </row>
    <row r="22" spans="1:11" s="59" customFormat="1" ht="21" customHeight="1">
      <c r="A22" s="59">
        <v>15</v>
      </c>
      <c r="B22" s="61"/>
      <c r="C22" s="238" t="s">
        <v>98</v>
      </c>
      <c r="D22" s="238"/>
      <c r="E22" s="224" t="s">
        <v>185</v>
      </c>
      <c r="F22" s="60"/>
      <c r="G22" s="70">
        <v>39939245447</v>
      </c>
      <c r="H22" s="32" t="s">
        <v>255</v>
      </c>
      <c r="I22" s="70">
        <v>34544650463</v>
      </c>
      <c r="J22" s="78" t="s">
        <v>255</v>
      </c>
    </row>
    <row r="23" spans="1:11" s="59" customFormat="1" ht="21" customHeight="1">
      <c r="A23" s="59">
        <v>16</v>
      </c>
      <c r="B23" s="61"/>
      <c r="C23" s="238" t="s">
        <v>99</v>
      </c>
      <c r="D23" s="238"/>
      <c r="E23" s="224" t="s">
        <v>4</v>
      </c>
      <c r="F23" s="60"/>
      <c r="G23" s="28">
        <v>661760986</v>
      </c>
      <c r="H23" s="33" t="s">
        <v>255</v>
      </c>
      <c r="I23" s="70">
        <v>10016271320</v>
      </c>
      <c r="J23" s="79" t="s">
        <v>255</v>
      </c>
    </row>
    <row r="24" spans="1:11" s="59" customFormat="1" ht="21" customHeight="1">
      <c r="B24" s="61" t="s">
        <v>108</v>
      </c>
      <c r="C24" s="236" t="s">
        <v>109</v>
      </c>
      <c r="D24" s="236"/>
      <c r="E24" s="236"/>
      <c r="F24" s="57"/>
      <c r="G24" s="28" t="s">
        <v>255</v>
      </c>
      <c r="H24" s="27">
        <v>3878150006247</v>
      </c>
      <c r="I24" s="69" t="s">
        <v>255</v>
      </c>
      <c r="J24" s="78">
        <v>3420551063640</v>
      </c>
    </row>
    <row r="25" spans="1:11" s="59" customFormat="1" ht="21" customHeight="1">
      <c r="B25" s="234" t="s">
        <v>97</v>
      </c>
      <c r="C25" s="235"/>
      <c r="D25" s="236" t="s">
        <v>5</v>
      </c>
      <c r="E25" s="236"/>
      <c r="F25" s="60"/>
      <c r="G25" s="69" t="s">
        <v>255</v>
      </c>
      <c r="H25" s="27">
        <v>48354914577</v>
      </c>
      <c r="I25" s="69" t="s">
        <v>255</v>
      </c>
      <c r="J25" s="78">
        <v>38680997415</v>
      </c>
    </row>
    <row r="26" spans="1:11" s="59" customFormat="1" ht="21" customHeight="1">
      <c r="A26" s="59">
        <v>103</v>
      </c>
      <c r="B26" s="61"/>
      <c r="C26" s="238" t="s">
        <v>199</v>
      </c>
      <c r="D26" s="238"/>
      <c r="E26" s="224" t="s">
        <v>169</v>
      </c>
      <c r="F26" s="60"/>
      <c r="G26" s="70">
        <v>46954914577</v>
      </c>
      <c r="H26" s="32" t="s">
        <v>255</v>
      </c>
      <c r="I26" s="70">
        <v>38680997415</v>
      </c>
      <c r="J26" s="78" t="s">
        <v>255</v>
      </c>
    </row>
    <row r="27" spans="1:11" s="59" customFormat="1" ht="21" customHeight="1">
      <c r="A27" s="59">
        <v>17</v>
      </c>
      <c r="B27" s="61"/>
      <c r="C27" s="238" t="s">
        <v>33</v>
      </c>
      <c r="D27" s="238"/>
      <c r="E27" s="224" t="s">
        <v>170</v>
      </c>
      <c r="F27" s="60"/>
      <c r="G27" s="70">
        <v>1400000000</v>
      </c>
      <c r="H27" s="32" t="s">
        <v>255</v>
      </c>
      <c r="I27" s="69" t="s">
        <v>330</v>
      </c>
      <c r="J27" s="78" t="s">
        <v>255</v>
      </c>
    </row>
    <row r="28" spans="1:11" s="59" customFormat="1" ht="21" customHeight="1">
      <c r="B28" s="247" t="s">
        <v>106</v>
      </c>
      <c r="C28" s="248"/>
      <c r="D28" s="249" t="s">
        <v>171</v>
      </c>
      <c r="E28" s="249"/>
      <c r="F28" s="80"/>
      <c r="G28" s="81" t="s">
        <v>255</v>
      </c>
      <c r="H28" s="82">
        <v>3788191547385</v>
      </c>
      <c r="I28" s="26" t="s">
        <v>255</v>
      </c>
      <c r="J28" s="47">
        <v>3356250257194</v>
      </c>
    </row>
    <row r="29" spans="1:11" s="59" customFormat="1" ht="21" customHeight="1">
      <c r="A29" s="59">
        <v>19</v>
      </c>
      <c r="B29" s="83"/>
      <c r="C29" s="246" t="s">
        <v>98</v>
      </c>
      <c r="D29" s="246"/>
      <c r="E29" s="226" t="s">
        <v>7</v>
      </c>
      <c r="F29" s="84"/>
      <c r="G29" s="85">
        <v>137127108912</v>
      </c>
      <c r="H29" s="86" t="s">
        <v>255</v>
      </c>
      <c r="I29" s="30">
        <v>137186503755</v>
      </c>
      <c r="J29" s="51" t="s">
        <v>255</v>
      </c>
    </row>
    <row r="30" spans="1:11" s="59" customFormat="1" ht="21" customHeight="1">
      <c r="A30" s="59">
        <v>20</v>
      </c>
      <c r="B30" s="83"/>
      <c r="C30" s="246" t="s">
        <v>99</v>
      </c>
      <c r="D30" s="246"/>
      <c r="E30" s="226" t="s">
        <v>8</v>
      </c>
      <c r="F30" s="84"/>
      <c r="G30" s="85">
        <v>231837332385</v>
      </c>
      <c r="H30" s="87" t="s">
        <v>255</v>
      </c>
      <c r="I30" s="30">
        <v>210578923091</v>
      </c>
      <c r="J30" s="49" t="s">
        <v>255</v>
      </c>
    </row>
    <row r="31" spans="1:11" s="59" customFormat="1" ht="21" customHeight="1">
      <c r="A31" s="59">
        <v>21</v>
      </c>
      <c r="B31" s="83"/>
      <c r="C31" s="88"/>
      <c r="D31" s="225"/>
      <c r="E31" s="226" t="s">
        <v>110</v>
      </c>
      <c r="F31" s="80"/>
      <c r="G31" s="85">
        <v>-104281098140</v>
      </c>
      <c r="H31" s="89" t="s">
        <v>255</v>
      </c>
      <c r="I31" s="54">
        <v>-95538862321</v>
      </c>
      <c r="J31" s="50" t="s">
        <v>255</v>
      </c>
      <c r="K31" s="15"/>
    </row>
    <row r="32" spans="1:11" s="59" customFormat="1" ht="21" customHeight="1">
      <c r="A32" s="59">
        <v>23</v>
      </c>
      <c r="B32" s="83"/>
      <c r="C32" s="246" t="s">
        <v>100</v>
      </c>
      <c r="D32" s="246"/>
      <c r="E32" s="226" t="s">
        <v>9</v>
      </c>
      <c r="F32" s="84"/>
      <c r="G32" s="85">
        <v>50792110467</v>
      </c>
      <c r="H32" s="89" t="s">
        <v>255</v>
      </c>
      <c r="I32" s="30">
        <v>50975506062</v>
      </c>
      <c r="J32" s="50" t="s">
        <v>255</v>
      </c>
      <c r="K32" s="15"/>
    </row>
    <row r="33" spans="1:11" s="59" customFormat="1" ht="21" customHeight="1">
      <c r="A33" s="59">
        <v>24</v>
      </c>
      <c r="B33" s="83"/>
      <c r="C33" s="88"/>
      <c r="D33" s="225"/>
      <c r="E33" s="226" t="s">
        <v>110</v>
      </c>
      <c r="F33" s="80"/>
      <c r="G33" s="85">
        <v>-19842129660</v>
      </c>
      <c r="H33" s="89" t="s">
        <v>255</v>
      </c>
      <c r="I33" s="54">
        <v>-18825406197</v>
      </c>
      <c r="J33" s="50" t="s">
        <v>255</v>
      </c>
    </row>
    <row r="34" spans="1:11" s="59" customFormat="1" ht="21" customHeight="1">
      <c r="A34" s="59">
        <v>25</v>
      </c>
      <c r="B34" s="83"/>
      <c r="C34" s="246" t="s">
        <v>102</v>
      </c>
      <c r="D34" s="246"/>
      <c r="E34" s="226" t="s">
        <v>10</v>
      </c>
      <c r="F34" s="84"/>
      <c r="G34" s="85">
        <v>2963525404942</v>
      </c>
      <c r="H34" s="89" t="s">
        <v>255</v>
      </c>
      <c r="I34" s="30">
        <v>2907290273663</v>
      </c>
      <c r="J34" s="50" t="s">
        <v>255</v>
      </c>
      <c r="K34" s="74"/>
    </row>
    <row r="35" spans="1:11" s="59" customFormat="1" ht="21" customHeight="1">
      <c r="A35" s="59">
        <v>26</v>
      </c>
      <c r="B35" s="83"/>
      <c r="C35" s="88"/>
      <c r="D35" s="225"/>
      <c r="E35" s="226" t="s">
        <v>110</v>
      </c>
      <c r="F35" s="80"/>
      <c r="G35" s="85">
        <v>-981389724117</v>
      </c>
      <c r="H35" s="89" t="s">
        <v>255</v>
      </c>
      <c r="I35" s="54">
        <v>-909761817251</v>
      </c>
      <c r="J35" s="50" t="s">
        <v>255</v>
      </c>
    </row>
    <row r="36" spans="1:11" s="59" customFormat="1" ht="21" customHeight="1">
      <c r="A36" s="59">
        <v>28</v>
      </c>
      <c r="B36" s="83"/>
      <c r="C36" s="246" t="s">
        <v>103</v>
      </c>
      <c r="D36" s="246"/>
      <c r="E36" s="226" t="s">
        <v>11</v>
      </c>
      <c r="F36" s="84"/>
      <c r="G36" s="85">
        <v>842047506119</v>
      </c>
      <c r="H36" s="89" t="s">
        <v>255</v>
      </c>
      <c r="I36" s="30">
        <v>727986406681</v>
      </c>
      <c r="J36" s="50" t="s">
        <v>255</v>
      </c>
      <c r="K36" s="16"/>
    </row>
    <row r="37" spans="1:11" s="59" customFormat="1" ht="21" customHeight="1">
      <c r="A37" s="59">
        <v>29</v>
      </c>
      <c r="B37" s="83"/>
      <c r="C37" s="88"/>
      <c r="D37" s="225"/>
      <c r="E37" s="226" t="s">
        <v>110</v>
      </c>
      <c r="F37" s="80"/>
      <c r="G37" s="85">
        <v>-316032749086</v>
      </c>
      <c r="H37" s="89" t="s">
        <v>255</v>
      </c>
      <c r="I37" s="54">
        <v>-358924897553</v>
      </c>
      <c r="J37" s="50" t="s">
        <v>255</v>
      </c>
      <c r="K37" s="17"/>
    </row>
    <row r="38" spans="1:11" s="59" customFormat="1" ht="21" customHeight="1">
      <c r="A38" s="59">
        <v>31</v>
      </c>
      <c r="B38" s="83"/>
      <c r="C38" s="246" t="s">
        <v>104</v>
      </c>
      <c r="D38" s="246"/>
      <c r="E38" s="226" t="s">
        <v>12</v>
      </c>
      <c r="F38" s="84"/>
      <c r="G38" s="85">
        <v>1548682534579</v>
      </c>
      <c r="H38" s="89" t="s">
        <v>255</v>
      </c>
      <c r="I38" s="30">
        <v>1394688245605</v>
      </c>
      <c r="J38" s="50" t="s">
        <v>255</v>
      </c>
    </row>
    <row r="39" spans="1:11" s="59" customFormat="1" ht="21" customHeight="1">
      <c r="A39" s="59">
        <v>32</v>
      </c>
      <c r="B39" s="83"/>
      <c r="C39" s="88"/>
      <c r="D39" s="225"/>
      <c r="E39" s="226" t="s">
        <v>110</v>
      </c>
      <c r="F39" s="80"/>
      <c r="G39" s="85">
        <v>-721652747116</v>
      </c>
      <c r="H39" s="89" t="s">
        <v>255</v>
      </c>
      <c r="I39" s="54">
        <v>-815020934707</v>
      </c>
      <c r="J39" s="50" t="s">
        <v>255</v>
      </c>
    </row>
    <row r="40" spans="1:11" s="59" customFormat="1" ht="21" customHeight="1">
      <c r="A40" s="59">
        <v>33</v>
      </c>
      <c r="B40" s="83"/>
      <c r="C40" s="246" t="s">
        <v>111</v>
      </c>
      <c r="D40" s="246"/>
      <c r="E40" s="226" t="s">
        <v>13</v>
      </c>
      <c r="F40" s="84"/>
      <c r="G40" s="85">
        <v>2389731847</v>
      </c>
      <c r="H40" s="89" t="s">
        <v>255</v>
      </c>
      <c r="I40" s="30">
        <v>2437026268</v>
      </c>
      <c r="J40" s="50" t="s">
        <v>255</v>
      </c>
    </row>
    <row r="41" spans="1:11" s="59" customFormat="1" ht="21" customHeight="1">
      <c r="A41" s="59">
        <v>34</v>
      </c>
      <c r="B41" s="83"/>
      <c r="C41" s="88"/>
      <c r="D41" s="225"/>
      <c r="E41" s="226" t="s">
        <v>110</v>
      </c>
      <c r="F41" s="80"/>
      <c r="G41" s="85">
        <v>-1727360024</v>
      </c>
      <c r="H41" s="89" t="s">
        <v>255</v>
      </c>
      <c r="I41" s="54">
        <v>-1634093951</v>
      </c>
      <c r="J41" s="50" t="s">
        <v>255</v>
      </c>
    </row>
    <row r="42" spans="1:11" s="59" customFormat="1" ht="21" customHeight="1">
      <c r="A42" s="59">
        <v>35</v>
      </c>
      <c r="B42" s="83"/>
      <c r="C42" s="246" t="s">
        <v>112</v>
      </c>
      <c r="D42" s="246"/>
      <c r="E42" s="226" t="s">
        <v>14</v>
      </c>
      <c r="F42" s="84"/>
      <c r="G42" s="85">
        <v>71061842113</v>
      </c>
      <c r="H42" s="89" t="s">
        <v>255</v>
      </c>
      <c r="I42" s="30">
        <v>68714207326</v>
      </c>
      <c r="J42" s="50" t="s">
        <v>255</v>
      </c>
    </row>
    <row r="43" spans="1:11" s="59" customFormat="1" ht="21" customHeight="1">
      <c r="A43" s="59">
        <v>36</v>
      </c>
      <c r="B43" s="83"/>
      <c r="C43" s="88"/>
      <c r="D43" s="225"/>
      <c r="E43" s="226" t="s">
        <v>110</v>
      </c>
      <c r="F43" s="80"/>
      <c r="G43" s="85">
        <v>-45667258997</v>
      </c>
      <c r="H43" s="89" t="s">
        <v>255</v>
      </c>
      <c r="I43" s="54">
        <v>-45387578696</v>
      </c>
      <c r="J43" s="50" t="s">
        <v>255</v>
      </c>
    </row>
    <row r="44" spans="1:11" s="59" customFormat="1" ht="21" customHeight="1">
      <c r="A44" s="59">
        <v>37</v>
      </c>
      <c r="B44" s="83"/>
      <c r="C44" s="246" t="s">
        <v>113</v>
      </c>
      <c r="D44" s="246"/>
      <c r="E44" s="226" t="s">
        <v>134</v>
      </c>
      <c r="F44" s="84"/>
      <c r="G44" s="85">
        <v>4720775726</v>
      </c>
      <c r="H44" s="86" t="s">
        <v>255</v>
      </c>
      <c r="I44" s="30">
        <v>4717315726</v>
      </c>
      <c r="J44" s="51" t="s">
        <v>255</v>
      </c>
    </row>
    <row r="45" spans="1:11" s="59" customFormat="1" ht="21" customHeight="1">
      <c r="A45" s="59">
        <v>38</v>
      </c>
      <c r="B45" s="83"/>
      <c r="C45" s="246"/>
      <c r="D45" s="246"/>
      <c r="E45" s="226" t="s">
        <v>135</v>
      </c>
      <c r="F45" s="84"/>
      <c r="G45" s="85">
        <v>-1875371529</v>
      </c>
      <c r="H45" s="87" t="s">
        <v>255</v>
      </c>
      <c r="I45" s="54">
        <v>-1704327471</v>
      </c>
      <c r="J45" s="49" t="s">
        <v>255</v>
      </c>
    </row>
    <row r="46" spans="1:11" s="59" customFormat="1" ht="21" customHeight="1">
      <c r="A46" s="59">
        <v>39</v>
      </c>
      <c r="B46" s="83"/>
      <c r="C46" s="246" t="s">
        <v>131</v>
      </c>
      <c r="D46" s="246"/>
      <c r="E46" s="226" t="s">
        <v>136</v>
      </c>
      <c r="F46" s="80"/>
      <c r="G46" s="85">
        <v>128475638964</v>
      </c>
      <c r="H46" s="89"/>
      <c r="I46" s="30">
        <v>98473767164</v>
      </c>
      <c r="J46" s="50" t="s">
        <v>255</v>
      </c>
    </row>
    <row r="47" spans="1:11" s="59" customFormat="1" ht="21" customHeight="1">
      <c r="B47" s="234" t="s">
        <v>114</v>
      </c>
      <c r="C47" s="235"/>
      <c r="D47" s="236" t="s">
        <v>172</v>
      </c>
      <c r="E47" s="236"/>
      <c r="F47" s="60"/>
      <c r="G47" s="69" t="s">
        <v>255</v>
      </c>
      <c r="H47" s="27">
        <v>33858592590</v>
      </c>
      <c r="I47" s="26" t="s">
        <v>255</v>
      </c>
      <c r="J47" s="78">
        <v>18054230139</v>
      </c>
    </row>
    <row r="48" spans="1:11" s="59" customFormat="1" ht="21" customHeight="1">
      <c r="A48" s="59">
        <v>41</v>
      </c>
      <c r="B48" s="61"/>
      <c r="C48" s="238" t="s">
        <v>98</v>
      </c>
      <c r="D48" s="238"/>
      <c r="E48" s="34" t="s">
        <v>137</v>
      </c>
      <c r="F48" s="57"/>
      <c r="G48" s="70">
        <v>43023393</v>
      </c>
      <c r="H48" s="32" t="s">
        <v>255</v>
      </c>
      <c r="I48" s="30">
        <v>44872728</v>
      </c>
      <c r="J48" s="50" t="s">
        <v>255</v>
      </c>
    </row>
    <row r="49" spans="1:13" s="59" customFormat="1" ht="21" customHeight="1">
      <c r="A49" s="59">
        <v>42</v>
      </c>
      <c r="B49" s="61"/>
      <c r="C49" s="238" t="s">
        <v>99</v>
      </c>
      <c r="D49" s="238"/>
      <c r="E49" s="34" t="s">
        <v>138</v>
      </c>
      <c r="F49" s="57"/>
      <c r="G49" s="70">
        <v>10998092729</v>
      </c>
      <c r="H49" s="32" t="s">
        <v>255</v>
      </c>
      <c r="I49" s="30">
        <v>10381827260</v>
      </c>
      <c r="J49" s="50" t="s">
        <v>255</v>
      </c>
    </row>
    <row r="50" spans="1:13" s="59" customFormat="1" ht="21" customHeight="1">
      <c r="A50" s="59">
        <v>43</v>
      </c>
      <c r="B50" s="61"/>
      <c r="C50" s="238" t="s">
        <v>100</v>
      </c>
      <c r="D50" s="238"/>
      <c r="E50" s="34" t="s">
        <v>139</v>
      </c>
      <c r="F50" s="57"/>
      <c r="G50" s="70">
        <v>22817476468</v>
      </c>
      <c r="H50" s="32" t="s">
        <v>255</v>
      </c>
      <c r="I50" s="30">
        <v>7627530151</v>
      </c>
      <c r="J50" s="50" t="s">
        <v>255</v>
      </c>
    </row>
    <row r="51" spans="1:13" s="59" customFormat="1" ht="21" customHeight="1">
      <c r="B51" s="234" t="s">
        <v>115</v>
      </c>
      <c r="C51" s="235"/>
      <c r="D51" s="236" t="s">
        <v>116</v>
      </c>
      <c r="E51" s="236"/>
      <c r="F51" s="60"/>
      <c r="G51" s="69" t="s">
        <v>255</v>
      </c>
      <c r="H51" s="27">
        <v>7744951695</v>
      </c>
      <c r="I51" s="26" t="s">
        <v>255</v>
      </c>
      <c r="J51" s="47">
        <v>7565578892</v>
      </c>
    </row>
    <row r="52" spans="1:13" s="59" customFormat="1" ht="21" customHeight="1">
      <c r="A52" s="59">
        <v>44</v>
      </c>
      <c r="B52" s="61"/>
      <c r="C52" s="238" t="s">
        <v>129</v>
      </c>
      <c r="D52" s="238"/>
      <c r="E52" s="224" t="s">
        <v>6</v>
      </c>
      <c r="F52" s="60"/>
      <c r="G52" s="70">
        <v>598290000</v>
      </c>
      <c r="H52" s="32" t="s">
        <v>255</v>
      </c>
      <c r="I52" s="30">
        <v>564230000</v>
      </c>
      <c r="J52" s="50" t="s">
        <v>255</v>
      </c>
    </row>
    <row r="53" spans="1:13" s="59" customFormat="1" ht="21" customHeight="1">
      <c r="A53" s="59">
        <v>45</v>
      </c>
      <c r="B53" s="61"/>
      <c r="C53" s="238" t="s">
        <v>130</v>
      </c>
      <c r="D53" s="238"/>
      <c r="E53" s="224" t="s">
        <v>117</v>
      </c>
      <c r="F53" s="60"/>
      <c r="G53" s="70">
        <v>7146661695</v>
      </c>
      <c r="H53" s="32" t="s">
        <v>255</v>
      </c>
      <c r="I53" s="30">
        <v>7001348892</v>
      </c>
      <c r="J53" s="50" t="s">
        <v>255</v>
      </c>
    </row>
    <row r="54" spans="1:13" s="59" customFormat="1" ht="21" customHeight="1" thickBot="1">
      <c r="B54" s="147" t="s">
        <v>18</v>
      </c>
      <c r="C54" s="245" t="s">
        <v>156</v>
      </c>
      <c r="D54" s="245"/>
      <c r="E54" s="245"/>
      <c r="F54" s="148"/>
      <c r="G54" s="149" t="s">
        <v>255</v>
      </c>
      <c r="H54" s="150">
        <v>4147241351429</v>
      </c>
      <c r="I54" s="151" t="s">
        <v>255</v>
      </c>
      <c r="J54" s="152">
        <v>3942392005959</v>
      </c>
    </row>
    <row r="55" spans="1:13" s="59" customFormat="1" ht="21" customHeight="1" thickTop="1">
      <c r="B55" s="237" t="s">
        <v>118</v>
      </c>
      <c r="C55" s="238"/>
      <c r="D55" s="238"/>
      <c r="E55" s="238"/>
      <c r="F55" s="35"/>
      <c r="G55" s="69" t="s">
        <v>255</v>
      </c>
      <c r="H55" s="27" t="s">
        <v>255</v>
      </c>
      <c r="I55" s="26" t="s">
        <v>255</v>
      </c>
      <c r="J55" s="47" t="s">
        <v>255</v>
      </c>
    </row>
    <row r="56" spans="1:13" s="59" customFormat="1" ht="21" customHeight="1">
      <c r="B56" s="61" t="s">
        <v>96</v>
      </c>
      <c r="C56" s="236" t="s">
        <v>15</v>
      </c>
      <c r="D56" s="236"/>
      <c r="E56" s="236"/>
      <c r="F56" s="60"/>
      <c r="G56" s="69" t="s">
        <v>255</v>
      </c>
      <c r="H56" s="27">
        <v>958037587336</v>
      </c>
      <c r="I56" s="26" t="s">
        <v>255</v>
      </c>
      <c r="J56" s="47">
        <v>879289386099</v>
      </c>
    </row>
    <row r="57" spans="1:13" s="59" customFormat="1" ht="21" customHeight="1">
      <c r="A57" s="59">
        <v>46</v>
      </c>
      <c r="B57" s="222" t="s">
        <v>249</v>
      </c>
      <c r="C57" s="223"/>
      <c r="D57" s="236" t="s">
        <v>173</v>
      </c>
      <c r="E57" s="236"/>
      <c r="F57" s="60"/>
      <c r="G57" s="70">
        <v>180877117734</v>
      </c>
      <c r="H57" s="32" t="s">
        <v>255</v>
      </c>
      <c r="I57" s="30">
        <v>110736455957</v>
      </c>
      <c r="J57" s="50" t="s">
        <v>255</v>
      </c>
      <c r="L57" s="13"/>
      <c r="M57" s="14"/>
    </row>
    <row r="58" spans="1:13" s="59" customFormat="1" ht="21" customHeight="1">
      <c r="A58" s="59">
        <v>47</v>
      </c>
      <c r="B58" s="222" t="s">
        <v>65</v>
      </c>
      <c r="C58" s="223"/>
      <c r="D58" s="236" t="s">
        <v>128</v>
      </c>
      <c r="E58" s="236"/>
      <c r="F58" s="60"/>
      <c r="G58" s="70">
        <v>4508320125</v>
      </c>
      <c r="H58" s="32" t="s">
        <v>255</v>
      </c>
      <c r="I58" s="30">
        <v>5319952182</v>
      </c>
      <c r="J58" s="50" t="s">
        <v>255</v>
      </c>
    </row>
    <row r="59" spans="1:13" s="59" customFormat="1" ht="21" customHeight="1">
      <c r="A59" s="59">
        <v>48</v>
      </c>
      <c r="B59" s="222" t="s">
        <v>66</v>
      </c>
      <c r="C59" s="223"/>
      <c r="D59" s="236" t="s">
        <v>16</v>
      </c>
      <c r="E59" s="236"/>
      <c r="F59" s="60"/>
      <c r="G59" s="70">
        <v>10135299675</v>
      </c>
      <c r="H59" s="32" t="s">
        <v>255</v>
      </c>
      <c r="I59" s="30">
        <v>32982694802</v>
      </c>
      <c r="J59" s="50" t="s">
        <v>255</v>
      </c>
    </row>
    <row r="60" spans="1:13" s="59" customFormat="1" ht="21" customHeight="1">
      <c r="A60" s="59">
        <v>49</v>
      </c>
      <c r="B60" s="222" t="s">
        <v>43</v>
      </c>
      <c r="C60" s="223"/>
      <c r="D60" s="236" t="s">
        <v>174</v>
      </c>
      <c r="E60" s="236"/>
      <c r="F60" s="60"/>
      <c r="G60" s="70">
        <v>309067377888</v>
      </c>
      <c r="H60" s="32" t="s">
        <v>255</v>
      </c>
      <c r="I60" s="30">
        <v>327274104169</v>
      </c>
      <c r="J60" s="50" t="s">
        <v>255</v>
      </c>
    </row>
    <row r="61" spans="1:13" s="59" customFormat="1" ht="21" customHeight="1">
      <c r="A61" s="59">
        <v>51</v>
      </c>
      <c r="B61" s="222" t="s">
        <v>44</v>
      </c>
      <c r="C61" s="223"/>
      <c r="D61" s="236" t="s">
        <v>190</v>
      </c>
      <c r="E61" s="236"/>
      <c r="F61" s="60"/>
      <c r="G61" s="70">
        <v>123735418</v>
      </c>
      <c r="H61" s="32" t="s">
        <v>255</v>
      </c>
      <c r="I61" s="30">
        <v>1625181143</v>
      </c>
      <c r="J61" s="50" t="s">
        <v>255</v>
      </c>
    </row>
    <row r="62" spans="1:13" s="59" customFormat="1" ht="21" customHeight="1">
      <c r="A62" s="59">
        <v>75</v>
      </c>
      <c r="B62" s="222" t="s">
        <v>45</v>
      </c>
      <c r="C62" s="223"/>
      <c r="D62" s="236" t="s">
        <v>175</v>
      </c>
      <c r="E62" s="236"/>
      <c r="F62" s="60"/>
      <c r="G62" s="70">
        <v>375954394540</v>
      </c>
      <c r="H62" s="32" t="s">
        <v>255</v>
      </c>
      <c r="I62" s="30">
        <v>338605490268</v>
      </c>
      <c r="J62" s="50" t="s">
        <v>255</v>
      </c>
    </row>
    <row r="63" spans="1:13" s="59" customFormat="1" ht="21" customHeight="1">
      <c r="A63" s="59">
        <v>52</v>
      </c>
      <c r="B63" s="222" t="s">
        <v>46</v>
      </c>
      <c r="C63" s="223"/>
      <c r="D63" s="236" t="s">
        <v>17</v>
      </c>
      <c r="E63" s="236"/>
      <c r="F63" s="60"/>
      <c r="G63" s="70">
        <v>73504757663</v>
      </c>
      <c r="H63" s="32" t="s">
        <v>255</v>
      </c>
      <c r="I63" s="30">
        <v>59519630114</v>
      </c>
      <c r="J63" s="50" t="s">
        <v>255</v>
      </c>
    </row>
    <row r="64" spans="1:13" s="59" customFormat="1" ht="21" customHeight="1">
      <c r="A64" s="59">
        <v>53</v>
      </c>
      <c r="B64" s="222" t="s">
        <v>47</v>
      </c>
      <c r="C64" s="223"/>
      <c r="D64" s="236" t="s">
        <v>176</v>
      </c>
      <c r="E64" s="236"/>
      <c r="F64" s="60"/>
      <c r="G64" s="70">
        <v>1467755323</v>
      </c>
      <c r="H64" s="32" t="s">
        <v>255</v>
      </c>
      <c r="I64" s="30">
        <v>3225583062</v>
      </c>
      <c r="J64" s="50" t="s">
        <v>255</v>
      </c>
    </row>
    <row r="65" spans="1:10" s="59" customFormat="1" ht="21" customHeight="1">
      <c r="B65" s="222" t="s">
        <v>48</v>
      </c>
      <c r="C65" s="223"/>
      <c r="D65" s="236" t="s">
        <v>201</v>
      </c>
      <c r="E65" s="236"/>
      <c r="F65" s="60"/>
      <c r="G65" s="28">
        <v>2398826970</v>
      </c>
      <c r="H65" s="32" t="s">
        <v>255</v>
      </c>
      <c r="I65" s="30">
        <v>294402</v>
      </c>
      <c r="J65" s="50" t="s">
        <v>255</v>
      </c>
    </row>
    <row r="66" spans="1:10" s="59" customFormat="1" ht="21" customHeight="1">
      <c r="B66" s="61" t="s">
        <v>108</v>
      </c>
      <c r="C66" s="236" t="s">
        <v>119</v>
      </c>
      <c r="D66" s="236"/>
      <c r="E66" s="236"/>
      <c r="F66" s="60"/>
      <c r="G66" s="70" t="s">
        <v>255</v>
      </c>
      <c r="H66" s="27">
        <v>1752026119282</v>
      </c>
      <c r="I66" s="26" t="s">
        <v>255</v>
      </c>
      <c r="J66" s="47">
        <v>1906476391162</v>
      </c>
    </row>
    <row r="67" spans="1:10" s="59" customFormat="1" ht="21" customHeight="1">
      <c r="A67" s="59">
        <v>57</v>
      </c>
      <c r="B67" s="234" t="s">
        <v>32</v>
      </c>
      <c r="C67" s="235"/>
      <c r="D67" s="236" t="s">
        <v>177</v>
      </c>
      <c r="E67" s="236"/>
      <c r="F67" s="60"/>
      <c r="G67" s="70">
        <v>1398893786340</v>
      </c>
      <c r="H67" s="36" t="s">
        <v>255</v>
      </c>
      <c r="I67" s="30">
        <v>1544708180880</v>
      </c>
      <c r="J67" s="52" t="s">
        <v>255</v>
      </c>
    </row>
    <row r="68" spans="1:10" s="59" customFormat="1" ht="21" customHeight="1">
      <c r="A68" s="59">
        <v>74</v>
      </c>
      <c r="B68" s="234" t="s">
        <v>65</v>
      </c>
      <c r="C68" s="235"/>
      <c r="D68" s="236" t="s">
        <v>188</v>
      </c>
      <c r="E68" s="236"/>
      <c r="F68" s="60"/>
      <c r="G68" s="70">
        <v>10000000000</v>
      </c>
      <c r="H68" s="36" t="s">
        <v>255</v>
      </c>
      <c r="I68" s="30">
        <v>26340000000</v>
      </c>
      <c r="J68" s="52" t="s">
        <v>255</v>
      </c>
    </row>
    <row r="69" spans="1:10" s="59" customFormat="1" ht="21" customHeight="1">
      <c r="B69" s="234" t="s">
        <v>66</v>
      </c>
      <c r="C69" s="235"/>
      <c r="D69" s="236" t="s">
        <v>303</v>
      </c>
      <c r="E69" s="236"/>
      <c r="F69" s="60"/>
      <c r="G69" s="70">
        <v>33924000</v>
      </c>
      <c r="H69" s="31" t="s">
        <v>255</v>
      </c>
      <c r="I69" s="30">
        <v>83820000</v>
      </c>
      <c r="J69" s="49" t="s">
        <v>255</v>
      </c>
    </row>
    <row r="70" spans="1:10" s="59" customFormat="1" ht="21" customHeight="1">
      <c r="D70" s="236" t="s">
        <v>304</v>
      </c>
      <c r="E70" s="236"/>
      <c r="F70" s="60"/>
      <c r="G70" s="70">
        <v>-670058</v>
      </c>
      <c r="H70" s="31" t="s">
        <v>255</v>
      </c>
      <c r="I70" s="30">
        <v>-3753950</v>
      </c>
      <c r="J70" s="49" t="s">
        <v>255</v>
      </c>
    </row>
    <row r="71" spans="1:10" s="59" customFormat="1" ht="21" customHeight="1">
      <c r="A71" s="59">
        <v>58</v>
      </c>
      <c r="B71" s="234" t="s">
        <v>43</v>
      </c>
      <c r="C71" s="235"/>
      <c r="D71" s="236" t="s">
        <v>178</v>
      </c>
      <c r="E71" s="236"/>
      <c r="F71" s="60"/>
      <c r="G71" s="70">
        <v>319401819770</v>
      </c>
      <c r="H71" s="31" t="s">
        <v>255</v>
      </c>
      <c r="I71" s="30">
        <v>309050318622</v>
      </c>
      <c r="J71" s="49" t="s">
        <v>255</v>
      </c>
    </row>
    <row r="72" spans="1:10" s="59" customFormat="1" ht="21" customHeight="1">
      <c r="A72" s="59">
        <v>59</v>
      </c>
      <c r="B72" s="61"/>
      <c r="C72" s="223"/>
      <c r="D72" s="236" t="s">
        <v>120</v>
      </c>
      <c r="E72" s="236"/>
      <c r="F72" s="60"/>
      <c r="G72" s="70">
        <v>-241553570</v>
      </c>
      <c r="H72" s="32" t="s">
        <v>255</v>
      </c>
      <c r="I72" s="54">
        <v>-312259070</v>
      </c>
      <c r="J72" s="50" t="s">
        <v>255</v>
      </c>
    </row>
    <row r="73" spans="1:10" s="59" customFormat="1" ht="21" customHeight="1">
      <c r="A73" s="59">
        <v>61</v>
      </c>
      <c r="B73" s="234" t="s">
        <v>302</v>
      </c>
      <c r="C73" s="235"/>
      <c r="D73" s="236" t="s">
        <v>121</v>
      </c>
      <c r="E73" s="236"/>
      <c r="F73" s="60"/>
      <c r="G73" s="70">
        <v>23938812800</v>
      </c>
      <c r="H73" s="33" t="s">
        <v>255</v>
      </c>
      <c r="I73" s="30">
        <v>26610084680</v>
      </c>
      <c r="J73" s="51" t="s">
        <v>255</v>
      </c>
    </row>
    <row r="74" spans="1:10" s="59" customFormat="1" ht="21" customHeight="1" thickBot="1">
      <c r="B74" s="147" t="s">
        <v>94</v>
      </c>
      <c r="C74" s="245" t="s">
        <v>122</v>
      </c>
      <c r="D74" s="245"/>
      <c r="E74" s="245"/>
      <c r="F74" s="148"/>
      <c r="G74" s="149" t="s">
        <v>255</v>
      </c>
      <c r="H74" s="150">
        <v>2710063706618</v>
      </c>
      <c r="I74" s="151" t="s">
        <v>255</v>
      </c>
      <c r="J74" s="150">
        <v>2785765777261</v>
      </c>
    </row>
    <row r="75" spans="1:10" s="59" customFormat="1" ht="21" customHeight="1" thickTop="1">
      <c r="B75" s="237" t="s">
        <v>123</v>
      </c>
      <c r="C75" s="238"/>
      <c r="D75" s="238"/>
      <c r="E75" s="238"/>
      <c r="F75" s="35"/>
      <c r="G75" s="69" t="s">
        <v>255</v>
      </c>
      <c r="H75" s="27" t="s">
        <v>255</v>
      </c>
      <c r="I75" s="26" t="s">
        <v>255</v>
      </c>
      <c r="J75" s="47" t="s">
        <v>255</v>
      </c>
    </row>
    <row r="76" spans="1:10" s="59" customFormat="1" ht="21" customHeight="1">
      <c r="B76" s="61" t="s">
        <v>96</v>
      </c>
      <c r="C76" s="236" t="s">
        <v>179</v>
      </c>
      <c r="D76" s="236"/>
      <c r="E76" s="236"/>
      <c r="F76" s="57"/>
      <c r="G76" s="69" t="s">
        <v>255</v>
      </c>
      <c r="H76" s="27">
        <v>7232085404619</v>
      </c>
      <c r="I76" s="26" t="s">
        <v>255</v>
      </c>
      <c r="J76" s="47">
        <v>6714150314929</v>
      </c>
    </row>
    <row r="77" spans="1:10" s="59" customFormat="1" ht="21" customHeight="1">
      <c r="A77" s="59">
        <v>62</v>
      </c>
      <c r="B77" s="234" t="s">
        <v>98</v>
      </c>
      <c r="C77" s="235"/>
      <c r="D77" s="236" t="s">
        <v>93</v>
      </c>
      <c r="E77" s="236"/>
      <c r="F77" s="57"/>
      <c r="G77" s="70">
        <v>7232085404619</v>
      </c>
      <c r="H77" s="37" t="s">
        <v>255</v>
      </c>
      <c r="I77" s="30">
        <v>6714150314929</v>
      </c>
      <c r="J77" s="53" t="s">
        <v>255</v>
      </c>
    </row>
    <row r="78" spans="1:10" s="59" customFormat="1" ht="21" customHeight="1">
      <c r="B78" s="61" t="s">
        <v>39</v>
      </c>
      <c r="C78" s="236" t="s">
        <v>124</v>
      </c>
      <c r="D78" s="236"/>
      <c r="E78" s="236"/>
      <c r="F78" s="57"/>
      <c r="G78" s="69" t="s">
        <v>255</v>
      </c>
      <c r="H78" s="77">
        <v>-5794907759808</v>
      </c>
      <c r="I78" s="26" t="s">
        <v>255</v>
      </c>
      <c r="J78" s="63">
        <v>-5557524086231</v>
      </c>
    </row>
    <row r="79" spans="1:10" s="59" customFormat="1" ht="21" customHeight="1">
      <c r="A79" s="59">
        <v>64</v>
      </c>
      <c r="B79" s="234" t="s">
        <v>98</v>
      </c>
      <c r="C79" s="235"/>
      <c r="D79" s="236" t="s">
        <v>163</v>
      </c>
      <c r="E79" s="236"/>
      <c r="F79" s="57"/>
      <c r="G79" s="70">
        <v>-5794907759808</v>
      </c>
      <c r="H79" s="32" t="s">
        <v>255</v>
      </c>
      <c r="I79" s="54">
        <v>-5557524086231</v>
      </c>
      <c r="J79" s="50" t="s">
        <v>255</v>
      </c>
    </row>
    <row r="80" spans="1:10" s="109" customFormat="1" ht="21" customHeight="1" thickBot="1">
      <c r="B80" s="147" t="s">
        <v>94</v>
      </c>
      <c r="C80" s="245" t="s">
        <v>125</v>
      </c>
      <c r="D80" s="245"/>
      <c r="E80" s="245"/>
      <c r="F80" s="148"/>
      <c r="G80" s="149" t="s">
        <v>255</v>
      </c>
      <c r="H80" s="150">
        <v>1437177644811</v>
      </c>
      <c r="I80" s="151" t="s">
        <v>255</v>
      </c>
      <c r="J80" s="150">
        <v>1156626228698</v>
      </c>
    </row>
    <row r="81" spans="2:10" s="59" customFormat="1" ht="21" customHeight="1" thickTop="1" thickBot="1">
      <c r="B81" s="153" t="s">
        <v>94</v>
      </c>
      <c r="C81" s="244" t="s">
        <v>126</v>
      </c>
      <c r="D81" s="244"/>
      <c r="E81" s="244"/>
      <c r="F81" s="154"/>
      <c r="G81" s="155" t="s">
        <v>255</v>
      </c>
      <c r="H81" s="150">
        <v>4147241351429</v>
      </c>
      <c r="I81" s="156" t="s">
        <v>255</v>
      </c>
      <c r="J81" s="150">
        <v>3942392005959</v>
      </c>
    </row>
    <row r="82" spans="2:10" s="5" customFormat="1" ht="21.95" customHeight="1">
      <c r="B82" s="38"/>
      <c r="C82" s="64"/>
      <c r="D82" s="64"/>
      <c r="E82" s="39"/>
      <c r="F82" s="64"/>
      <c r="G82" s="73"/>
      <c r="H82" s="64"/>
      <c r="I82" s="40"/>
      <c r="J82" s="64"/>
    </row>
    <row r="83" spans="2:10" ht="21.95" customHeight="1">
      <c r="H83" s="43"/>
      <c r="J83" s="43"/>
    </row>
    <row r="84" spans="2:10" ht="21.95" customHeight="1">
      <c r="E84" s="44"/>
      <c r="J84" s="65"/>
    </row>
    <row r="85" spans="2:10" ht="21.95" customHeight="1">
      <c r="J85" s="65"/>
    </row>
    <row r="86" spans="2:10" ht="21.95" customHeight="1">
      <c r="J86" s="65"/>
    </row>
    <row r="87" spans="2:10" ht="21.95" customHeight="1">
      <c r="J87" s="65"/>
    </row>
    <row r="88" spans="2:10" ht="21.95" customHeight="1">
      <c r="J88" s="65"/>
    </row>
    <row r="89" spans="2:10" ht="21.95" customHeight="1">
      <c r="J89" s="65"/>
    </row>
    <row r="90" spans="2:10" ht="21.95" customHeight="1">
      <c r="J90" s="65"/>
    </row>
    <row r="91" spans="2:10" ht="21.95" customHeight="1">
      <c r="J91" s="65"/>
    </row>
    <row r="92" spans="2:10" ht="21.95" customHeight="1">
      <c r="B92" s="42"/>
      <c r="I92" s="42"/>
      <c r="J92" s="65"/>
    </row>
    <row r="93" spans="2:10" ht="21.95" customHeight="1">
      <c r="B93" s="42"/>
      <c r="I93" s="42"/>
      <c r="J93" s="65"/>
    </row>
    <row r="94" spans="2:10" ht="21.95" customHeight="1">
      <c r="B94" s="42"/>
      <c r="I94" s="42"/>
      <c r="J94" s="65"/>
    </row>
    <row r="95" spans="2:10" ht="21.95" customHeight="1">
      <c r="B95" s="42"/>
      <c r="I95" s="42"/>
      <c r="J95" s="65"/>
    </row>
    <row r="96" spans="2:10" ht="21.95" customHeight="1">
      <c r="B96" s="42"/>
      <c r="I96" s="42"/>
      <c r="J96" s="65"/>
    </row>
    <row r="97" spans="2:10" ht="21.95" customHeight="1">
      <c r="B97" s="42"/>
      <c r="I97" s="42"/>
      <c r="J97" s="65"/>
    </row>
    <row r="98" spans="2:10" ht="21.95" customHeight="1">
      <c r="B98" s="42"/>
      <c r="I98" s="42"/>
      <c r="J98" s="65"/>
    </row>
    <row r="99" spans="2:10" ht="21.95" customHeight="1">
      <c r="B99" s="42"/>
      <c r="I99" s="42"/>
      <c r="J99" s="65"/>
    </row>
    <row r="100" spans="2:10" ht="21.95" customHeight="1">
      <c r="B100" s="42"/>
      <c r="I100" s="42"/>
      <c r="J100" s="65"/>
    </row>
    <row r="101" spans="2:10" ht="21.95" customHeight="1">
      <c r="B101" s="42"/>
      <c r="I101" s="42"/>
      <c r="J101" s="65"/>
    </row>
    <row r="102" spans="2:10" ht="21.95" customHeight="1">
      <c r="B102" s="42"/>
      <c r="I102" s="42"/>
      <c r="J102" s="65"/>
    </row>
    <row r="103" spans="2:10" ht="21.95" customHeight="1">
      <c r="B103" s="42"/>
      <c r="I103" s="42"/>
      <c r="J103" s="65"/>
    </row>
    <row r="104" spans="2:10" ht="21.95" customHeight="1">
      <c r="B104" s="42"/>
      <c r="I104" s="42"/>
      <c r="J104" s="65"/>
    </row>
    <row r="105" spans="2:10" ht="21.95" customHeight="1">
      <c r="B105" s="42"/>
      <c r="I105" s="42"/>
      <c r="J105" s="65"/>
    </row>
    <row r="106" spans="2:10" ht="21.95" customHeight="1">
      <c r="B106" s="42"/>
      <c r="I106" s="42"/>
      <c r="J106" s="65"/>
    </row>
    <row r="107" spans="2:10" ht="21.95" customHeight="1">
      <c r="B107" s="42"/>
      <c r="I107" s="42"/>
      <c r="J107" s="65"/>
    </row>
    <row r="108" spans="2:10" ht="21.95" customHeight="1">
      <c r="B108" s="42"/>
      <c r="I108" s="42"/>
      <c r="J108" s="65"/>
    </row>
    <row r="109" spans="2:10" ht="21.95" customHeight="1">
      <c r="B109" s="42"/>
      <c r="I109" s="42"/>
      <c r="J109" s="65"/>
    </row>
    <row r="110" spans="2:10" ht="21.95" customHeight="1">
      <c r="B110" s="42"/>
      <c r="I110" s="42"/>
      <c r="J110" s="65"/>
    </row>
    <row r="111" spans="2:10" ht="21.95" customHeight="1">
      <c r="B111" s="42"/>
      <c r="I111" s="42"/>
      <c r="J111" s="65"/>
    </row>
    <row r="112" spans="2:10" ht="21.95" customHeight="1">
      <c r="B112" s="42"/>
      <c r="I112" s="42"/>
      <c r="J112" s="65"/>
    </row>
    <row r="113" spans="2:10" ht="21.95" customHeight="1">
      <c r="B113" s="42"/>
      <c r="I113" s="42"/>
      <c r="J113" s="65"/>
    </row>
    <row r="114" spans="2:10" ht="21.95" customHeight="1">
      <c r="B114" s="42"/>
      <c r="I114" s="42"/>
      <c r="J114" s="65"/>
    </row>
    <row r="115" spans="2:10" ht="21.95" customHeight="1">
      <c r="B115" s="42"/>
      <c r="I115" s="42"/>
      <c r="J115" s="65"/>
    </row>
    <row r="116" spans="2:10" ht="21.95" customHeight="1">
      <c r="B116" s="42"/>
      <c r="I116" s="42"/>
      <c r="J116" s="65"/>
    </row>
    <row r="117" spans="2:10" ht="21.95" customHeight="1">
      <c r="B117" s="42"/>
      <c r="I117" s="42"/>
      <c r="J117" s="65"/>
    </row>
    <row r="118" spans="2:10" ht="21.95" customHeight="1">
      <c r="B118" s="42"/>
      <c r="I118" s="42"/>
      <c r="J118" s="65"/>
    </row>
    <row r="119" spans="2:10" ht="21.95" customHeight="1">
      <c r="B119" s="42"/>
      <c r="I119" s="42"/>
      <c r="J119" s="65"/>
    </row>
    <row r="120" spans="2:10" ht="21.95" customHeight="1">
      <c r="B120" s="42"/>
      <c r="I120" s="42"/>
      <c r="J120" s="65"/>
    </row>
    <row r="121" spans="2:10" ht="21.95" customHeight="1">
      <c r="B121" s="42"/>
      <c r="I121" s="42"/>
      <c r="J121" s="65"/>
    </row>
    <row r="122" spans="2:10" ht="21.95" customHeight="1">
      <c r="B122" s="42"/>
      <c r="I122" s="42"/>
      <c r="J122" s="65"/>
    </row>
    <row r="123" spans="2:10" ht="21.95" customHeight="1">
      <c r="B123" s="42"/>
      <c r="I123" s="42"/>
      <c r="J123" s="65"/>
    </row>
    <row r="124" spans="2:10" ht="21.95" customHeight="1">
      <c r="B124" s="42"/>
      <c r="I124" s="42"/>
      <c r="J124" s="65"/>
    </row>
    <row r="125" spans="2:10" ht="21.95" customHeight="1">
      <c r="B125" s="42"/>
      <c r="I125" s="42"/>
      <c r="J125" s="65"/>
    </row>
    <row r="126" spans="2:10" ht="21.95" customHeight="1">
      <c r="B126" s="42"/>
      <c r="I126" s="42"/>
      <c r="J126" s="65"/>
    </row>
    <row r="127" spans="2:10" ht="21.95" customHeight="1">
      <c r="B127" s="42"/>
      <c r="I127" s="42"/>
      <c r="J127" s="65"/>
    </row>
    <row r="128" spans="2:10" ht="21.95" customHeight="1">
      <c r="B128" s="42"/>
      <c r="I128" s="42"/>
      <c r="J128" s="65"/>
    </row>
    <row r="129" spans="2:10" ht="21.95" customHeight="1">
      <c r="B129" s="42"/>
      <c r="I129" s="42"/>
      <c r="J129" s="65"/>
    </row>
    <row r="130" spans="2:10" ht="21.95" customHeight="1">
      <c r="B130" s="42"/>
      <c r="I130" s="42"/>
      <c r="J130" s="65"/>
    </row>
    <row r="131" spans="2:10" ht="21.95" customHeight="1">
      <c r="B131" s="42"/>
      <c r="I131" s="42"/>
      <c r="J131" s="65"/>
    </row>
    <row r="132" spans="2:10" ht="21.95" customHeight="1">
      <c r="B132" s="42"/>
      <c r="I132" s="42"/>
      <c r="J132" s="65"/>
    </row>
    <row r="133" spans="2:10" ht="21.95" customHeight="1">
      <c r="B133" s="42"/>
      <c r="I133" s="42"/>
      <c r="J133" s="65"/>
    </row>
    <row r="134" spans="2:10" ht="21.95" customHeight="1">
      <c r="B134" s="42"/>
      <c r="I134" s="42"/>
      <c r="J134" s="65"/>
    </row>
    <row r="135" spans="2:10" ht="21.95" customHeight="1">
      <c r="B135" s="42"/>
      <c r="I135" s="42"/>
      <c r="J135" s="65"/>
    </row>
    <row r="136" spans="2:10" ht="21.95" customHeight="1">
      <c r="B136" s="42"/>
      <c r="I136" s="42"/>
      <c r="J136" s="65"/>
    </row>
    <row r="137" spans="2:10" ht="21.95" customHeight="1">
      <c r="B137" s="42"/>
      <c r="I137" s="42"/>
      <c r="J137" s="65"/>
    </row>
    <row r="138" spans="2:10" ht="21.95" customHeight="1">
      <c r="B138" s="42"/>
      <c r="I138" s="42"/>
      <c r="J138" s="65"/>
    </row>
    <row r="139" spans="2:10" ht="21.95" customHeight="1">
      <c r="B139" s="42"/>
      <c r="I139" s="42"/>
      <c r="J139" s="65"/>
    </row>
    <row r="140" spans="2:10" ht="21.95" customHeight="1">
      <c r="B140" s="42"/>
      <c r="I140" s="42"/>
      <c r="J140" s="65"/>
    </row>
    <row r="141" spans="2:10" ht="21.95" customHeight="1">
      <c r="B141" s="42"/>
      <c r="I141" s="42"/>
      <c r="J141" s="65"/>
    </row>
    <row r="142" spans="2:10" ht="21.95" customHeight="1">
      <c r="B142" s="42"/>
      <c r="I142" s="42"/>
      <c r="J142" s="65"/>
    </row>
    <row r="143" spans="2:10" ht="21.95" customHeight="1">
      <c r="B143" s="42"/>
      <c r="I143" s="42"/>
      <c r="J143" s="65"/>
    </row>
    <row r="144" spans="2:10" ht="21.95" customHeight="1">
      <c r="B144" s="42"/>
      <c r="I144" s="42"/>
      <c r="J144" s="65"/>
    </row>
    <row r="145" spans="2:10" ht="21.95" customHeight="1">
      <c r="B145" s="42"/>
      <c r="I145" s="42"/>
      <c r="J145" s="65"/>
    </row>
    <row r="146" spans="2:10" ht="21.95" customHeight="1">
      <c r="B146" s="42"/>
      <c r="I146" s="42"/>
      <c r="J146" s="65"/>
    </row>
    <row r="147" spans="2:10" ht="21.95" customHeight="1">
      <c r="B147" s="42"/>
      <c r="I147" s="42"/>
      <c r="J147" s="65"/>
    </row>
    <row r="148" spans="2:10" ht="21.95" customHeight="1">
      <c r="B148" s="42"/>
      <c r="I148" s="42"/>
      <c r="J148" s="65"/>
    </row>
    <row r="149" spans="2:10" ht="21.95" customHeight="1">
      <c r="B149" s="42"/>
      <c r="I149" s="42"/>
      <c r="J149" s="65"/>
    </row>
    <row r="150" spans="2:10" ht="21.95" customHeight="1">
      <c r="B150" s="42"/>
      <c r="I150" s="42"/>
      <c r="J150" s="65"/>
    </row>
    <row r="151" spans="2:10" ht="21.95" customHeight="1">
      <c r="B151" s="42"/>
      <c r="I151" s="42"/>
      <c r="J151" s="65"/>
    </row>
    <row r="152" spans="2:10" ht="21.95" customHeight="1">
      <c r="B152" s="42"/>
      <c r="I152" s="42"/>
      <c r="J152" s="65"/>
    </row>
    <row r="153" spans="2:10" ht="21.95" customHeight="1">
      <c r="B153" s="42"/>
      <c r="I153" s="42"/>
      <c r="J153" s="65"/>
    </row>
    <row r="154" spans="2:10" ht="21.95" customHeight="1">
      <c r="B154" s="42"/>
      <c r="I154" s="42"/>
      <c r="J154" s="65"/>
    </row>
    <row r="155" spans="2:10" ht="21.95" customHeight="1">
      <c r="B155" s="42"/>
      <c r="I155" s="42"/>
      <c r="J155" s="65"/>
    </row>
    <row r="156" spans="2:10" ht="21.95" customHeight="1">
      <c r="B156" s="42"/>
      <c r="I156" s="42"/>
      <c r="J156" s="65"/>
    </row>
    <row r="157" spans="2:10" ht="21.95" customHeight="1">
      <c r="B157" s="42"/>
      <c r="I157" s="42"/>
      <c r="J157" s="65"/>
    </row>
    <row r="158" spans="2:10" ht="21.95" customHeight="1">
      <c r="B158" s="42"/>
      <c r="I158" s="42"/>
      <c r="J158" s="65"/>
    </row>
    <row r="159" spans="2:10" ht="21.95" customHeight="1">
      <c r="B159" s="42"/>
      <c r="I159" s="42"/>
      <c r="J159" s="65"/>
    </row>
  </sheetData>
  <mergeCells count="87">
    <mergeCell ref="C30:D30"/>
    <mergeCell ref="C50:D50"/>
    <mergeCell ref="C52:D52"/>
    <mergeCell ref="D60:E60"/>
    <mergeCell ref="D58:E58"/>
    <mergeCell ref="C53:D53"/>
    <mergeCell ref="C54:E54"/>
    <mergeCell ref="D57:E57"/>
    <mergeCell ref="B55:E55"/>
    <mergeCell ref="C56:E56"/>
    <mergeCell ref="D59:E59"/>
    <mergeCell ref="C29:D29"/>
    <mergeCell ref="C42:D42"/>
    <mergeCell ref="C40:D40"/>
    <mergeCell ref="B8:C8"/>
    <mergeCell ref="C7:E7"/>
    <mergeCell ref="C23:D23"/>
    <mergeCell ref="B25:C25"/>
    <mergeCell ref="C27:D27"/>
    <mergeCell ref="C24:E24"/>
    <mergeCell ref="D25:E25"/>
    <mergeCell ref="C26:D26"/>
    <mergeCell ref="C16:D16"/>
    <mergeCell ref="C13:D13"/>
    <mergeCell ref="C17:D17"/>
    <mergeCell ref="C18:D18"/>
    <mergeCell ref="C22:D22"/>
    <mergeCell ref="B1:J1"/>
    <mergeCell ref="B3:J3"/>
    <mergeCell ref="I5:J5"/>
    <mergeCell ref="C5:E5"/>
    <mergeCell ref="B4:E4"/>
    <mergeCell ref="G5:H5"/>
    <mergeCell ref="D62:E62"/>
    <mergeCell ref="D64:E64"/>
    <mergeCell ref="D63:E63"/>
    <mergeCell ref="D61:E61"/>
    <mergeCell ref="C48:D48"/>
    <mergeCell ref="B51:C51"/>
    <mergeCell ref="D51:E51"/>
    <mergeCell ref="C9:D9"/>
    <mergeCell ref="C10:D10"/>
    <mergeCell ref="C11:D11"/>
    <mergeCell ref="C14:D14"/>
    <mergeCell ref="B77:C77"/>
    <mergeCell ref="C44:D44"/>
    <mergeCell ref="C32:D32"/>
    <mergeCell ref="B28:C28"/>
    <mergeCell ref="D21:E21"/>
    <mergeCell ref="C19:D19"/>
    <mergeCell ref="C20:D20"/>
    <mergeCell ref="B21:C21"/>
    <mergeCell ref="D28:E28"/>
    <mergeCell ref="C66:E66"/>
    <mergeCell ref="D65:E65"/>
    <mergeCell ref="D73:E73"/>
    <mergeCell ref="B6:E6"/>
    <mergeCell ref="B2:J2"/>
    <mergeCell ref="D8:E8"/>
    <mergeCell ref="C81:E81"/>
    <mergeCell ref="D77:E77"/>
    <mergeCell ref="C78:E78"/>
    <mergeCell ref="D79:E79"/>
    <mergeCell ref="C80:E80"/>
    <mergeCell ref="C34:D34"/>
    <mergeCell ref="C45:D45"/>
    <mergeCell ref="C46:D46"/>
    <mergeCell ref="D47:E47"/>
    <mergeCell ref="B47:C47"/>
    <mergeCell ref="C36:D36"/>
    <mergeCell ref="C38:D38"/>
    <mergeCell ref="C49:D49"/>
    <mergeCell ref="B79:C79"/>
    <mergeCell ref="C76:E76"/>
    <mergeCell ref="D72:E72"/>
    <mergeCell ref="D67:E67"/>
    <mergeCell ref="D71:E71"/>
    <mergeCell ref="B73:C73"/>
    <mergeCell ref="B67:C67"/>
    <mergeCell ref="B75:E75"/>
    <mergeCell ref="B69:C69"/>
    <mergeCell ref="D69:E69"/>
    <mergeCell ref="B71:C71"/>
    <mergeCell ref="D70:E70"/>
    <mergeCell ref="D68:E68"/>
    <mergeCell ref="B68:C68"/>
    <mergeCell ref="C74:E74"/>
  </mergeCells>
  <phoneticPr fontId="15" type="noConversion"/>
  <pageMargins left="0.39370078740157483" right="0.39370078740157483" top="0.59055118110236227" bottom="0.39370078740157483" header="0.31496062992125984" footer="0.31496062992125984"/>
  <pageSetup paperSize="9" scale="95" fitToHeight="0" orientation="portrait" r:id="rId1"/>
  <headerFooter alignWithMargins="0"/>
  <rowBreaks count="2" manualBreakCount="2">
    <brk id="33" min="1" max="9" man="1"/>
    <brk id="60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69"/>
  <sheetViews>
    <sheetView view="pageBreakPreview" topLeftCell="B1" zoomScale="85" zoomScaleNormal="100" zoomScaleSheetLayoutView="85" workbookViewId="0">
      <selection activeCell="B1" sqref="B1:J1"/>
    </sheetView>
  </sheetViews>
  <sheetFormatPr defaultRowHeight="21.95" customHeight="1"/>
  <cols>
    <col min="1" max="1" width="5.21875" style="2" hidden="1" customWidth="1"/>
    <col min="2" max="2" width="4.109375" style="124" customWidth="1"/>
    <col min="3" max="3" width="0.6640625" style="122" customWidth="1"/>
    <col min="4" max="4" width="4.33203125" style="125" customWidth="1"/>
    <col min="5" max="5" width="14.77734375" style="122" customWidth="1"/>
    <col min="6" max="6" width="0.6640625" style="125" customWidth="1"/>
    <col min="7" max="7" width="17.44140625" style="126" bestFit="1" customWidth="1"/>
    <col min="8" max="8" width="15" style="125" customWidth="1"/>
    <col min="9" max="9" width="16.6640625" style="128" bestFit="1" customWidth="1"/>
    <col min="10" max="10" width="16" style="128" customWidth="1"/>
    <col min="11" max="11" width="16.109375" style="2" bestFit="1" customWidth="1"/>
    <col min="12" max="16384" width="8.88671875" style="2"/>
  </cols>
  <sheetData>
    <row r="1" spans="1:11" s="1" customFormat="1" ht="28.5" customHeight="1">
      <c r="B1" s="263" t="s">
        <v>127</v>
      </c>
      <c r="C1" s="264"/>
      <c r="D1" s="264"/>
      <c r="E1" s="264"/>
      <c r="F1" s="264"/>
      <c r="G1" s="264"/>
      <c r="H1" s="264"/>
      <c r="I1" s="264"/>
      <c r="J1" s="265"/>
    </row>
    <row r="2" spans="1:11" ht="20.100000000000001" customHeight="1">
      <c r="B2" s="241" t="s">
        <v>300</v>
      </c>
      <c r="C2" s="242"/>
      <c r="D2" s="242"/>
      <c r="E2" s="242"/>
      <c r="F2" s="242"/>
      <c r="G2" s="242"/>
      <c r="H2" s="242"/>
      <c r="I2" s="242"/>
      <c r="J2" s="243"/>
    </row>
    <row r="3" spans="1:11" ht="20.100000000000001" customHeight="1">
      <c r="B3" s="241" t="s">
        <v>327</v>
      </c>
      <c r="C3" s="242"/>
      <c r="D3" s="242"/>
      <c r="E3" s="242"/>
      <c r="F3" s="242"/>
      <c r="G3" s="242"/>
      <c r="H3" s="242"/>
      <c r="I3" s="242"/>
      <c r="J3" s="243"/>
    </row>
    <row r="4" spans="1:11" ht="20.100000000000001" customHeight="1">
      <c r="B4" s="266" t="s">
        <v>154</v>
      </c>
      <c r="C4" s="267"/>
      <c r="D4" s="267"/>
      <c r="E4" s="267"/>
      <c r="F4" s="22"/>
      <c r="G4" s="182"/>
      <c r="H4" s="23"/>
      <c r="I4" s="65"/>
      <c r="J4" s="45" t="s">
        <v>30</v>
      </c>
    </row>
    <row r="5" spans="1:11" ht="21" customHeight="1">
      <c r="B5" s="272" t="s">
        <v>19</v>
      </c>
      <c r="C5" s="273"/>
      <c r="D5" s="273"/>
      <c r="E5" s="273"/>
      <c r="F5" s="129"/>
      <c r="G5" s="268" t="str">
        <f>재무상태표!G5</f>
        <v>제29(당)기</v>
      </c>
      <c r="H5" s="270"/>
      <c r="I5" s="268" t="s">
        <v>326</v>
      </c>
      <c r="J5" s="269"/>
    </row>
    <row r="6" spans="1:11" s="3" customFormat="1" ht="21.95" customHeight="1">
      <c r="B6" s="146" t="s">
        <v>38</v>
      </c>
      <c r="C6" s="245" t="s">
        <v>180</v>
      </c>
      <c r="D6" s="245"/>
      <c r="E6" s="245"/>
      <c r="F6" s="141"/>
      <c r="G6" s="142"/>
      <c r="H6" s="145">
        <f>SUM(G7:G9)</f>
        <v>898868026584</v>
      </c>
      <c r="I6" s="145"/>
      <c r="J6" s="145">
        <f>SUM(I7:I9)</f>
        <v>935011324657</v>
      </c>
    </row>
    <row r="7" spans="1:11" s="3" customFormat="1" ht="21.95" customHeight="1">
      <c r="B7" s="234" t="s">
        <v>189</v>
      </c>
      <c r="C7" s="235"/>
      <c r="D7" s="236" t="s">
        <v>250</v>
      </c>
      <c r="E7" s="236"/>
      <c r="F7" s="111"/>
      <c r="G7" s="112">
        <v>783888133813</v>
      </c>
      <c r="H7" s="113" t="s">
        <v>255</v>
      </c>
      <c r="I7" s="113">
        <v>790898672136</v>
      </c>
      <c r="J7" s="66" t="s">
        <v>256</v>
      </c>
    </row>
    <row r="8" spans="1:11" s="3" customFormat="1" ht="21" customHeight="1">
      <c r="A8" s="3">
        <v>1</v>
      </c>
      <c r="B8" s="234" t="s">
        <v>65</v>
      </c>
      <c r="C8" s="235"/>
      <c r="D8" s="236" t="s">
        <v>20</v>
      </c>
      <c r="E8" s="236"/>
      <c r="F8" s="111"/>
      <c r="G8" s="112">
        <v>80441762906</v>
      </c>
      <c r="H8" s="114" t="s">
        <v>255</v>
      </c>
      <c r="I8" s="115">
        <v>101609759879</v>
      </c>
      <c r="J8" s="116" t="s">
        <v>256</v>
      </c>
    </row>
    <row r="9" spans="1:11" s="3" customFormat="1" ht="21" customHeight="1">
      <c r="A9" s="3">
        <v>2</v>
      </c>
      <c r="B9" s="234" t="s">
        <v>66</v>
      </c>
      <c r="C9" s="235"/>
      <c r="D9" s="236" t="s">
        <v>21</v>
      </c>
      <c r="E9" s="236"/>
      <c r="F9" s="111"/>
      <c r="G9" s="112">
        <v>34538129865</v>
      </c>
      <c r="H9" s="114" t="s">
        <v>255</v>
      </c>
      <c r="I9" s="115">
        <v>42502892642</v>
      </c>
      <c r="J9" s="116" t="s">
        <v>256</v>
      </c>
    </row>
    <row r="10" spans="1:11" s="3" customFormat="1" ht="21.95" customHeight="1">
      <c r="B10" s="146" t="s">
        <v>39</v>
      </c>
      <c r="C10" s="245" t="s">
        <v>181</v>
      </c>
      <c r="D10" s="245"/>
      <c r="E10" s="245"/>
      <c r="F10" s="141"/>
      <c r="G10" s="142"/>
      <c r="H10" s="145">
        <f>SUM(G11:G11)</f>
        <v>1028365658702</v>
      </c>
      <c r="I10" s="145"/>
      <c r="J10" s="145">
        <f>SUM(I11:I11)</f>
        <v>1023651511411</v>
      </c>
    </row>
    <row r="11" spans="1:11" s="3" customFormat="1" ht="21" customHeight="1">
      <c r="A11" s="3">
        <v>4</v>
      </c>
      <c r="B11" s="234" t="s">
        <v>32</v>
      </c>
      <c r="C11" s="235"/>
      <c r="D11" s="236" t="s">
        <v>22</v>
      </c>
      <c r="E11" s="236"/>
      <c r="F11" s="111"/>
      <c r="G11" s="229">
        <v>1028365658702</v>
      </c>
      <c r="H11" s="230" t="s">
        <v>255</v>
      </c>
      <c r="I11" s="229">
        <v>1023651511411</v>
      </c>
      <c r="J11" s="231" t="s">
        <v>256</v>
      </c>
    </row>
    <row r="12" spans="1:11" s="3" customFormat="1" ht="21.95" customHeight="1">
      <c r="B12" s="140" t="s">
        <v>40</v>
      </c>
      <c r="C12" s="245" t="s">
        <v>200</v>
      </c>
      <c r="D12" s="245"/>
      <c r="E12" s="245"/>
      <c r="F12" s="141"/>
      <c r="G12" s="142"/>
      <c r="H12" s="143">
        <f>H6-H10</f>
        <v>-129497632118</v>
      </c>
      <c r="I12" s="145"/>
      <c r="J12" s="143">
        <f>J6-J10</f>
        <v>-88640186754</v>
      </c>
    </row>
    <row r="13" spans="1:11" s="3" customFormat="1" ht="21.95" customHeight="1">
      <c r="B13" s="140" t="s">
        <v>41</v>
      </c>
      <c r="C13" s="245" t="s">
        <v>23</v>
      </c>
      <c r="D13" s="245"/>
      <c r="E13" s="245"/>
      <c r="F13" s="141"/>
      <c r="G13" s="142"/>
      <c r="H13" s="145">
        <f>SUM(G14:G38)</f>
        <v>65275640196</v>
      </c>
      <c r="I13" s="145"/>
      <c r="J13" s="145">
        <f>SUM(I14:I38)</f>
        <v>57667080874</v>
      </c>
      <c r="K13" s="21"/>
    </row>
    <row r="14" spans="1:11" s="4" customFormat="1" ht="21" customHeight="1">
      <c r="A14" s="4">
        <v>5</v>
      </c>
      <c r="B14" s="234" t="s">
        <v>32</v>
      </c>
      <c r="C14" s="235"/>
      <c r="D14" s="236" t="s">
        <v>24</v>
      </c>
      <c r="E14" s="236"/>
      <c r="F14" s="111"/>
      <c r="G14" s="112">
        <v>34940940197</v>
      </c>
      <c r="H14" s="117" t="s">
        <v>255</v>
      </c>
      <c r="I14" s="115">
        <v>30805466949</v>
      </c>
      <c r="J14" s="118"/>
    </row>
    <row r="15" spans="1:11" s="4" customFormat="1" ht="21" customHeight="1">
      <c r="A15" s="4">
        <v>6</v>
      </c>
      <c r="B15" s="234" t="s">
        <v>33</v>
      </c>
      <c r="C15" s="235"/>
      <c r="D15" s="236" t="s">
        <v>140</v>
      </c>
      <c r="E15" s="236"/>
      <c r="F15" s="111"/>
      <c r="G15" s="112">
        <v>4824880100</v>
      </c>
      <c r="H15" s="117" t="s">
        <v>255</v>
      </c>
      <c r="I15" s="115">
        <v>3495317710</v>
      </c>
      <c r="J15" s="118"/>
    </row>
    <row r="16" spans="1:11" s="4" customFormat="1" ht="21" customHeight="1">
      <c r="A16" s="4">
        <v>7</v>
      </c>
      <c r="B16" s="234" t="s">
        <v>34</v>
      </c>
      <c r="C16" s="235"/>
      <c r="D16" s="271" t="s">
        <v>25</v>
      </c>
      <c r="E16" s="271"/>
      <c r="F16" s="111"/>
      <c r="G16" s="112">
        <v>5123892328</v>
      </c>
      <c r="H16" s="117" t="s">
        <v>255</v>
      </c>
      <c r="I16" s="115">
        <v>4787550157</v>
      </c>
      <c r="J16" s="118"/>
    </row>
    <row r="17" spans="1:10" s="4" customFormat="1" ht="21" customHeight="1">
      <c r="A17" s="4">
        <v>8</v>
      </c>
      <c r="B17" s="234" t="s">
        <v>43</v>
      </c>
      <c r="C17" s="235"/>
      <c r="D17" s="271" t="s">
        <v>26</v>
      </c>
      <c r="E17" s="271"/>
      <c r="F17" s="111"/>
      <c r="G17" s="112">
        <v>204457510</v>
      </c>
      <c r="H17" s="117" t="s">
        <v>255</v>
      </c>
      <c r="I17" s="115">
        <v>93391761</v>
      </c>
      <c r="J17" s="118"/>
    </row>
    <row r="18" spans="1:10" s="4" customFormat="1" ht="21" customHeight="1">
      <c r="A18" s="4">
        <v>9</v>
      </c>
      <c r="B18" s="234" t="s">
        <v>44</v>
      </c>
      <c r="C18" s="235"/>
      <c r="D18" s="271" t="s">
        <v>27</v>
      </c>
      <c r="E18" s="271"/>
      <c r="F18" s="111"/>
      <c r="G18" s="112">
        <v>132838660</v>
      </c>
      <c r="H18" s="117" t="s">
        <v>255</v>
      </c>
      <c r="I18" s="115">
        <v>178631502</v>
      </c>
      <c r="J18" s="118"/>
    </row>
    <row r="19" spans="1:10" s="3" customFormat="1" ht="21" customHeight="1">
      <c r="A19" s="4">
        <v>10</v>
      </c>
      <c r="B19" s="234" t="s">
        <v>45</v>
      </c>
      <c r="C19" s="235"/>
      <c r="D19" s="271" t="s">
        <v>67</v>
      </c>
      <c r="E19" s="271"/>
      <c r="F19" s="111"/>
      <c r="G19" s="112">
        <v>133686210</v>
      </c>
      <c r="H19" s="117" t="s">
        <v>255</v>
      </c>
      <c r="I19" s="115">
        <v>194599271</v>
      </c>
      <c r="J19" s="118"/>
    </row>
    <row r="20" spans="1:10" s="4" customFormat="1" ht="21" customHeight="1">
      <c r="A20" s="4">
        <v>11</v>
      </c>
      <c r="B20" s="234" t="s">
        <v>46</v>
      </c>
      <c r="C20" s="235"/>
      <c r="D20" s="271" t="s">
        <v>28</v>
      </c>
      <c r="E20" s="271"/>
      <c r="F20" s="111"/>
      <c r="G20" s="112">
        <v>86504460</v>
      </c>
      <c r="H20" s="57" t="s">
        <v>255</v>
      </c>
      <c r="I20" s="115">
        <v>65193560</v>
      </c>
      <c r="J20" s="130"/>
    </row>
    <row r="21" spans="1:10" s="4" customFormat="1" ht="21" customHeight="1">
      <c r="A21" s="4">
        <v>12</v>
      </c>
      <c r="B21" s="234" t="s">
        <v>47</v>
      </c>
      <c r="C21" s="235"/>
      <c r="D21" s="271" t="s">
        <v>29</v>
      </c>
      <c r="E21" s="271"/>
      <c r="F21" s="111"/>
      <c r="G21" s="112">
        <v>303745888</v>
      </c>
      <c r="H21" s="117" t="s">
        <v>255</v>
      </c>
      <c r="I21" s="115">
        <v>276004107</v>
      </c>
      <c r="J21" s="118"/>
    </row>
    <row r="22" spans="1:10" s="4" customFormat="1" ht="21" customHeight="1">
      <c r="A22" s="4">
        <v>13</v>
      </c>
      <c r="B22" s="234" t="s">
        <v>48</v>
      </c>
      <c r="C22" s="235"/>
      <c r="D22" s="271" t="s">
        <v>72</v>
      </c>
      <c r="E22" s="271"/>
      <c r="F22" s="111"/>
      <c r="G22" s="112">
        <v>417217815</v>
      </c>
      <c r="H22" s="57"/>
      <c r="I22" s="115">
        <v>421323720</v>
      </c>
      <c r="J22" s="130"/>
    </row>
    <row r="23" spans="1:10" s="4" customFormat="1" ht="21" customHeight="1">
      <c r="A23" s="4">
        <v>14</v>
      </c>
      <c r="B23" s="234" t="s">
        <v>49</v>
      </c>
      <c r="C23" s="235"/>
      <c r="D23" s="271" t="s">
        <v>251</v>
      </c>
      <c r="E23" s="271"/>
      <c r="F23" s="111"/>
      <c r="G23" s="112">
        <v>71363760</v>
      </c>
      <c r="H23" s="57" t="s">
        <v>255</v>
      </c>
      <c r="I23" s="115">
        <v>61820472</v>
      </c>
      <c r="J23" s="130"/>
    </row>
    <row r="24" spans="1:10" s="4" customFormat="1" ht="21" customHeight="1">
      <c r="A24" s="4">
        <v>15</v>
      </c>
      <c r="B24" s="234" t="s">
        <v>50</v>
      </c>
      <c r="C24" s="235"/>
      <c r="D24" s="271" t="s">
        <v>152</v>
      </c>
      <c r="E24" s="271"/>
      <c r="F24" s="111"/>
      <c r="G24" s="112">
        <v>4151453495</v>
      </c>
      <c r="H24" s="117" t="s">
        <v>255</v>
      </c>
      <c r="I24" s="115">
        <v>4056737520</v>
      </c>
      <c r="J24" s="118"/>
    </row>
    <row r="25" spans="1:10" s="4" customFormat="1" ht="21" customHeight="1">
      <c r="A25" s="4">
        <v>16</v>
      </c>
      <c r="B25" s="234" t="s">
        <v>51</v>
      </c>
      <c r="C25" s="235"/>
      <c r="D25" s="271" t="s">
        <v>153</v>
      </c>
      <c r="E25" s="271"/>
      <c r="F25" s="111"/>
      <c r="G25" s="112">
        <v>2557265221</v>
      </c>
      <c r="H25" s="117" t="s">
        <v>255</v>
      </c>
      <c r="I25" s="115">
        <v>2151208958</v>
      </c>
      <c r="J25" s="118"/>
    </row>
    <row r="26" spans="1:10" s="4" customFormat="1" ht="21" customHeight="1">
      <c r="A26" s="4">
        <v>17</v>
      </c>
      <c r="B26" s="234" t="s">
        <v>52</v>
      </c>
      <c r="C26" s="235"/>
      <c r="D26" s="271" t="s">
        <v>73</v>
      </c>
      <c r="E26" s="271"/>
      <c r="F26" s="111"/>
      <c r="G26" s="112">
        <v>1173589324</v>
      </c>
      <c r="H26" s="117" t="s">
        <v>255</v>
      </c>
      <c r="I26" s="115">
        <v>1155766400</v>
      </c>
      <c r="J26" s="118"/>
    </row>
    <row r="27" spans="1:10" s="4" customFormat="1" ht="21" customHeight="1">
      <c r="A27" s="4">
        <v>18</v>
      </c>
      <c r="B27" s="234" t="s">
        <v>53</v>
      </c>
      <c r="C27" s="235"/>
      <c r="D27" s="271" t="s">
        <v>74</v>
      </c>
      <c r="E27" s="271"/>
      <c r="F27" s="111"/>
      <c r="G27" s="112">
        <v>20743312</v>
      </c>
      <c r="H27" s="131" t="s">
        <v>255</v>
      </c>
      <c r="I27" s="115">
        <v>40994542</v>
      </c>
      <c r="J27" s="132"/>
    </row>
    <row r="28" spans="1:10" s="4" customFormat="1" ht="21" customHeight="1">
      <c r="A28" s="4">
        <v>19</v>
      </c>
      <c r="B28" s="234" t="s">
        <v>54</v>
      </c>
      <c r="C28" s="235"/>
      <c r="D28" s="271" t="s">
        <v>75</v>
      </c>
      <c r="E28" s="271"/>
      <c r="F28" s="111"/>
      <c r="G28" s="112">
        <v>15636837</v>
      </c>
      <c r="H28" s="117" t="s">
        <v>255</v>
      </c>
      <c r="I28" s="115">
        <v>19288307</v>
      </c>
      <c r="J28" s="118"/>
    </row>
    <row r="29" spans="1:10" s="4" customFormat="1" ht="21" customHeight="1">
      <c r="A29" s="4">
        <v>20</v>
      </c>
      <c r="B29" s="234" t="s">
        <v>55</v>
      </c>
      <c r="C29" s="235"/>
      <c r="D29" s="271" t="s">
        <v>76</v>
      </c>
      <c r="E29" s="271"/>
      <c r="F29" s="111"/>
      <c r="G29" s="112">
        <v>3264137898</v>
      </c>
      <c r="H29" s="117" t="s">
        <v>255</v>
      </c>
      <c r="I29" s="115">
        <v>2730542939</v>
      </c>
      <c r="J29" s="118"/>
    </row>
    <row r="30" spans="1:10" s="4" customFormat="1" ht="21" customHeight="1">
      <c r="A30" s="4">
        <v>22</v>
      </c>
      <c r="B30" s="234" t="s">
        <v>56</v>
      </c>
      <c r="C30" s="235"/>
      <c r="D30" s="271" t="s">
        <v>77</v>
      </c>
      <c r="E30" s="271"/>
      <c r="F30" s="111"/>
      <c r="G30" s="112">
        <v>160673501</v>
      </c>
      <c r="H30" s="133" t="s">
        <v>255</v>
      </c>
      <c r="I30" s="115">
        <v>172659774</v>
      </c>
      <c r="J30" s="134"/>
    </row>
    <row r="31" spans="1:10" s="4" customFormat="1" ht="21" customHeight="1">
      <c r="A31" s="4">
        <v>23</v>
      </c>
      <c r="B31" s="234" t="s">
        <v>57</v>
      </c>
      <c r="C31" s="235"/>
      <c r="D31" s="271" t="s">
        <v>78</v>
      </c>
      <c r="E31" s="271"/>
      <c r="F31" s="111"/>
      <c r="G31" s="112">
        <v>3278015486</v>
      </c>
      <c r="H31" s="117" t="s">
        <v>255</v>
      </c>
      <c r="I31" s="115">
        <v>1721040290</v>
      </c>
      <c r="J31" s="118"/>
    </row>
    <row r="32" spans="1:10" s="4" customFormat="1" ht="21" customHeight="1">
      <c r="A32" s="4">
        <v>24</v>
      </c>
      <c r="B32" s="234" t="s">
        <v>58</v>
      </c>
      <c r="C32" s="235"/>
      <c r="D32" s="271" t="s">
        <v>79</v>
      </c>
      <c r="E32" s="271"/>
      <c r="F32" s="111"/>
      <c r="G32" s="112">
        <v>1243145142</v>
      </c>
      <c r="H32" s="117" t="s">
        <v>255</v>
      </c>
      <c r="I32" s="115">
        <v>1495935462</v>
      </c>
      <c r="J32" s="118"/>
    </row>
    <row r="33" spans="1:10" s="4" customFormat="1" ht="21" customHeight="1">
      <c r="A33" s="4">
        <v>25</v>
      </c>
      <c r="B33" s="234" t="s">
        <v>59</v>
      </c>
      <c r="C33" s="235"/>
      <c r="D33" s="271" t="s">
        <v>80</v>
      </c>
      <c r="E33" s="271"/>
      <c r="F33" s="111"/>
      <c r="G33" s="112">
        <v>1188400589</v>
      </c>
      <c r="H33" s="117" t="s">
        <v>255</v>
      </c>
      <c r="I33" s="115">
        <v>1693197302</v>
      </c>
      <c r="J33" s="118"/>
    </row>
    <row r="34" spans="1:10" s="4" customFormat="1" ht="21" customHeight="1">
      <c r="A34" s="4">
        <v>26</v>
      </c>
      <c r="B34" s="234" t="s">
        <v>60</v>
      </c>
      <c r="C34" s="235"/>
      <c r="D34" s="271" t="s">
        <v>81</v>
      </c>
      <c r="E34" s="271"/>
      <c r="F34" s="111"/>
      <c r="G34" s="112">
        <v>649911352</v>
      </c>
      <c r="H34" s="117" t="s">
        <v>255</v>
      </c>
      <c r="I34" s="115">
        <v>575384534</v>
      </c>
      <c r="J34" s="118"/>
    </row>
    <row r="35" spans="1:10" s="4" customFormat="1" ht="21" customHeight="1">
      <c r="A35" s="4">
        <v>27</v>
      </c>
      <c r="B35" s="234" t="s">
        <v>61</v>
      </c>
      <c r="C35" s="235"/>
      <c r="D35" s="271" t="s">
        <v>82</v>
      </c>
      <c r="E35" s="271"/>
      <c r="F35" s="111"/>
      <c r="G35" s="112">
        <v>90989530</v>
      </c>
      <c r="H35" s="117" t="s">
        <v>255</v>
      </c>
      <c r="I35" s="115">
        <v>82794674</v>
      </c>
      <c r="J35" s="118"/>
    </row>
    <row r="36" spans="1:10" s="4" customFormat="1" ht="21" customHeight="1">
      <c r="A36" s="4">
        <v>28</v>
      </c>
      <c r="B36" s="234" t="s">
        <v>62</v>
      </c>
      <c r="C36" s="235"/>
      <c r="D36" s="271" t="s">
        <v>83</v>
      </c>
      <c r="E36" s="271"/>
      <c r="F36" s="111"/>
      <c r="G36" s="112">
        <v>23564130</v>
      </c>
      <c r="H36" s="117" t="s">
        <v>255</v>
      </c>
      <c r="I36" s="115">
        <v>6576600</v>
      </c>
      <c r="J36" s="118"/>
    </row>
    <row r="37" spans="1:10" s="4" customFormat="1" ht="21" customHeight="1">
      <c r="A37" s="4">
        <v>29</v>
      </c>
      <c r="B37" s="234" t="s">
        <v>63</v>
      </c>
      <c r="C37" s="235"/>
      <c r="D37" s="271" t="s">
        <v>252</v>
      </c>
      <c r="E37" s="271"/>
      <c r="F37" s="111"/>
      <c r="G37" s="112">
        <v>45959265</v>
      </c>
      <c r="H37" s="117" t="s">
        <v>255</v>
      </c>
      <c r="I37" s="115">
        <v>472014000</v>
      </c>
      <c r="J37" s="118"/>
    </row>
    <row r="38" spans="1:10" s="4" customFormat="1" ht="21" customHeight="1">
      <c r="A38" s="4">
        <v>31</v>
      </c>
      <c r="B38" s="234" t="s">
        <v>64</v>
      </c>
      <c r="C38" s="235"/>
      <c r="D38" s="271" t="s">
        <v>84</v>
      </c>
      <c r="E38" s="271"/>
      <c r="F38" s="111"/>
      <c r="G38" s="112">
        <v>1172628186</v>
      </c>
      <c r="H38" s="117" t="s">
        <v>255</v>
      </c>
      <c r="I38" s="115">
        <v>913640363</v>
      </c>
      <c r="J38" s="118"/>
    </row>
    <row r="39" spans="1:10" s="3" customFormat="1" ht="21.95" customHeight="1">
      <c r="B39" s="140" t="s">
        <v>85</v>
      </c>
      <c r="C39" s="245" t="s">
        <v>225</v>
      </c>
      <c r="D39" s="245"/>
      <c r="E39" s="245"/>
      <c r="F39" s="141"/>
      <c r="G39" s="142"/>
      <c r="H39" s="143">
        <f>H12-H13</f>
        <v>-194773272314</v>
      </c>
      <c r="I39" s="145"/>
      <c r="J39" s="143">
        <f>J12-J13</f>
        <v>-146307267628</v>
      </c>
    </row>
    <row r="40" spans="1:10" s="3" customFormat="1" ht="21.95" customHeight="1">
      <c r="B40" s="140" t="s">
        <v>86</v>
      </c>
      <c r="C40" s="245" t="s">
        <v>87</v>
      </c>
      <c r="D40" s="245"/>
      <c r="E40" s="245"/>
      <c r="F40" s="141"/>
      <c r="G40" s="142"/>
      <c r="H40" s="145">
        <f>SUM(G41:G50)</f>
        <v>25308170574</v>
      </c>
      <c r="I40" s="145"/>
      <c r="J40" s="145">
        <f>SUM(I41:I50)</f>
        <v>58705472975</v>
      </c>
    </row>
    <row r="41" spans="1:10" s="4" customFormat="1" ht="21" customHeight="1">
      <c r="A41" s="4">
        <v>33</v>
      </c>
      <c r="B41" s="261" t="s">
        <v>71</v>
      </c>
      <c r="C41" s="262"/>
      <c r="D41" s="260" t="s">
        <v>88</v>
      </c>
      <c r="E41" s="260"/>
      <c r="F41" s="111"/>
      <c r="G41" s="112">
        <v>12265151558</v>
      </c>
      <c r="H41" s="117" t="s">
        <v>255</v>
      </c>
      <c r="I41" s="115">
        <v>35363931753</v>
      </c>
      <c r="J41" s="118"/>
    </row>
    <row r="42" spans="1:10" s="4" customFormat="1" ht="21" customHeight="1">
      <c r="A42" s="4">
        <v>34</v>
      </c>
      <c r="B42" s="261" t="s">
        <v>161</v>
      </c>
      <c r="C42" s="262"/>
      <c r="D42" s="260" t="s">
        <v>141</v>
      </c>
      <c r="E42" s="260"/>
      <c r="F42" s="111"/>
      <c r="G42" s="112">
        <v>11298281</v>
      </c>
      <c r="H42" s="117" t="s">
        <v>255</v>
      </c>
      <c r="I42" s="115" t="s">
        <v>330</v>
      </c>
      <c r="J42" s="118"/>
    </row>
    <row r="43" spans="1:10" s="4" customFormat="1" ht="21" customHeight="1">
      <c r="A43" s="4">
        <v>35</v>
      </c>
      <c r="B43" s="261" t="s">
        <v>162</v>
      </c>
      <c r="C43" s="262"/>
      <c r="D43" s="260" t="s">
        <v>142</v>
      </c>
      <c r="E43" s="260"/>
      <c r="F43" s="111"/>
      <c r="G43" s="115">
        <v>184314655</v>
      </c>
      <c r="H43" s="117" t="s">
        <v>255</v>
      </c>
      <c r="I43" s="115">
        <v>359431872</v>
      </c>
      <c r="J43" s="118"/>
    </row>
    <row r="44" spans="1:10" s="4" customFormat="1" ht="21" customHeight="1">
      <c r="A44" s="4">
        <v>36</v>
      </c>
      <c r="B44" s="261" t="s">
        <v>35</v>
      </c>
      <c r="C44" s="262"/>
      <c r="D44" s="260" t="s">
        <v>143</v>
      </c>
      <c r="E44" s="260"/>
      <c r="F44" s="111"/>
      <c r="G44" s="112">
        <v>3950205462</v>
      </c>
      <c r="H44" s="117" t="s">
        <v>255</v>
      </c>
      <c r="I44" s="115">
        <v>1002459303</v>
      </c>
      <c r="J44" s="118"/>
    </row>
    <row r="45" spans="1:10" s="4" customFormat="1" ht="21" customHeight="1">
      <c r="A45" s="4">
        <v>37</v>
      </c>
      <c r="B45" s="261" t="s">
        <v>132</v>
      </c>
      <c r="C45" s="262"/>
      <c r="D45" s="260" t="s">
        <v>144</v>
      </c>
      <c r="E45" s="260"/>
      <c r="F45" s="111"/>
      <c r="G45" s="112">
        <v>1867877493</v>
      </c>
      <c r="H45" s="117" t="s">
        <v>255</v>
      </c>
      <c r="I45" s="115">
        <v>4343549217</v>
      </c>
      <c r="J45" s="118"/>
    </row>
    <row r="46" spans="1:10" s="4" customFormat="1" ht="21" customHeight="1">
      <c r="B46" s="261" t="s">
        <v>45</v>
      </c>
      <c r="C46" s="262"/>
      <c r="D46" s="260" t="s">
        <v>258</v>
      </c>
      <c r="E46" s="260"/>
      <c r="F46" s="111"/>
      <c r="G46" s="112">
        <v>51524407</v>
      </c>
      <c r="H46" s="117" t="s">
        <v>255</v>
      </c>
      <c r="I46" s="206" t="s">
        <v>330</v>
      </c>
      <c r="J46" s="118"/>
    </row>
    <row r="47" spans="1:10" s="4" customFormat="1" ht="21" customHeight="1">
      <c r="A47" s="4">
        <v>40</v>
      </c>
      <c r="B47" s="261" t="s">
        <v>46</v>
      </c>
      <c r="C47" s="262"/>
      <c r="D47" s="260" t="s">
        <v>89</v>
      </c>
      <c r="E47" s="260"/>
      <c r="F47" s="111"/>
      <c r="G47" s="112">
        <v>3940299</v>
      </c>
      <c r="H47" s="117" t="s">
        <v>255</v>
      </c>
      <c r="I47" s="115">
        <v>2741092964</v>
      </c>
      <c r="J47" s="118"/>
    </row>
    <row r="48" spans="1:10" s="4" customFormat="1" ht="21.75" customHeight="1">
      <c r="A48" s="4">
        <v>41</v>
      </c>
      <c r="B48" s="261" t="s">
        <v>47</v>
      </c>
      <c r="C48" s="262"/>
      <c r="D48" s="260" t="s">
        <v>145</v>
      </c>
      <c r="E48" s="260"/>
      <c r="F48" s="111"/>
      <c r="G48" s="112">
        <v>1449686754</v>
      </c>
      <c r="H48" s="117" t="s">
        <v>255</v>
      </c>
      <c r="I48" s="115">
        <v>1454722114</v>
      </c>
      <c r="J48" s="118"/>
    </row>
    <row r="49" spans="1:10" s="4" customFormat="1" ht="21" customHeight="1">
      <c r="A49" s="4">
        <v>42</v>
      </c>
      <c r="B49" s="261" t="s">
        <v>48</v>
      </c>
      <c r="C49" s="262"/>
      <c r="D49" s="274" t="s">
        <v>247</v>
      </c>
      <c r="E49" s="274"/>
      <c r="F49" s="111"/>
      <c r="G49" s="112" t="s">
        <v>330</v>
      </c>
      <c r="H49" s="117"/>
      <c r="I49" s="206">
        <v>890175984</v>
      </c>
      <c r="J49" s="118"/>
    </row>
    <row r="50" spans="1:10" s="4" customFormat="1" ht="21" customHeight="1">
      <c r="A50" s="4">
        <v>43</v>
      </c>
      <c r="B50" s="261" t="s">
        <v>49</v>
      </c>
      <c r="C50" s="262"/>
      <c r="D50" s="260" t="s">
        <v>182</v>
      </c>
      <c r="E50" s="260"/>
      <c r="F50" s="111"/>
      <c r="G50" s="112">
        <v>5524171665</v>
      </c>
      <c r="H50" s="117" t="s">
        <v>255</v>
      </c>
      <c r="I50" s="206">
        <v>12550109768</v>
      </c>
      <c r="J50" s="118"/>
    </row>
    <row r="51" spans="1:10" s="3" customFormat="1" ht="21.95" customHeight="1">
      <c r="B51" s="140" t="s">
        <v>90</v>
      </c>
      <c r="C51" s="245" t="s">
        <v>91</v>
      </c>
      <c r="D51" s="245"/>
      <c r="E51" s="245"/>
      <c r="F51" s="141"/>
      <c r="G51" s="142"/>
      <c r="H51" s="145">
        <f>SUM(G52:G62)</f>
        <v>67918571837</v>
      </c>
      <c r="I51" s="145"/>
      <c r="J51" s="145">
        <f>SUM(I52:I62)</f>
        <v>56253084724</v>
      </c>
    </row>
    <row r="52" spans="1:10" s="4" customFormat="1" ht="21" customHeight="1">
      <c r="A52" s="4">
        <v>44</v>
      </c>
      <c r="B52" s="261" t="s">
        <v>71</v>
      </c>
      <c r="C52" s="262"/>
      <c r="D52" s="260" t="s">
        <v>183</v>
      </c>
      <c r="E52" s="260"/>
      <c r="F52" s="111"/>
      <c r="G52" s="112">
        <v>49880326038</v>
      </c>
      <c r="H52" s="117" t="s">
        <v>255</v>
      </c>
      <c r="I52" s="115">
        <v>48790515123</v>
      </c>
      <c r="J52" s="118"/>
    </row>
    <row r="53" spans="1:10" s="4" customFormat="1" ht="21" customHeight="1">
      <c r="A53" s="4">
        <v>45</v>
      </c>
      <c r="B53" s="261" t="s">
        <v>33</v>
      </c>
      <c r="C53" s="262"/>
      <c r="D53" s="260" t="s">
        <v>146</v>
      </c>
      <c r="E53" s="260"/>
      <c r="F53" s="111"/>
      <c r="G53" s="206">
        <v>294390077</v>
      </c>
      <c r="H53" s="117"/>
      <c r="I53" s="115" t="s">
        <v>330</v>
      </c>
      <c r="J53" s="118"/>
    </row>
    <row r="54" spans="1:10" s="4" customFormat="1" ht="21" customHeight="1">
      <c r="A54" s="4">
        <v>46</v>
      </c>
      <c r="B54" s="261" t="s">
        <v>133</v>
      </c>
      <c r="C54" s="262"/>
      <c r="D54" s="260" t="s">
        <v>147</v>
      </c>
      <c r="E54" s="260"/>
      <c r="F54" s="111"/>
      <c r="G54" s="206">
        <v>115908298</v>
      </c>
      <c r="H54" s="117"/>
      <c r="I54" s="115" t="s">
        <v>330</v>
      </c>
      <c r="J54" s="118"/>
    </row>
    <row r="55" spans="1:10" s="4" customFormat="1" ht="21" customHeight="1">
      <c r="A55" s="4">
        <v>47</v>
      </c>
      <c r="B55" s="261" t="s">
        <v>43</v>
      </c>
      <c r="C55" s="262"/>
      <c r="D55" s="260" t="s">
        <v>331</v>
      </c>
      <c r="E55" s="260"/>
      <c r="F55" s="111"/>
      <c r="G55" s="112" t="s">
        <v>330</v>
      </c>
      <c r="H55" s="117"/>
      <c r="I55" s="115">
        <v>43373546</v>
      </c>
      <c r="J55" s="118"/>
    </row>
    <row r="56" spans="1:10" s="4" customFormat="1" ht="21" customHeight="1">
      <c r="B56" s="261" t="s">
        <v>44</v>
      </c>
      <c r="C56" s="262"/>
      <c r="D56" s="260" t="s">
        <v>259</v>
      </c>
      <c r="E56" s="260"/>
      <c r="F56" s="111"/>
      <c r="G56" s="112">
        <v>43488250</v>
      </c>
      <c r="H56" s="117" t="s">
        <v>255</v>
      </c>
      <c r="I56" s="206" t="s">
        <v>330</v>
      </c>
      <c r="J56" s="118"/>
    </row>
    <row r="57" spans="1:10" s="4" customFormat="1" ht="21" customHeight="1">
      <c r="A57" s="4">
        <v>48</v>
      </c>
      <c r="B57" s="261" t="s">
        <v>45</v>
      </c>
      <c r="C57" s="262"/>
      <c r="D57" s="260" t="s">
        <v>148</v>
      </c>
      <c r="E57" s="260"/>
      <c r="F57" s="111"/>
      <c r="G57" s="112">
        <v>4943733559</v>
      </c>
      <c r="H57" s="117" t="s">
        <v>255</v>
      </c>
      <c r="I57" s="115">
        <v>1374785864</v>
      </c>
      <c r="J57" s="118"/>
    </row>
    <row r="58" spans="1:10" s="4" customFormat="1" ht="21" customHeight="1">
      <c r="A58" s="4">
        <v>49</v>
      </c>
      <c r="B58" s="261" t="s">
        <v>46</v>
      </c>
      <c r="C58" s="262"/>
      <c r="D58" s="260" t="s">
        <v>149</v>
      </c>
      <c r="E58" s="260"/>
      <c r="F58" s="111"/>
      <c r="G58" s="112">
        <v>11507356292</v>
      </c>
      <c r="H58" s="117" t="s">
        <v>255</v>
      </c>
      <c r="I58" s="115">
        <v>1057052998</v>
      </c>
      <c r="J58" s="118"/>
    </row>
    <row r="59" spans="1:10" s="4" customFormat="1" ht="21" customHeight="1">
      <c r="A59" s="4">
        <v>50</v>
      </c>
      <c r="B59" s="261" t="s">
        <v>47</v>
      </c>
      <c r="C59" s="262"/>
      <c r="D59" s="260" t="s">
        <v>187</v>
      </c>
      <c r="E59" s="260"/>
      <c r="F59" s="111"/>
      <c r="G59" s="112">
        <v>2065856</v>
      </c>
      <c r="H59" s="117" t="s">
        <v>255</v>
      </c>
      <c r="I59" s="115">
        <v>197165</v>
      </c>
      <c r="J59" s="118"/>
    </row>
    <row r="60" spans="1:10" s="4" customFormat="1" ht="21" customHeight="1">
      <c r="B60" s="261" t="s">
        <v>48</v>
      </c>
      <c r="C60" s="262"/>
      <c r="D60" s="260" t="s">
        <v>150</v>
      </c>
      <c r="E60" s="260"/>
      <c r="F60" s="111"/>
      <c r="G60" s="112">
        <v>299322000</v>
      </c>
      <c r="H60" s="117" t="s">
        <v>255</v>
      </c>
      <c r="I60" s="206" t="s">
        <v>330</v>
      </c>
      <c r="J60" s="118"/>
    </row>
    <row r="61" spans="1:10" s="4" customFormat="1" ht="21" customHeight="1">
      <c r="B61" s="261" t="s">
        <v>49</v>
      </c>
      <c r="C61" s="262"/>
      <c r="D61" s="260" t="s">
        <v>332</v>
      </c>
      <c r="E61" s="260"/>
      <c r="F61" s="111"/>
      <c r="G61" s="112" t="s">
        <v>330</v>
      </c>
      <c r="H61" s="117"/>
      <c r="I61" s="206">
        <v>853899176</v>
      </c>
      <c r="J61" s="118"/>
    </row>
    <row r="62" spans="1:10" s="4" customFormat="1" ht="21" customHeight="1">
      <c r="A62" s="4">
        <v>53</v>
      </c>
      <c r="B62" s="261" t="s">
        <v>50</v>
      </c>
      <c r="C62" s="262"/>
      <c r="D62" s="260" t="s">
        <v>151</v>
      </c>
      <c r="E62" s="260"/>
      <c r="F62" s="111"/>
      <c r="G62" s="112">
        <v>831981467</v>
      </c>
      <c r="H62" s="117" t="s">
        <v>255</v>
      </c>
      <c r="I62" s="115">
        <v>4133260852</v>
      </c>
      <c r="J62" s="118"/>
    </row>
    <row r="63" spans="1:10" s="3" customFormat="1" ht="21" customHeight="1">
      <c r="B63" s="140" t="s">
        <v>68</v>
      </c>
      <c r="C63" s="245" t="s">
        <v>224</v>
      </c>
      <c r="D63" s="245"/>
      <c r="E63" s="245"/>
      <c r="F63" s="141"/>
      <c r="G63" s="142"/>
      <c r="H63" s="143">
        <f>SUM(H39+H40-H51)</f>
        <v>-237383673577</v>
      </c>
      <c r="I63" s="144"/>
      <c r="J63" s="143">
        <f>SUM(J39+J40-J51)</f>
        <v>-143854879377</v>
      </c>
    </row>
    <row r="64" spans="1:10" s="3" customFormat="1" ht="21" customHeight="1">
      <c r="B64" s="105" t="s">
        <v>69</v>
      </c>
      <c r="C64" s="236" t="s">
        <v>184</v>
      </c>
      <c r="D64" s="236"/>
      <c r="E64" s="236"/>
      <c r="F64" s="111"/>
      <c r="G64" s="112"/>
      <c r="H64" s="113">
        <v>0</v>
      </c>
      <c r="I64" s="115"/>
      <c r="J64" s="66">
        <v>0</v>
      </c>
    </row>
    <row r="65" spans="2:11" s="3" customFormat="1" ht="21.95" customHeight="1" thickBot="1">
      <c r="B65" s="139" t="s">
        <v>70</v>
      </c>
      <c r="C65" s="244" t="s">
        <v>202</v>
      </c>
      <c r="D65" s="244"/>
      <c r="E65" s="244"/>
      <c r="F65" s="135"/>
      <c r="G65" s="136"/>
      <c r="H65" s="137">
        <f>H63</f>
        <v>-237383673577</v>
      </c>
      <c r="I65" s="138"/>
      <c r="J65" s="137">
        <f>J63</f>
        <v>-143854879377</v>
      </c>
    </row>
    <row r="66" spans="2:11" s="3" customFormat="1" ht="52.5" customHeight="1">
      <c r="B66" s="106"/>
      <c r="C66" s="104"/>
      <c r="D66" s="104"/>
      <c r="E66" s="104"/>
      <c r="F66" s="57"/>
      <c r="G66" s="119"/>
      <c r="H66" s="120"/>
      <c r="I66" s="121"/>
      <c r="J66" s="120"/>
    </row>
    <row r="67" spans="2:11" ht="52.5" customHeight="1">
      <c r="B67" s="122"/>
      <c r="D67" s="122"/>
      <c r="F67" s="122"/>
      <c r="G67" s="110"/>
      <c r="H67" s="123"/>
      <c r="I67" s="123"/>
      <c r="J67" s="123"/>
      <c r="K67" s="20"/>
    </row>
    <row r="68" spans="2:11" ht="21.95" customHeight="1">
      <c r="G68" s="110"/>
      <c r="H68" s="123"/>
      <c r="I68" s="123"/>
      <c r="J68" s="123"/>
      <c r="K68" s="20"/>
    </row>
    <row r="69" spans="2:11" ht="21.95" customHeight="1">
      <c r="H69" s="127"/>
      <c r="J69" s="127"/>
      <c r="K69" s="20"/>
    </row>
  </sheetData>
  <mergeCells count="117">
    <mergeCell ref="B7:C7"/>
    <mergeCell ref="D7:E7"/>
    <mergeCell ref="B8:C8"/>
    <mergeCell ref="B9:C9"/>
    <mergeCell ref="C10:E10"/>
    <mergeCell ref="D9:E9"/>
    <mergeCell ref="B37:C37"/>
    <mergeCell ref="B29:C29"/>
    <mergeCell ref="B30:C30"/>
    <mergeCell ref="B31:C31"/>
    <mergeCell ref="B36:C36"/>
    <mergeCell ref="B27:C27"/>
    <mergeCell ref="B26:C26"/>
    <mergeCell ref="D38:E38"/>
    <mergeCell ref="B32:C32"/>
    <mergeCell ref="B33:C33"/>
    <mergeCell ref="D36:E36"/>
    <mergeCell ref="D37:E37"/>
    <mergeCell ref="D32:E32"/>
    <mergeCell ref="D33:E33"/>
    <mergeCell ref="D35:E35"/>
    <mergeCell ref="D34:E34"/>
    <mergeCell ref="D30:E30"/>
    <mergeCell ref="B35:C35"/>
    <mergeCell ref="D31:E31"/>
    <mergeCell ref="B34:C34"/>
    <mergeCell ref="B15:C15"/>
    <mergeCell ref="B16:C16"/>
    <mergeCell ref="D22:E22"/>
    <mergeCell ref="D24:E24"/>
    <mergeCell ref="D27:E27"/>
    <mergeCell ref="D29:E29"/>
    <mergeCell ref="D26:E26"/>
    <mergeCell ref="D21:E21"/>
    <mergeCell ref="D20:E20"/>
    <mergeCell ref="B18:C18"/>
    <mergeCell ref="B22:C22"/>
    <mergeCell ref="D15:E15"/>
    <mergeCell ref="D17:E17"/>
    <mergeCell ref="D25:E25"/>
    <mergeCell ref="B24:C24"/>
    <mergeCell ref="B19:C19"/>
    <mergeCell ref="B20:C20"/>
    <mergeCell ref="D23:E23"/>
    <mergeCell ref="D45:E45"/>
    <mergeCell ref="B38:C38"/>
    <mergeCell ref="B42:C42"/>
    <mergeCell ref="B44:C44"/>
    <mergeCell ref="B47:C47"/>
    <mergeCell ref="C40:E40"/>
    <mergeCell ref="D44:E44"/>
    <mergeCell ref="D49:E49"/>
    <mergeCell ref="B49:C49"/>
    <mergeCell ref="C39:E39"/>
    <mergeCell ref="D48:E48"/>
    <mergeCell ref="B48:C48"/>
    <mergeCell ref="B45:C45"/>
    <mergeCell ref="D41:E41"/>
    <mergeCell ref="D43:E43"/>
    <mergeCell ref="D42:E42"/>
    <mergeCell ref="B41:C41"/>
    <mergeCell ref="B43:C43"/>
    <mergeCell ref="B46:C46"/>
    <mergeCell ref="D46:E46"/>
    <mergeCell ref="B1:J1"/>
    <mergeCell ref="B2:J2"/>
    <mergeCell ref="B3:J3"/>
    <mergeCell ref="B4:E4"/>
    <mergeCell ref="B28:C28"/>
    <mergeCell ref="B11:C11"/>
    <mergeCell ref="B17:C17"/>
    <mergeCell ref="B14:C14"/>
    <mergeCell ref="B21:C21"/>
    <mergeCell ref="B25:C25"/>
    <mergeCell ref="B23:C23"/>
    <mergeCell ref="I5:J5"/>
    <mergeCell ref="G5:H5"/>
    <mergeCell ref="D18:E18"/>
    <mergeCell ref="D19:E19"/>
    <mergeCell ref="B5:E5"/>
    <mergeCell ref="D16:E16"/>
    <mergeCell ref="D28:E28"/>
    <mergeCell ref="D11:E11"/>
    <mergeCell ref="C12:E12"/>
    <mergeCell ref="C13:E13"/>
    <mergeCell ref="D14:E14"/>
    <mergeCell ref="C6:E6"/>
    <mergeCell ref="D8:E8"/>
    <mergeCell ref="C65:E65"/>
    <mergeCell ref="D53:E53"/>
    <mergeCell ref="B53:C53"/>
    <mergeCell ref="B55:C55"/>
    <mergeCell ref="D55:E55"/>
    <mergeCell ref="B59:C59"/>
    <mergeCell ref="D59:E59"/>
    <mergeCell ref="B58:C58"/>
    <mergeCell ref="D58:E58"/>
    <mergeCell ref="D57:E57"/>
    <mergeCell ref="B57:C57"/>
    <mergeCell ref="D62:E62"/>
    <mergeCell ref="B62:C62"/>
    <mergeCell ref="D54:E54"/>
    <mergeCell ref="B54:C54"/>
    <mergeCell ref="C63:E63"/>
    <mergeCell ref="C64:E64"/>
    <mergeCell ref="B56:C56"/>
    <mergeCell ref="D56:E56"/>
    <mergeCell ref="B61:C61"/>
    <mergeCell ref="D61:E61"/>
    <mergeCell ref="B60:C60"/>
    <mergeCell ref="D60:E60"/>
    <mergeCell ref="D52:E52"/>
    <mergeCell ref="D47:E47"/>
    <mergeCell ref="B52:C52"/>
    <mergeCell ref="C51:E51"/>
    <mergeCell ref="D50:E50"/>
    <mergeCell ref="B50:C50"/>
  </mergeCells>
  <phoneticPr fontId="15" type="noConversion"/>
  <pageMargins left="0.31496062992125984" right="0.27559055118110237" top="0.98425196850393704" bottom="0.39370078740157483" header="0.39370078740157483" footer="0.39370078740157483"/>
  <pageSetup paperSize="9" scale="94" fitToHeight="0" orientation="portrait" r:id="rId1"/>
  <headerFooter alignWithMargins="0"/>
  <rowBreaks count="2" manualBreakCount="2">
    <brk id="31" min="1" max="9" man="1"/>
    <brk id="67" min="1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34"/>
  <sheetViews>
    <sheetView view="pageBreakPreview" topLeftCell="B1" zoomScale="85" zoomScaleNormal="100" zoomScaleSheetLayoutView="85" workbookViewId="0">
      <selection activeCell="B2" sqref="B2:F2"/>
    </sheetView>
  </sheetViews>
  <sheetFormatPr defaultRowHeight="21.95" customHeight="1"/>
  <cols>
    <col min="1" max="1" width="2.44140625" style="7" hidden="1" customWidth="1"/>
    <col min="2" max="2" width="4.33203125" style="171" customWidth="1"/>
    <col min="3" max="3" width="24.77734375" style="171" customWidth="1"/>
    <col min="4" max="4" width="1.6640625" style="171" customWidth="1"/>
    <col min="5" max="6" width="25.77734375" style="172" customWidth="1"/>
    <col min="7" max="16384" width="8.88671875" style="7"/>
  </cols>
  <sheetData>
    <row r="1" spans="1:8" ht="28.5" customHeight="1">
      <c r="B1" s="275" t="s">
        <v>31</v>
      </c>
      <c r="C1" s="275"/>
      <c r="D1" s="275"/>
      <c r="E1" s="275"/>
      <c r="F1" s="275"/>
    </row>
    <row r="2" spans="1:8" ht="18" customHeight="1">
      <c r="B2" s="276" t="str">
        <f>손익계산서!B2</f>
        <v>제29기 2009년 1월1일부터 12월 31일까지</v>
      </c>
      <c r="C2" s="277"/>
      <c r="D2" s="277"/>
      <c r="E2" s="277"/>
      <c r="F2" s="277"/>
    </row>
    <row r="3" spans="1:8" ht="18" customHeight="1">
      <c r="B3" s="276" t="str">
        <f>손익계산서!B3</f>
        <v>제28기 2008년 1월1일부터 12월 31일까지</v>
      </c>
      <c r="C3" s="277"/>
      <c r="D3" s="277"/>
      <c r="E3" s="277"/>
      <c r="F3" s="277"/>
    </row>
    <row r="4" spans="1:8" ht="21.95" customHeight="1" thickBot="1">
      <c r="B4" s="157" t="s">
        <v>154</v>
      </c>
      <c r="C4" s="158"/>
      <c r="D4" s="159"/>
      <c r="E4" s="160"/>
      <c r="F4" s="161" t="s">
        <v>30</v>
      </c>
    </row>
    <row r="5" spans="1:8" s="8" customFormat="1" ht="21" customHeight="1">
      <c r="B5" s="280" t="s">
        <v>42</v>
      </c>
      <c r="C5" s="281"/>
      <c r="D5" s="282"/>
      <c r="E5" s="173" t="str">
        <f>재무상태표!G5</f>
        <v>제29(당)기</v>
      </c>
      <c r="F5" s="173" t="str">
        <f>손익계산서!I5</f>
        <v>제28(전)기</v>
      </c>
    </row>
    <row r="6" spans="1:8" s="9" customFormat="1" ht="20.100000000000001" customHeight="1">
      <c r="A6" s="9">
        <v>1</v>
      </c>
      <c r="B6" s="162" t="s">
        <v>32</v>
      </c>
      <c r="C6" s="163" t="s">
        <v>260</v>
      </c>
      <c r="D6" s="164"/>
      <c r="E6" s="165">
        <v>491751913327</v>
      </c>
      <c r="F6" s="165">
        <v>492486450458</v>
      </c>
      <c r="H6"/>
    </row>
    <row r="7" spans="1:8" s="9" customFormat="1" ht="20.100000000000001" customHeight="1">
      <c r="A7" s="9">
        <v>2</v>
      </c>
      <c r="B7" s="162" t="s">
        <v>33</v>
      </c>
      <c r="C7" s="163" t="s">
        <v>209</v>
      </c>
      <c r="D7" s="164"/>
      <c r="E7" s="165">
        <v>62718803876</v>
      </c>
      <c r="F7" s="165">
        <v>101393672645</v>
      </c>
      <c r="H7"/>
    </row>
    <row r="8" spans="1:8" s="9" customFormat="1" ht="20.100000000000001" customHeight="1">
      <c r="A8" s="9">
        <v>3</v>
      </c>
      <c r="B8" s="162" t="s">
        <v>34</v>
      </c>
      <c r="C8" s="163" t="s">
        <v>261</v>
      </c>
      <c r="D8" s="164"/>
      <c r="E8" s="165">
        <v>66710417315</v>
      </c>
      <c r="F8" s="165">
        <v>64027247996</v>
      </c>
      <c r="H8"/>
    </row>
    <row r="9" spans="1:8" s="9" customFormat="1" ht="20.100000000000001" customHeight="1">
      <c r="A9" s="9">
        <v>4</v>
      </c>
      <c r="B9" s="162" t="s">
        <v>35</v>
      </c>
      <c r="C9" s="166" t="s">
        <v>262</v>
      </c>
      <c r="D9" s="167"/>
      <c r="E9" s="165">
        <v>673296504</v>
      </c>
      <c r="F9" s="165">
        <v>495527981</v>
      </c>
      <c r="H9"/>
    </row>
    <row r="10" spans="1:8" s="9" customFormat="1" ht="20.100000000000001" customHeight="1">
      <c r="A10" s="9">
        <v>5</v>
      </c>
      <c r="B10" s="162" t="s">
        <v>36</v>
      </c>
      <c r="C10" s="166" t="s">
        <v>263</v>
      </c>
      <c r="D10" s="167"/>
      <c r="E10" s="165">
        <v>387329207</v>
      </c>
      <c r="F10" s="165">
        <v>296486619</v>
      </c>
      <c r="H10"/>
    </row>
    <row r="11" spans="1:8" s="9" customFormat="1" ht="20.100000000000001" customHeight="1">
      <c r="A11" s="9">
        <v>6</v>
      </c>
      <c r="B11" s="162" t="s">
        <v>37</v>
      </c>
      <c r="C11" s="166" t="s">
        <v>264</v>
      </c>
      <c r="D11" s="167"/>
      <c r="E11" s="165">
        <v>66574108114</v>
      </c>
      <c r="F11" s="165">
        <v>64204404751</v>
      </c>
      <c r="H11"/>
    </row>
    <row r="12" spans="1:8" s="9" customFormat="1" ht="20.100000000000001" customHeight="1">
      <c r="A12" s="9">
        <v>7</v>
      </c>
      <c r="B12" s="162" t="s">
        <v>46</v>
      </c>
      <c r="C12" s="166" t="s">
        <v>265</v>
      </c>
      <c r="D12" s="167"/>
      <c r="E12" s="165">
        <v>607380142</v>
      </c>
      <c r="F12" s="165">
        <v>597233570</v>
      </c>
      <c r="H12"/>
    </row>
    <row r="13" spans="1:8" s="9" customFormat="1" ht="20.100000000000001" customHeight="1">
      <c r="A13" s="9">
        <v>8</v>
      </c>
      <c r="B13" s="162" t="s">
        <v>47</v>
      </c>
      <c r="C13" s="166" t="s">
        <v>266</v>
      </c>
      <c r="D13" s="167"/>
      <c r="E13" s="165">
        <v>2494595513</v>
      </c>
      <c r="F13" s="165">
        <v>2032985151</v>
      </c>
      <c r="H13"/>
    </row>
    <row r="14" spans="1:8" s="9" customFormat="1" ht="20.100000000000001" customHeight="1">
      <c r="A14" s="9">
        <v>10</v>
      </c>
      <c r="B14" s="184" t="s">
        <v>226</v>
      </c>
      <c r="C14" s="166" t="s">
        <v>257</v>
      </c>
      <c r="D14" s="167"/>
      <c r="E14" s="165">
        <v>1717170013</v>
      </c>
      <c r="F14" s="165">
        <v>2602128128</v>
      </c>
      <c r="H14"/>
    </row>
    <row r="15" spans="1:8" s="9" customFormat="1" ht="20.100000000000001" customHeight="1">
      <c r="A15" s="9">
        <v>11</v>
      </c>
      <c r="B15" s="184" t="s">
        <v>227</v>
      </c>
      <c r="C15" s="228" t="s">
        <v>267</v>
      </c>
      <c r="D15" s="167"/>
      <c r="E15" s="165">
        <v>962667867</v>
      </c>
      <c r="F15" s="165">
        <v>1152700510</v>
      </c>
      <c r="H15"/>
    </row>
    <row r="16" spans="1:8" s="9" customFormat="1" ht="20.100000000000001" customHeight="1">
      <c r="A16" s="9">
        <v>12</v>
      </c>
      <c r="B16" s="184" t="s">
        <v>228</v>
      </c>
      <c r="C16" s="166" t="s">
        <v>268</v>
      </c>
      <c r="D16" s="167"/>
      <c r="E16" s="165">
        <v>300537583</v>
      </c>
      <c r="F16" s="165">
        <v>281496986</v>
      </c>
      <c r="H16"/>
    </row>
    <row r="17" spans="1:8" s="9" customFormat="1" ht="20.100000000000001" customHeight="1">
      <c r="A17" s="9">
        <v>13</v>
      </c>
      <c r="B17" s="184" t="s">
        <v>229</v>
      </c>
      <c r="C17" s="166" t="s">
        <v>210</v>
      </c>
      <c r="D17" s="167"/>
      <c r="E17" s="165">
        <v>169597106806</v>
      </c>
      <c r="F17" s="165">
        <v>147662014697</v>
      </c>
      <c r="H17"/>
    </row>
    <row r="18" spans="1:8" s="9" customFormat="1" ht="20.100000000000001" customHeight="1">
      <c r="A18" s="9">
        <v>14</v>
      </c>
      <c r="B18" s="184" t="s">
        <v>230</v>
      </c>
      <c r="C18" s="166" t="s">
        <v>211</v>
      </c>
      <c r="D18" s="167"/>
      <c r="E18" s="165">
        <v>565686840</v>
      </c>
      <c r="F18" s="165">
        <v>576398339</v>
      </c>
      <c r="H18"/>
    </row>
    <row r="19" spans="1:8" s="9" customFormat="1" ht="20.100000000000001" customHeight="1">
      <c r="A19" s="9">
        <v>15</v>
      </c>
      <c r="B19" s="184" t="s">
        <v>231</v>
      </c>
      <c r="C19" s="166" t="s">
        <v>269</v>
      </c>
      <c r="D19" s="167"/>
      <c r="E19" s="165">
        <v>30150641510</v>
      </c>
      <c r="F19" s="165">
        <v>29676801270</v>
      </c>
      <c r="H19"/>
    </row>
    <row r="20" spans="1:8" s="9" customFormat="1" ht="20.100000000000001" customHeight="1">
      <c r="A20" s="9">
        <v>16</v>
      </c>
      <c r="B20" s="184" t="s">
        <v>232</v>
      </c>
      <c r="C20" s="166" t="s">
        <v>270</v>
      </c>
      <c r="D20" s="167"/>
      <c r="E20" s="165">
        <v>246179326</v>
      </c>
      <c r="F20" s="165">
        <v>790935241</v>
      </c>
      <c r="H20"/>
    </row>
    <row r="21" spans="1:8" s="9" customFormat="1" ht="20.100000000000001" customHeight="1">
      <c r="A21" s="9">
        <v>17</v>
      </c>
      <c r="B21" s="184" t="s">
        <v>233</v>
      </c>
      <c r="C21" s="166" t="s">
        <v>271</v>
      </c>
      <c r="D21" s="167"/>
      <c r="E21" s="165">
        <v>340363885</v>
      </c>
      <c r="F21" s="165">
        <v>330706127</v>
      </c>
      <c r="H21"/>
    </row>
    <row r="22" spans="1:8" s="10" customFormat="1" ht="20.100000000000001" customHeight="1">
      <c r="A22" s="9">
        <v>18</v>
      </c>
      <c r="B22" s="184" t="s">
        <v>234</v>
      </c>
      <c r="C22" s="166" t="s">
        <v>272</v>
      </c>
      <c r="D22" s="167"/>
      <c r="E22" s="165">
        <v>102836667875</v>
      </c>
      <c r="F22" s="168">
        <v>81420699244</v>
      </c>
      <c r="H22"/>
    </row>
    <row r="23" spans="1:8" s="10" customFormat="1" ht="20.100000000000001" customHeight="1">
      <c r="A23" s="9">
        <v>19</v>
      </c>
      <c r="B23" s="184" t="s">
        <v>235</v>
      </c>
      <c r="C23" s="166" t="s">
        <v>273</v>
      </c>
      <c r="D23" s="167"/>
      <c r="E23" s="165">
        <v>29589753</v>
      </c>
      <c r="F23" s="168">
        <v>49968600</v>
      </c>
      <c r="H23"/>
    </row>
    <row r="24" spans="1:8" s="10" customFormat="1" ht="20.100000000000001" customHeight="1">
      <c r="A24" s="9"/>
      <c r="B24" s="184" t="s">
        <v>236</v>
      </c>
      <c r="C24" s="228" t="s">
        <v>305</v>
      </c>
      <c r="D24" s="167"/>
      <c r="E24" s="165">
        <v>50000</v>
      </c>
      <c r="F24" s="168">
        <v>643000</v>
      </c>
      <c r="H24" s="205"/>
    </row>
    <row r="25" spans="1:8" s="10" customFormat="1" ht="20.100000000000001" customHeight="1">
      <c r="A25" s="9">
        <v>20</v>
      </c>
      <c r="B25" s="184" t="s">
        <v>237</v>
      </c>
      <c r="C25" s="166" t="s">
        <v>274</v>
      </c>
      <c r="D25" s="167"/>
      <c r="E25" s="165">
        <v>160188603</v>
      </c>
      <c r="F25" s="165">
        <v>251769980</v>
      </c>
      <c r="H25"/>
    </row>
    <row r="26" spans="1:8" s="10" customFormat="1" ht="20.100000000000001" customHeight="1">
      <c r="A26" s="9">
        <v>21</v>
      </c>
      <c r="B26" s="184" t="s">
        <v>238</v>
      </c>
      <c r="C26" s="166" t="s">
        <v>275</v>
      </c>
      <c r="D26" s="167"/>
      <c r="E26" s="165">
        <v>3750278672</v>
      </c>
      <c r="F26" s="165">
        <v>6160980620</v>
      </c>
      <c r="H26"/>
    </row>
    <row r="27" spans="1:8" s="10" customFormat="1" ht="20.100000000000001" customHeight="1">
      <c r="A27" s="9">
        <v>22</v>
      </c>
      <c r="B27" s="184" t="s">
        <v>239</v>
      </c>
      <c r="C27" s="166" t="s">
        <v>276</v>
      </c>
      <c r="D27" s="167"/>
      <c r="E27" s="165">
        <v>418611154</v>
      </c>
      <c r="F27" s="165">
        <v>314056410</v>
      </c>
      <c r="H27"/>
    </row>
    <row r="28" spans="1:8" s="10" customFormat="1" ht="20.100000000000001" customHeight="1">
      <c r="A28" s="9">
        <v>24</v>
      </c>
      <c r="B28" s="184" t="s">
        <v>240</v>
      </c>
      <c r="C28" s="166" t="s">
        <v>277</v>
      </c>
      <c r="D28" s="167"/>
      <c r="E28" s="165">
        <v>19303118</v>
      </c>
      <c r="F28" s="165">
        <v>15006500</v>
      </c>
      <c r="H28"/>
    </row>
    <row r="29" spans="1:8" s="10" customFormat="1" ht="20.100000000000001" customHeight="1">
      <c r="A29" s="9">
        <v>25</v>
      </c>
      <c r="B29" s="184" t="s">
        <v>241</v>
      </c>
      <c r="C29" s="166" t="s">
        <v>278</v>
      </c>
      <c r="D29" s="167"/>
      <c r="E29" s="165">
        <v>46589058</v>
      </c>
      <c r="F29" s="165">
        <v>74132350</v>
      </c>
      <c r="H29"/>
    </row>
    <row r="30" spans="1:8" s="10" customFormat="1" ht="20.100000000000001" customHeight="1">
      <c r="A30" s="9">
        <v>26</v>
      </c>
      <c r="B30" s="184" t="s">
        <v>242</v>
      </c>
      <c r="C30" s="166" t="s">
        <v>279</v>
      </c>
      <c r="D30" s="167"/>
      <c r="E30" s="165">
        <v>4189817600</v>
      </c>
      <c r="F30" s="165">
        <v>3328821290</v>
      </c>
      <c r="H30"/>
    </row>
    <row r="31" spans="1:8" s="10" customFormat="1" ht="20.100000000000001" customHeight="1">
      <c r="A31" s="9">
        <v>27</v>
      </c>
      <c r="B31" s="184" t="s">
        <v>243</v>
      </c>
      <c r="C31" s="166" t="s">
        <v>280</v>
      </c>
      <c r="D31" s="167"/>
      <c r="E31" s="165">
        <v>19261375840</v>
      </c>
      <c r="F31" s="165">
        <v>21587616118</v>
      </c>
      <c r="H31"/>
    </row>
    <row r="32" spans="1:8" s="10" customFormat="1" ht="20.100000000000001" customHeight="1">
      <c r="A32" s="9">
        <v>28</v>
      </c>
      <c r="B32" s="184" t="s">
        <v>244</v>
      </c>
      <c r="C32" s="166" t="s">
        <v>212</v>
      </c>
      <c r="D32" s="167"/>
      <c r="E32" s="165">
        <v>136628168</v>
      </c>
      <c r="F32" s="165">
        <v>324559221</v>
      </c>
      <c r="H32"/>
    </row>
    <row r="33" spans="1:8" s="10" customFormat="1" ht="20.100000000000001" customHeight="1">
      <c r="A33" s="9">
        <v>30</v>
      </c>
      <c r="B33" s="184" t="s">
        <v>245</v>
      </c>
      <c r="C33" s="166" t="s">
        <v>281</v>
      </c>
      <c r="D33" s="167"/>
      <c r="E33" s="165">
        <v>1718361033</v>
      </c>
      <c r="F33" s="165">
        <v>1516067609</v>
      </c>
      <c r="H33"/>
    </row>
    <row r="34" spans="1:8" ht="21.95" customHeight="1">
      <c r="B34" s="278" t="s">
        <v>92</v>
      </c>
      <c r="C34" s="279"/>
      <c r="D34" s="169"/>
      <c r="E34" s="170">
        <f>SUM(E6:E33)</f>
        <v>1028365658702</v>
      </c>
      <c r="F34" s="170">
        <f>SUM(F6:F33)</f>
        <v>1023651511411</v>
      </c>
    </row>
  </sheetData>
  <mergeCells count="5">
    <mergeCell ref="B1:F1"/>
    <mergeCell ref="B2:F2"/>
    <mergeCell ref="B3:F3"/>
    <mergeCell ref="B34:C34"/>
    <mergeCell ref="B5:D5"/>
  </mergeCells>
  <phoneticPr fontId="15" type="noConversion"/>
  <printOptions horizontalCentered="1"/>
  <pageMargins left="0.39370078740157483" right="0.35433070866141736" top="0.82677165354330717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86"/>
  <sheetViews>
    <sheetView view="pageBreakPreview" zoomScale="85" zoomScaleNormal="85" zoomScaleSheetLayoutView="85" workbookViewId="0">
      <selection activeCell="D14" sqref="D14"/>
    </sheetView>
  </sheetViews>
  <sheetFormatPr defaultRowHeight="13.5"/>
  <cols>
    <col min="2" max="2" width="4.21875" customWidth="1"/>
    <col min="3" max="3" width="22.88671875" customWidth="1"/>
    <col min="4" max="5" width="14.5546875" style="75" bestFit="1" customWidth="1"/>
    <col min="6" max="7" width="16.44140625" style="75" bestFit="1" customWidth="1"/>
  </cols>
  <sheetData>
    <row r="1" spans="1:7" ht="33" customHeight="1">
      <c r="A1" s="284" t="s">
        <v>246</v>
      </c>
      <c r="B1" s="284"/>
      <c r="C1" s="284"/>
      <c r="D1" s="284"/>
      <c r="E1" s="284"/>
      <c r="F1" s="284"/>
      <c r="G1" s="284"/>
    </row>
    <row r="2" spans="1:7">
      <c r="A2" s="285" t="s">
        <v>301</v>
      </c>
      <c r="B2" s="285"/>
      <c r="C2" s="285"/>
      <c r="D2" s="285"/>
      <c r="E2" s="285"/>
      <c r="F2" s="285"/>
      <c r="G2" s="285"/>
    </row>
    <row r="3" spans="1:7">
      <c r="A3" s="285" t="s">
        <v>328</v>
      </c>
      <c r="B3" s="285"/>
      <c r="C3" s="285"/>
      <c r="D3" s="285"/>
      <c r="E3" s="285"/>
      <c r="F3" s="285"/>
      <c r="G3" s="285"/>
    </row>
    <row r="4" spans="1:7">
      <c r="A4" s="92" t="s">
        <v>203</v>
      </c>
      <c r="B4" s="92"/>
      <c r="C4" s="90"/>
      <c r="D4" s="91"/>
      <c r="E4" s="91"/>
      <c r="G4" s="103" t="s">
        <v>204</v>
      </c>
    </row>
    <row r="5" spans="1:7" ht="15.75" customHeight="1">
      <c r="A5" s="286" t="s">
        <v>205</v>
      </c>
      <c r="B5" s="287"/>
      <c r="C5" s="287"/>
      <c r="D5" s="288" t="s">
        <v>329</v>
      </c>
      <c r="E5" s="289"/>
      <c r="F5" s="290" t="s">
        <v>326</v>
      </c>
      <c r="G5" s="291"/>
    </row>
    <row r="6" spans="1:7" s="183" customFormat="1">
      <c r="A6" s="185" t="s">
        <v>206</v>
      </c>
      <c r="B6" s="186"/>
      <c r="C6" s="187"/>
      <c r="D6" s="213" t="s">
        <v>255</v>
      </c>
      <c r="E6" s="213">
        <v>-54894062225</v>
      </c>
      <c r="F6" s="213" t="s">
        <v>255</v>
      </c>
      <c r="G6" s="213">
        <v>7478317681</v>
      </c>
    </row>
    <row r="7" spans="1:7">
      <c r="A7" s="93"/>
      <c r="B7" s="283" t="s">
        <v>207</v>
      </c>
      <c r="C7" s="283"/>
      <c r="D7" s="213">
        <v>-237383673577</v>
      </c>
      <c r="E7" s="213" t="s">
        <v>255</v>
      </c>
      <c r="F7" s="213">
        <v>-143854889377</v>
      </c>
      <c r="G7" s="213" t="s">
        <v>255</v>
      </c>
    </row>
    <row r="8" spans="1:7">
      <c r="A8" s="93"/>
      <c r="B8" s="283" t="s">
        <v>208</v>
      </c>
      <c r="C8" s="283"/>
      <c r="D8" s="213">
        <v>261167460652</v>
      </c>
      <c r="E8" s="213" t="s">
        <v>255</v>
      </c>
      <c r="F8" s="213">
        <v>262994688026</v>
      </c>
      <c r="G8" s="213" t="s">
        <v>255</v>
      </c>
    </row>
    <row r="9" spans="1:7">
      <c r="A9" s="93"/>
      <c r="B9" s="94"/>
      <c r="C9" s="197" t="s">
        <v>282</v>
      </c>
      <c r="D9" s="210">
        <v>67543683976</v>
      </c>
      <c r="E9" s="210" t="s">
        <v>255</v>
      </c>
      <c r="F9" s="210">
        <v>104888990355</v>
      </c>
      <c r="G9" s="210" t="s">
        <v>255</v>
      </c>
    </row>
    <row r="10" spans="1:7">
      <c r="A10" s="93"/>
      <c r="B10" s="94"/>
      <c r="C10" s="197" t="s">
        <v>334</v>
      </c>
      <c r="D10" s="210">
        <v>173748560301</v>
      </c>
      <c r="E10" s="210" t="s">
        <v>255</v>
      </c>
      <c r="F10" s="210">
        <v>151718752217</v>
      </c>
      <c r="G10" s="210" t="s">
        <v>255</v>
      </c>
    </row>
    <row r="11" spans="1:7">
      <c r="A11" s="93"/>
      <c r="B11" s="94"/>
      <c r="C11" s="197" t="s">
        <v>335</v>
      </c>
      <c r="D11" s="210">
        <v>3122952061</v>
      </c>
      <c r="E11" s="210" t="s">
        <v>255</v>
      </c>
      <c r="F11" s="210">
        <v>2727607297</v>
      </c>
      <c r="G11" s="210" t="s">
        <v>255</v>
      </c>
    </row>
    <row r="12" spans="1:7">
      <c r="A12" s="93"/>
      <c r="B12" s="94"/>
      <c r="C12" s="197" t="s">
        <v>333</v>
      </c>
      <c r="D12" s="210">
        <v>3083892</v>
      </c>
      <c r="E12" s="210" t="s">
        <v>255</v>
      </c>
      <c r="F12" s="210">
        <v>5470187</v>
      </c>
      <c r="G12" s="210" t="s">
        <v>255</v>
      </c>
    </row>
    <row r="13" spans="1:7">
      <c r="A13" s="93"/>
      <c r="B13" s="94"/>
      <c r="C13" s="197" t="s">
        <v>336</v>
      </c>
      <c r="D13" s="210">
        <v>136628168</v>
      </c>
      <c r="E13" s="210" t="s">
        <v>255</v>
      </c>
      <c r="F13" s="210">
        <v>324559221</v>
      </c>
      <c r="G13" s="210" t="s">
        <v>255</v>
      </c>
    </row>
    <row r="14" spans="1:7">
      <c r="A14" s="93"/>
      <c r="B14" s="94"/>
      <c r="C14" s="197" t="s">
        <v>337</v>
      </c>
      <c r="D14" s="210">
        <v>115908298</v>
      </c>
      <c r="E14" s="210" t="s">
        <v>255</v>
      </c>
      <c r="F14" s="293" t="s">
        <v>330</v>
      </c>
      <c r="G14" s="210" t="s">
        <v>255</v>
      </c>
    </row>
    <row r="15" spans="1:7">
      <c r="A15" s="93"/>
      <c r="B15" s="94"/>
      <c r="C15" s="197" t="s">
        <v>338</v>
      </c>
      <c r="D15" s="293" t="s">
        <v>330</v>
      </c>
      <c r="E15" s="210" t="s">
        <v>255</v>
      </c>
      <c r="F15" s="210">
        <v>43373546</v>
      </c>
      <c r="G15" s="210" t="s">
        <v>255</v>
      </c>
    </row>
    <row r="16" spans="1:7">
      <c r="A16" s="93"/>
      <c r="B16" s="94"/>
      <c r="C16" s="197" t="s">
        <v>339</v>
      </c>
      <c r="D16" s="210">
        <v>43488250</v>
      </c>
      <c r="E16" s="210" t="s">
        <v>255</v>
      </c>
      <c r="F16" s="293" t="s">
        <v>330</v>
      </c>
      <c r="G16" s="210" t="s">
        <v>255</v>
      </c>
    </row>
    <row r="17" spans="1:7" s="205" customFormat="1">
      <c r="A17" s="93"/>
      <c r="B17" s="94"/>
      <c r="C17" s="197" t="s">
        <v>340</v>
      </c>
      <c r="D17" s="210">
        <v>4943733559</v>
      </c>
      <c r="E17" s="210" t="s">
        <v>255</v>
      </c>
      <c r="F17" s="210">
        <v>1374785864</v>
      </c>
      <c r="G17" s="210" t="s">
        <v>255</v>
      </c>
    </row>
    <row r="18" spans="1:7" s="205" customFormat="1">
      <c r="A18" s="93"/>
      <c r="B18" s="94"/>
      <c r="C18" s="197" t="s">
        <v>341</v>
      </c>
      <c r="D18" s="210">
        <v>11507356292</v>
      </c>
      <c r="E18" s="210" t="s">
        <v>255</v>
      </c>
      <c r="F18" s="210">
        <v>1057052998</v>
      </c>
      <c r="G18" s="210" t="s">
        <v>255</v>
      </c>
    </row>
    <row r="19" spans="1:7">
      <c r="A19" s="93"/>
      <c r="B19" s="94"/>
      <c r="C19" s="197" t="s">
        <v>342</v>
      </c>
      <c r="D19" s="210">
        <v>2065855</v>
      </c>
      <c r="E19" s="210" t="s">
        <v>255</v>
      </c>
      <c r="F19" s="210">
        <v>197165</v>
      </c>
      <c r="G19" s="210" t="s">
        <v>255</v>
      </c>
    </row>
    <row r="20" spans="1:7">
      <c r="A20" s="93"/>
      <c r="B20" s="95"/>
      <c r="C20" s="197" t="s">
        <v>343</v>
      </c>
      <c r="D20" s="293" t="s">
        <v>330</v>
      </c>
      <c r="E20" s="210" t="s">
        <v>255</v>
      </c>
      <c r="F20" s="210">
        <v>853899176</v>
      </c>
      <c r="G20" s="210" t="s">
        <v>255</v>
      </c>
    </row>
    <row r="21" spans="1:7">
      <c r="A21" s="93"/>
      <c r="B21" s="283" t="s">
        <v>213</v>
      </c>
      <c r="C21" s="283"/>
      <c r="D21" s="213">
        <v>-5455356922</v>
      </c>
      <c r="E21" s="213" t="s">
        <v>255</v>
      </c>
      <c r="F21" s="213">
        <v>-6088450365</v>
      </c>
      <c r="G21" s="213" t="s">
        <v>255</v>
      </c>
    </row>
    <row r="22" spans="1:7">
      <c r="A22" s="93"/>
      <c r="B22" s="94"/>
      <c r="C22" s="197" t="s">
        <v>283</v>
      </c>
      <c r="D22" s="210">
        <v>51524407</v>
      </c>
      <c r="E22" s="210" t="s">
        <v>255</v>
      </c>
      <c r="F22" s="293" t="s">
        <v>330</v>
      </c>
      <c r="G22" s="210" t="s">
        <v>255</v>
      </c>
    </row>
    <row r="23" spans="1:7">
      <c r="A23" s="93"/>
      <c r="B23" s="94"/>
      <c r="C23" s="197" t="s">
        <v>284</v>
      </c>
      <c r="D23" s="210">
        <v>3940299</v>
      </c>
      <c r="E23" s="210" t="s">
        <v>255</v>
      </c>
      <c r="F23" s="210">
        <v>-2741092964</v>
      </c>
      <c r="G23" s="210" t="s">
        <v>255</v>
      </c>
    </row>
    <row r="24" spans="1:7">
      <c r="A24" s="93"/>
      <c r="B24" s="95"/>
      <c r="C24" s="197" t="s">
        <v>285</v>
      </c>
      <c r="D24" s="210">
        <v>3950205462</v>
      </c>
      <c r="E24" s="210" t="s">
        <v>255</v>
      </c>
      <c r="F24" s="210">
        <v>-1002459303</v>
      </c>
      <c r="G24" s="210" t="s">
        <v>255</v>
      </c>
    </row>
    <row r="25" spans="1:7">
      <c r="A25" s="93"/>
      <c r="B25" s="94"/>
      <c r="C25" s="197" t="s">
        <v>286</v>
      </c>
      <c r="D25" s="210">
        <v>1449686754</v>
      </c>
      <c r="E25" s="210" t="s">
        <v>255</v>
      </c>
      <c r="F25" s="210">
        <v>-1454722114</v>
      </c>
      <c r="G25" s="210" t="s">
        <v>255</v>
      </c>
    </row>
    <row r="26" spans="1:7" s="205" customFormat="1">
      <c r="A26" s="93"/>
      <c r="B26" s="94"/>
      <c r="C26" s="197" t="s">
        <v>344</v>
      </c>
      <c r="D26" s="293" t="s">
        <v>330</v>
      </c>
      <c r="E26" s="210" t="s">
        <v>255</v>
      </c>
      <c r="F26" s="210">
        <v>-890175984</v>
      </c>
      <c r="G26" s="210" t="s">
        <v>255</v>
      </c>
    </row>
    <row r="27" spans="1:7">
      <c r="A27" s="93"/>
      <c r="B27" s="283" t="s">
        <v>214</v>
      </c>
      <c r="C27" s="283"/>
      <c r="D27" s="213">
        <v>-73222492378</v>
      </c>
      <c r="E27" s="213" t="s">
        <v>255</v>
      </c>
      <c r="F27" s="213">
        <v>-105573030603</v>
      </c>
      <c r="G27" s="213" t="s">
        <v>255</v>
      </c>
    </row>
    <row r="28" spans="1:7">
      <c r="A28" s="93"/>
      <c r="B28" s="96"/>
      <c r="C28" s="197" t="s">
        <v>350</v>
      </c>
      <c r="D28" s="210">
        <v>51889663509</v>
      </c>
      <c r="E28" s="210" t="s">
        <v>255</v>
      </c>
      <c r="F28" s="210">
        <v>-10156984326</v>
      </c>
      <c r="G28" s="210" t="s">
        <v>255</v>
      </c>
    </row>
    <row r="29" spans="1:7">
      <c r="A29" s="93"/>
      <c r="B29" s="96"/>
      <c r="C29" s="197" t="s">
        <v>306</v>
      </c>
      <c r="D29" s="210">
        <v>-1192831268</v>
      </c>
      <c r="E29" s="210" t="s">
        <v>255</v>
      </c>
      <c r="F29" s="210">
        <v>-1736398011</v>
      </c>
      <c r="G29" s="210" t="s">
        <v>255</v>
      </c>
    </row>
    <row r="30" spans="1:7">
      <c r="A30" s="93"/>
      <c r="B30" s="96"/>
      <c r="C30" s="197" t="s">
        <v>307</v>
      </c>
      <c r="D30" s="210">
        <v>6979637460</v>
      </c>
      <c r="E30" s="210" t="s">
        <v>255</v>
      </c>
      <c r="F30" s="210">
        <v>3459320835</v>
      </c>
      <c r="G30" s="210" t="s">
        <v>255</v>
      </c>
    </row>
    <row r="31" spans="1:7">
      <c r="A31" s="93"/>
      <c r="B31" s="96"/>
      <c r="C31" s="197" t="s">
        <v>345</v>
      </c>
      <c r="D31" s="210">
        <v>-26920956333</v>
      </c>
      <c r="E31" s="210" t="s">
        <v>255</v>
      </c>
      <c r="F31" s="210">
        <v>-27099145861</v>
      </c>
      <c r="G31" s="210" t="s">
        <v>255</v>
      </c>
    </row>
    <row r="32" spans="1:7">
      <c r="A32" s="93"/>
      <c r="B32" s="96"/>
      <c r="C32" s="197" t="s">
        <v>349</v>
      </c>
      <c r="D32" s="210">
        <v>4271159</v>
      </c>
      <c r="E32" s="210"/>
      <c r="F32" s="210">
        <v>-70926300</v>
      </c>
      <c r="G32" s="210"/>
    </row>
    <row r="33" spans="1:7">
      <c r="A33" s="93"/>
      <c r="B33" s="96"/>
      <c r="C33" s="197" t="s">
        <v>346</v>
      </c>
      <c r="D33" s="210">
        <v>-12810000</v>
      </c>
      <c r="E33" s="210"/>
      <c r="F33" s="210">
        <v>1165500</v>
      </c>
      <c r="G33" s="210"/>
    </row>
    <row r="34" spans="1:7">
      <c r="A34" s="93"/>
      <c r="B34" s="96"/>
      <c r="C34" s="197" t="s">
        <v>347</v>
      </c>
      <c r="D34" s="210">
        <v>2746229920</v>
      </c>
      <c r="E34" s="210" t="s">
        <v>255</v>
      </c>
      <c r="F34" s="210">
        <v>-2197747960</v>
      </c>
      <c r="G34" s="210" t="s">
        <v>255</v>
      </c>
    </row>
    <row r="35" spans="1:7">
      <c r="A35" s="93"/>
      <c r="B35" s="96"/>
      <c r="C35" s="197" t="s">
        <v>287</v>
      </c>
      <c r="D35" s="210">
        <v>-4826815504</v>
      </c>
      <c r="E35" s="210" t="s">
        <v>255</v>
      </c>
      <c r="F35" s="210">
        <v>3757502049</v>
      </c>
      <c r="G35" s="210" t="s">
        <v>255</v>
      </c>
    </row>
    <row r="36" spans="1:7">
      <c r="A36" s="93"/>
      <c r="B36" s="96"/>
      <c r="C36" s="197" t="s">
        <v>351</v>
      </c>
      <c r="D36" s="210">
        <v>9354510334</v>
      </c>
      <c r="E36" s="210" t="s">
        <v>255</v>
      </c>
      <c r="F36" s="210">
        <v>-356721642</v>
      </c>
      <c r="G36" s="210" t="s">
        <v>255</v>
      </c>
    </row>
    <row r="37" spans="1:7">
      <c r="A37" s="93"/>
      <c r="B37" s="96"/>
      <c r="C37" s="197" t="s">
        <v>352</v>
      </c>
      <c r="D37" s="210">
        <v>-6263675647</v>
      </c>
      <c r="E37" s="210" t="s">
        <v>255</v>
      </c>
      <c r="F37" s="210">
        <v>11452778281</v>
      </c>
      <c r="G37" s="210" t="s">
        <v>255</v>
      </c>
    </row>
    <row r="38" spans="1:7">
      <c r="A38" s="93"/>
      <c r="B38" s="96"/>
      <c r="C38" s="197" t="s">
        <v>308</v>
      </c>
      <c r="D38" s="210">
        <v>-811632057</v>
      </c>
      <c r="E38" s="210" t="s">
        <v>255</v>
      </c>
      <c r="F38" s="210">
        <v>-190524079</v>
      </c>
      <c r="G38" s="210" t="s">
        <v>255</v>
      </c>
    </row>
    <row r="39" spans="1:7">
      <c r="A39" s="93"/>
      <c r="B39" s="96"/>
      <c r="C39" s="197" t="s">
        <v>353</v>
      </c>
      <c r="D39" s="210">
        <v>-22847395127</v>
      </c>
      <c r="E39" s="210" t="s">
        <v>255</v>
      </c>
      <c r="F39" s="210">
        <v>11580845263</v>
      </c>
      <c r="G39" s="210" t="s">
        <v>255</v>
      </c>
    </row>
    <row r="40" spans="1:7">
      <c r="A40" s="93"/>
      <c r="B40" s="96"/>
      <c r="C40" s="197" t="s">
        <v>309</v>
      </c>
      <c r="D40" s="210">
        <v>-18206726281</v>
      </c>
      <c r="E40" s="210" t="s">
        <v>255</v>
      </c>
      <c r="F40" s="210">
        <v>-37751774979</v>
      </c>
      <c r="G40" s="210" t="s">
        <v>255</v>
      </c>
    </row>
    <row r="41" spans="1:7">
      <c r="A41" s="93"/>
      <c r="B41" s="196"/>
      <c r="C41" s="197" t="s">
        <v>348</v>
      </c>
      <c r="D41" s="210">
        <v>-1501445725</v>
      </c>
      <c r="E41" s="210" t="s">
        <v>255</v>
      </c>
      <c r="F41" s="210">
        <v>138490509</v>
      </c>
      <c r="G41" s="210" t="s">
        <v>255</v>
      </c>
    </row>
    <row r="42" spans="1:7">
      <c r="A42" s="93"/>
      <c r="B42" s="97"/>
      <c r="C42" s="197" t="s">
        <v>310</v>
      </c>
      <c r="D42" s="210">
        <v>-2683315751</v>
      </c>
      <c r="E42" s="210" t="s">
        <v>255</v>
      </c>
      <c r="F42" s="210">
        <v>-8552779252</v>
      </c>
      <c r="G42" s="210" t="s">
        <v>255</v>
      </c>
    </row>
    <row r="43" spans="1:7">
      <c r="A43" s="93"/>
      <c r="B43" s="96"/>
      <c r="C43" s="197" t="s">
        <v>311</v>
      </c>
      <c r="D43" s="210">
        <v>-1757827739</v>
      </c>
      <c r="E43" s="210" t="s">
        <v>255</v>
      </c>
      <c r="F43" s="210">
        <v>2943732887</v>
      </c>
      <c r="G43" s="210" t="s">
        <v>255</v>
      </c>
    </row>
    <row r="44" spans="1:7">
      <c r="A44" s="98"/>
      <c r="B44" s="96"/>
      <c r="C44" s="197" t="s">
        <v>288</v>
      </c>
      <c r="D44" s="210">
        <v>-49896000</v>
      </c>
      <c r="E44" s="210" t="s">
        <v>255</v>
      </c>
      <c r="F44" s="298">
        <v>-49896000</v>
      </c>
      <c r="G44" s="210" t="s">
        <v>255</v>
      </c>
    </row>
    <row r="45" spans="1:7" s="205" customFormat="1">
      <c r="A45" s="98"/>
      <c r="B45" s="96"/>
      <c r="C45" s="197" t="s">
        <v>289</v>
      </c>
      <c r="D45" s="210">
        <v>-57192182828</v>
      </c>
      <c r="E45" s="210" t="s">
        <v>255</v>
      </c>
      <c r="F45" s="298">
        <v>-50790772117</v>
      </c>
      <c r="G45" s="210" t="s">
        <v>255</v>
      </c>
    </row>
    <row r="46" spans="1:7">
      <c r="A46" s="98"/>
      <c r="B46" s="96"/>
      <c r="C46" s="197" t="s">
        <v>290</v>
      </c>
      <c r="D46" s="210">
        <v>70705500</v>
      </c>
      <c r="E46" s="210"/>
      <c r="F46" s="227">
        <v>46804600</v>
      </c>
      <c r="G46" s="210"/>
    </row>
    <row r="47" spans="1:7" s="183" customFormat="1">
      <c r="A47" s="189" t="s">
        <v>215</v>
      </c>
      <c r="B47" s="187"/>
      <c r="C47" s="187"/>
      <c r="D47" s="214" t="s">
        <v>255</v>
      </c>
      <c r="E47" s="217">
        <v>-328875566936</v>
      </c>
      <c r="F47" s="214" t="s">
        <v>255</v>
      </c>
      <c r="G47" s="217">
        <v>-67093604851</v>
      </c>
    </row>
    <row r="48" spans="1:7">
      <c r="A48" s="93"/>
      <c r="B48" s="200" t="s">
        <v>216</v>
      </c>
      <c r="C48" s="188"/>
      <c r="D48" s="216">
        <v>1158319933692</v>
      </c>
      <c r="E48" s="215" t="s">
        <v>255</v>
      </c>
      <c r="F48" s="216">
        <v>1205595481082</v>
      </c>
      <c r="G48" s="215" t="s">
        <v>255</v>
      </c>
    </row>
    <row r="49" spans="1:7">
      <c r="A49" s="93"/>
      <c r="B49" s="96"/>
      <c r="C49" s="197" t="s">
        <v>291</v>
      </c>
      <c r="D49" s="212">
        <v>1144181139006</v>
      </c>
      <c r="E49" s="211" t="s">
        <v>255</v>
      </c>
      <c r="F49" s="212">
        <v>1198775218875</v>
      </c>
      <c r="G49" s="211" t="s">
        <v>255</v>
      </c>
    </row>
    <row r="50" spans="1:7">
      <c r="A50" s="93"/>
      <c r="B50" s="96"/>
      <c r="C50" s="197" t="s">
        <v>292</v>
      </c>
      <c r="D50" s="212">
        <v>550982870</v>
      </c>
      <c r="E50" s="211" t="s">
        <v>255</v>
      </c>
      <c r="F50" s="294" t="s">
        <v>330</v>
      </c>
      <c r="G50" s="211" t="s">
        <v>255</v>
      </c>
    </row>
    <row r="51" spans="1:7">
      <c r="A51" s="93"/>
      <c r="B51" s="96"/>
      <c r="C51" s="197" t="s">
        <v>293</v>
      </c>
      <c r="D51" s="295" t="s">
        <v>330</v>
      </c>
      <c r="E51" s="211" t="s">
        <v>255</v>
      </c>
      <c r="F51" s="212">
        <v>830000</v>
      </c>
      <c r="G51" s="211" t="s">
        <v>255</v>
      </c>
    </row>
    <row r="52" spans="1:7" s="205" customFormat="1">
      <c r="A52" s="93"/>
      <c r="B52" s="96"/>
      <c r="C52" s="197" t="s">
        <v>357</v>
      </c>
      <c r="D52" s="295" t="s">
        <v>330</v>
      </c>
      <c r="E52" s="211" t="s">
        <v>255</v>
      </c>
      <c r="F52" s="212">
        <v>4171495245</v>
      </c>
      <c r="G52" s="211" t="s">
        <v>255</v>
      </c>
    </row>
    <row r="53" spans="1:7" s="205" customFormat="1">
      <c r="A53" s="93"/>
      <c r="B53" s="96"/>
      <c r="C53" s="197" t="s">
        <v>355</v>
      </c>
      <c r="D53" s="212">
        <v>37431000</v>
      </c>
      <c r="E53" s="211" t="s">
        <v>255</v>
      </c>
      <c r="F53" s="295" t="s">
        <v>330</v>
      </c>
      <c r="G53" s="211" t="s">
        <v>255</v>
      </c>
    </row>
    <row r="54" spans="1:7" s="205" customFormat="1">
      <c r="A54" s="93"/>
      <c r="B54" s="96"/>
      <c r="C54" s="197" t="s">
        <v>356</v>
      </c>
      <c r="D54" s="295" t="s">
        <v>330</v>
      </c>
      <c r="E54" s="211" t="s">
        <v>255</v>
      </c>
      <c r="F54" s="212">
        <v>144368000</v>
      </c>
      <c r="G54" s="211" t="s">
        <v>255</v>
      </c>
    </row>
    <row r="55" spans="1:7">
      <c r="A55" s="93"/>
      <c r="B55" s="96"/>
      <c r="C55" s="197" t="s">
        <v>354</v>
      </c>
      <c r="D55" s="212">
        <v>13520380816</v>
      </c>
      <c r="E55" s="211" t="s">
        <v>255</v>
      </c>
      <c r="F55" s="212">
        <v>2503568962</v>
      </c>
      <c r="G55" s="211" t="s">
        <v>255</v>
      </c>
    </row>
    <row r="56" spans="1:7">
      <c r="A56" s="93"/>
      <c r="B56" s="200" t="s">
        <v>217</v>
      </c>
      <c r="C56" s="201"/>
      <c r="D56" s="216">
        <v>-1487195500628</v>
      </c>
      <c r="E56" s="215" t="s">
        <v>255</v>
      </c>
      <c r="F56" s="216">
        <v>-1272689085933</v>
      </c>
      <c r="G56" s="215" t="s">
        <v>255</v>
      </c>
    </row>
    <row r="57" spans="1:7">
      <c r="A57" s="93"/>
      <c r="B57" s="96"/>
      <c r="C57" s="197" t="s">
        <v>363</v>
      </c>
      <c r="D57" s="212">
        <v>-910254916178</v>
      </c>
      <c r="E57" s="211" t="s">
        <v>255</v>
      </c>
      <c r="F57" s="212">
        <v>-923716257505</v>
      </c>
      <c r="G57" s="211" t="s">
        <v>255</v>
      </c>
    </row>
    <row r="58" spans="1:7" ht="15">
      <c r="A58" s="101"/>
      <c r="B58" s="96"/>
      <c r="C58" s="197" t="s">
        <v>294</v>
      </c>
      <c r="D58" s="212">
        <v>-254184160</v>
      </c>
      <c r="E58" s="211" t="s">
        <v>255</v>
      </c>
      <c r="F58" s="295" t="s">
        <v>330</v>
      </c>
      <c r="G58" s="211" t="s">
        <v>255</v>
      </c>
    </row>
    <row r="59" spans="1:7" ht="15">
      <c r="A59" s="101"/>
      <c r="B59" s="96"/>
      <c r="C59" s="197" t="s">
        <v>295</v>
      </c>
      <c r="D59" s="212">
        <v>-10170679932</v>
      </c>
      <c r="E59" s="211" t="s">
        <v>255</v>
      </c>
      <c r="F59" s="212">
        <v>-10838037690</v>
      </c>
      <c r="G59" s="211" t="s">
        <v>255</v>
      </c>
    </row>
    <row r="60" spans="1:7" ht="15">
      <c r="A60" s="101"/>
      <c r="B60" s="96"/>
      <c r="C60" s="197" t="s">
        <v>312</v>
      </c>
      <c r="D60" s="212">
        <v>-1400000000</v>
      </c>
      <c r="E60" s="211" t="s">
        <v>255</v>
      </c>
      <c r="F60" s="295" t="s">
        <v>330</v>
      </c>
      <c r="G60" s="211" t="s">
        <v>255</v>
      </c>
    </row>
    <row r="61" spans="1:7" ht="15">
      <c r="A61" s="101"/>
      <c r="B61" s="97"/>
      <c r="C61" s="197" t="s">
        <v>358</v>
      </c>
      <c r="D61" s="212">
        <v>-5485687153</v>
      </c>
      <c r="E61" s="211" t="s">
        <v>255</v>
      </c>
      <c r="F61" s="212">
        <v>-3336738483</v>
      </c>
      <c r="G61" s="211" t="s">
        <v>255</v>
      </c>
    </row>
    <row r="62" spans="1:7" ht="15">
      <c r="A62" s="101"/>
      <c r="B62" s="96"/>
      <c r="C62" s="197" t="s">
        <v>359</v>
      </c>
      <c r="D62" s="212">
        <v>-662624489</v>
      </c>
      <c r="E62" s="211" t="s">
        <v>255</v>
      </c>
      <c r="F62" s="212">
        <v>-6341879065</v>
      </c>
      <c r="G62" s="211" t="s">
        <v>255</v>
      </c>
    </row>
    <row r="63" spans="1:7" ht="15">
      <c r="A63" s="101"/>
      <c r="B63" s="96"/>
      <c r="C63" s="197" t="s">
        <v>360</v>
      </c>
      <c r="D63" s="212">
        <v>-4522142445</v>
      </c>
      <c r="E63" s="211" t="s">
        <v>255</v>
      </c>
      <c r="F63" s="212">
        <v>-41647605164</v>
      </c>
      <c r="G63" s="211" t="s">
        <v>255</v>
      </c>
    </row>
    <row r="64" spans="1:7" ht="15">
      <c r="A64" s="101"/>
      <c r="B64" s="96"/>
      <c r="C64" s="197" t="s">
        <v>361</v>
      </c>
      <c r="D64" s="212">
        <v>-40825984511</v>
      </c>
      <c r="E64" s="211" t="s">
        <v>255</v>
      </c>
      <c r="F64" s="212">
        <v>-61607981632</v>
      </c>
      <c r="G64" s="211" t="s">
        <v>255</v>
      </c>
    </row>
    <row r="65" spans="1:7" ht="15">
      <c r="A65" s="101"/>
      <c r="B65" s="96"/>
      <c r="C65" s="197" t="s">
        <v>362</v>
      </c>
      <c r="D65" s="212">
        <v>-12614767527</v>
      </c>
      <c r="E65" s="211" t="s">
        <v>255</v>
      </c>
      <c r="F65" s="212">
        <v>-158747351790</v>
      </c>
      <c r="G65" s="211" t="s">
        <v>255</v>
      </c>
    </row>
    <row r="66" spans="1:7" ht="15">
      <c r="A66" s="101"/>
      <c r="B66" s="96"/>
      <c r="C66" s="197" t="s">
        <v>365</v>
      </c>
      <c r="D66" s="212">
        <v>-143631298</v>
      </c>
      <c r="E66" s="211" t="s">
        <v>255</v>
      </c>
      <c r="F66" s="212">
        <v>-304179279</v>
      </c>
      <c r="G66" s="211" t="s">
        <v>255</v>
      </c>
    </row>
    <row r="67" spans="1:7" ht="15">
      <c r="A67" s="101"/>
      <c r="B67" s="96"/>
      <c r="C67" s="197" t="s">
        <v>364</v>
      </c>
      <c r="D67" s="212">
        <v>-7139461679</v>
      </c>
      <c r="E67" s="211" t="s">
        <v>255</v>
      </c>
      <c r="F67" s="212">
        <v>-9507831090</v>
      </c>
      <c r="G67" s="211" t="s">
        <v>255</v>
      </c>
    </row>
    <row r="68" spans="1:7" s="205" customFormat="1" ht="15">
      <c r="A68" s="101"/>
      <c r="B68" s="96"/>
      <c r="C68" s="197" t="s">
        <v>366</v>
      </c>
      <c r="D68" s="295" t="s">
        <v>330</v>
      </c>
      <c r="E68" s="211" t="s">
        <v>255</v>
      </c>
      <c r="F68" s="212">
        <v>-25400000</v>
      </c>
      <c r="G68" s="211" t="s">
        <v>255</v>
      </c>
    </row>
    <row r="69" spans="1:7" s="205" customFormat="1" ht="15">
      <c r="A69" s="101"/>
      <c r="B69" s="96"/>
      <c r="C69" s="197" t="s">
        <v>313</v>
      </c>
      <c r="D69" s="212">
        <v>-492497354974</v>
      </c>
      <c r="E69" s="211" t="s">
        <v>255</v>
      </c>
      <c r="F69" s="212">
        <v>-52375791940</v>
      </c>
      <c r="G69" s="211" t="s">
        <v>255</v>
      </c>
    </row>
    <row r="70" spans="1:7" s="205" customFormat="1" ht="15">
      <c r="A70" s="101"/>
      <c r="B70" s="96"/>
      <c r="C70" s="197" t="s">
        <v>314</v>
      </c>
      <c r="D70" s="295" t="s">
        <v>330</v>
      </c>
      <c r="E70" s="211" t="s">
        <v>255</v>
      </c>
      <c r="F70" s="212">
        <v>-31079891</v>
      </c>
      <c r="G70" s="211" t="s">
        <v>255</v>
      </c>
    </row>
    <row r="71" spans="1:7" ht="15">
      <c r="A71" s="101"/>
      <c r="B71" s="96"/>
      <c r="C71" s="197" t="s">
        <v>315</v>
      </c>
      <c r="D71" s="212">
        <v>-491728179</v>
      </c>
      <c r="E71" s="211" t="s">
        <v>255</v>
      </c>
      <c r="F71" s="232">
        <v>-354928000</v>
      </c>
      <c r="G71" s="211" t="s">
        <v>255</v>
      </c>
    </row>
    <row r="72" spans="1:7" s="205" customFormat="1" ht="15">
      <c r="A72" s="101"/>
      <c r="B72" s="96"/>
      <c r="C72" s="197" t="s">
        <v>316</v>
      </c>
      <c r="D72" s="212">
        <v>-698278103</v>
      </c>
      <c r="E72" s="211" t="s">
        <v>255</v>
      </c>
      <c r="F72" s="232">
        <v>-2689641274</v>
      </c>
      <c r="G72" s="211" t="s">
        <v>255</v>
      </c>
    </row>
    <row r="73" spans="1:7" ht="15">
      <c r="A73" s="101"/>
      <c r="B73" s="96"/>
      <c r="C73" s="197" t="s">
        <v>317</v>
      </c>
      <c r="D73" s="212">
        <v>-34060000</v>
      </c>
      <c r="E73" s="211" t="s">
        <v>255</v>
      </c>
      <c r="F73" s="212">
        <v>-560000000</v>
      </c>
      <c r="G73" s="211" t="s">
        <v>255</v>
      </c>
    </row>
    <row r="74" spans="1:7" s="68" customFormat="1" ht="15">
      <c r="A74" s="102"/>
      <c r="B74" s="99"/>
      <c r="C74" s="202" t="s">
        <v>370</v>
      </c>
      <c r="D74" s="297" t="s">
        <v>330</v>
      </c>
      <c r="E74" s="219" t="s">
        <v>255</v>
      </c>
      <c r="F74" s="218">
        <v>-604383130</v>
      </c>
      <c r="G74" s="219" t="s">
        <v>255</v>
      </c>
    </row>
    <row r="75" spans="1:7" s="183" customFormat="1" ht="15">
      <c r="A75" s="189" t="s">
        <v>218</v>
      </c>
      <c r="B75" s="190"/>
      <c r="C75" s="198"/>
      <c r="D75" s="296" t="s">
        <v>255</v>
      </c>
      <c r="E75" s="217">
        <v>400812220589</v>
      </c>
      <c r="F75" s="214" t="s">
        <v>255</v>
      </c>
      <c r="G75" s="217">
        <v>106232096734</v>
      </c>
    </row>
    <row r="76" spans="1:7" ht="15">
      <c r="A76" s="101"/>
      <c r="B76" s="200" t="s">
        <v>219</v>
      </c>
      <c r="C76" s="199"/>
      <c r="D76" s="216">
        <v>731735089690</v>
      </c>
      <c r="E76" s="215" t="s">
        <v>255</v>
      </c>
      <c r="F76" s="216">
        <v>387658672558</v>
      </c>
      <c r="G76" s="215" t="s">
        <v>255</v>
      </c>
    </row>
    <row r="77" spans="1:7" ht="15">
      <c r="A77" s="101"/>
      <c r="B77" s="196"/>
      <c r="C77" s="197" t="s">
        <v>318</v>
      </c>
      <c r="D77" s="212">
        <v>213800000000</v>
      </c>
      <c r="E77" s="211" t="s">
        <v>255</v>
      </c>
      <c r="F77" s="294" t="s">
        <v>330</v>
      </c>
      <c r="G77" s="211" t="s">
        <v>255</v>
      </c>
    </row>
    <row r="78" spans="1:7" ht="15">
      <c r="A78" s="101"/>
      <c r="B78" s="100"/>
      <c r="C78" s="197" t="s">
        <v>367</v>
      </c>
      <c r="D78" s="295" t="s">
        <v>330</v>
      </c>
      <c r="E78" s="211" t="s">
        <v>255</v>
      </c>
      <c r="F78" s="295">
        <v>5667034340</v>
      </c>
      <c r="G78" s="211" t="s">
        <v>255</v>
      </c>
    </row>
    <row r="79" spans="1:7" ht="15">
      <c r="A79" s="101"/>
      <c r="B79" s="100"/>
      <c r="C79" s="197" t="s">
        <v>319</v>
      </c>
      <c r="D79" s="295">
        <v>517935089690</v>
      </c>
      <c r="E79" s="211" t="s">
        <v>255</v>
      </c>
      <c r="F79" s="212">
        <v>381991638218</v>
      </c>
      <c r="G79" s="211" t="s">
        <v>255</v>
      </c>
    </row>
    <row r="80" spans="1:7" ht="15">
      <c r="A80" s="101"/>
      <c r="B80" s="200" t="s">
        <v>220</v>
      </c>
      <c r="C80" s="199"/>
      <c r="D80" s="216">
        <v>-330922869101</v>
      </c>
      <c r="E80" s="215" t="s">
        <v>255</v>
      </c>
      <c r="F80" s="216">
        <v>-281426575824</v>
      </c>
      <c r="G80" s="215" t="s">
        <v>255</v>
      </c>
    </row>
    <row r="81" spans="1:7" ht="15">
      <c r="A81" s="101"/>
      <c r="B81" s="100"/>
      <c r="C81" s="197" t="s">
        <v>320</v>
      </c>
      <c r="D81" s="212">
        <v>-2504949780</v>
      </c>
      <c r="E81" s="211"/>
      <c r="F81" s="212">
        <v>-2452053298</v>
      </c>
      <c r="G81" s="211"/>
    </row>
    <row r="82" spans="1:7" s="205" customFormat="1" ht="15">
      <c r="A82" s="101"/>
      <c r="B82" s="100"/>
      <c r="C82" s="197" t="s">
        <v>369</v>
      </c>
      <c r="D82" s="212">
        <v>-328145180009</v>
      </c>
      <c r="E82" s="211" t="s">
        <v>255</v>
      </c>
      <c r="F82" s="212">
        <v>-276302195774</v>
      </c>
      <c r="G82" s="211" t="s">
        <v>255</v>
      </c>
    </row>
    <row r="83" spans="1:7" s="205" customFormat="1" ht="15">
      <c r="A83" s="101"/>
      <c r="B83" s="100"/>
      <c r="C83" s="197" t="s">
        <v>368</v>
      </c>
      <c r="D83" s="212">
        <v>-272739312</v>
      </c>
      <c r="E83" s="211" t="s">
        <v>255</v>
      </c>
      <c r="F83" s="212">
        <v>-2672326752</v>
      </c>
      <c r="G83" s="211" t="s">
        <v>255</v>
      </c>
    </row>
    <row r="84" spans="1:7" s="183" customFormat="1" ht="15">
      <c r="A84" s="191"/>
      <c r="B84" s="188"/>
      <c r="C84" s="192" t="s">
        <v>221</v>
      </c>
      <c r="D84" s="212" t="s">
        <v>255</v>
      </c>
      <c r="E84" s="211">
        <v>17042591428</v>
      </c>
      <c r="F84" s="212" t="s">
        <v>255</v>
      </c>
      <c r="G84" s="211">
        <v>46616809564</v>
      </c>
    </row>
    <row r="85" spans="1:7" s="183" customFormat="1" ht="15">
      <c r="A85" s="191"/>
      <c r="B85" s="188"/>
      <c r="C85" s="192" t="s">
        <v>253</v>
      </c>
      <c r="D85" s="212" t="s">
        <v>255</v>
      </c>
      <c r="E85" s="211">
        <v>91120389836</v>
      </c>
      <c r="F85" s="212" t="s">
        <v>255</v>
      </c>
      <c r="G85" s="211">
        <v>44503580272</v>
      </c>
    </row>
    <row r="86" spans="1:7" s="183" customFormat="1" ht="15">
      <c r="A86" s="193"/>
      <c r="B86" s="194"/>
      <c r="C86" s="195" t="s">
        <v>254</v>
      </c>
      <c r="D86" s="218" t="s">
        <v>255</v>
      </c>
      <c r="E86" s="219">
        <v>108162981264</v>
      </c>
      <c r="F86" s="218" t="s">
        <v>255</v>
      </c>
      <c r="G86" s="219">
        <v>91120389836</v>
      </c>
    </row>
  </sheetData>
  <mergeCells count="10">
    <mergeCell ref="B21:C21"/>
    <mergeCell ref="B27:C27"/>
    <mergeCell ref="A1:G1"/>
    <mergeCell ref="A2:G2"/>
    <mergeCell ref="A3:G3"/>
    <mergeCell ref="A5:C5"/>
    <mergeCell ref="D5:E5"/>
    <mergeCell ref="F5:G5"/>
    <mergeCell ref="B7:C7"/>
    <mergeCell ref="B8:C8"/>
  </mergeCells>
  <phoneticPr fontId="15" type="noConversion"/>
  <pageMargins left="0.7" right="0.7" top="0.75" bottom="0.75" header="0.3" footer="0.3"/>
  <pageSetup paperSize="9"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16"/>
  <sheetViews>
    <sheetView view="pageBreakPreview" zoomScale="85" zoomScaleNormal="100" zoomScaleSheetLayoutView="85" workbookViewId="0">
      <selection activeCell="C23" sqref="C23"/>
    </sheetView>
  </sheetViews>
  <sheetFormatPr defaultRowHeight="14.25"/>
  <cols>
    <col min="1" max="1" width="21.33203125" style="11" customWidth="1"/>
    <col min="2" max="2" width="15.6640625" style="11" customWidth="1"/>
    <col min="3" max="3" width="16.88671875" style="11" customWidth="1"/>
    <col min="4" max="4" width="15.5546875" style="11" customWidth="1"/>
  </cols>
  <sheetData>
    <row r="1" spans="1:9" ht="33.75" customHeight="1">
      <c r="A1" s="292" t="s">
        <v>223</v>
      </c>
      <c r="B1" s="292"/>
      <c r="C1" s="292"/>
      <c r="D1" s="292"/>
      <c r="F1" s="12"/>
      <c r="G1" s="12"/>
      <c r="H1" s="12"/>
      <c r="I1" s="12"/>
    </row>
    <row r="2" spans="1:9" s="176" customFormat="1" ht="14.25" customHeight="1">
      <c r="A2" s="242" t="str">
        <f>손익계산서!B2</f>
        <v>제29기 2009년 1월1일부터 12월 31일까지</v>
      </c>
      <c r="B2" s="242"/>
      <c r="C2" s="242"/>
      <c r="D2" s="242"/>
      <c r="F2" s="177"/>
      <c r="G2" s="177"/>
      <c r="H2" s="177"/>
      <c r="I2" s="177"/>
    </row>
    <row r="3" spans="1:9" s="176" customFormat="1" ht="14.25" customHeight="1">
      <c r="A3" s="242" t="str">
        <f>손익계산서!B3</f>
        <v>제28기 2008년 1월1일부터 12월 31일까지</v>
      </c>
      <c r="B3" s="242"/>
      <c r="C3" s="242"/>
      <c r="D3" s="242"/>
      <c r="F3" s="177"/>
      <c r="G3" s="177"/>
      <c r="H3" s="177"/>
      <c r="I3" s="177"/>
    </row>
    <row r="4" spans="1:9" s="176" customFormat="1" ht="12">
      <c r="A4" s="107"/>
      <c r="B4" s="107"/>
      <c r="C4" s="107"/>
      <c r="D4" s="107"/>
    </row>
    <row r="5" spans="1:9" s="176" customFormat="1" ht="12">
      <c r="A5" s="178" t="s">
        <v>164</v>
      </c>
      <c r="B5" s="178"/>
      <c r="C5" s="178"/>
      <c r="D5" s="179" t="s">
        <v>158</v>
      </c>
    </row>
    <row r="6" spans="1:9" ht="21.75" customHeight="1">
      <c r="A6" s="181" t="s">
        <v>222</v>
      </c>
      <c r="B6" s="180" t="s">
        <v>159</v>
      </c>
      <c r="C6" s="180" t="s">
        <v>186</v>
      </c>
      <c r="D6" s="180" t="s">
        <v>160</v>
      </c>
    </row>
    <row r="7" spans="1:9" ht="21.75" customHeight="1">
      <c r="A7" s="207" t="s">
        <v>321</v>
      </c>
      <c r="B7" s="208">
        <v>6332158676711</v>
      </c>
      <c r="C7" s="208">
        <v>5413669196854</v>
      </c>
      <c r="D7" s="208">
        <v>918489479857</v>
      </c>
    </row>
    <row r="8" spans="1:9" ht="21.75" customHeight="1">
      <c r="A8" s="174" t="s">
        <v>297</v>
      </c>
      <c r="B8" s="233" t="s">
        <v>330</v>
      </c>
      <c r="C8" s="208">
        <v>143854889377</v>
      </c>
      <c r="D8" s="208">
        <v>143854889377</v>
      </c>
    </row>
    <row r="9" spans="1:9" ht="21.75" customHeight="1">
      <c r="A9" s="174" t="s">
        <v>322</v>
      </c>
      <c r="B9" s="208">
        <v>381991638218</v>
      </c>
      <c r="C9" s="233" t="s">
        <v>330</v>
      </c>
      <c r="D9" s="208">
        <v>318991638218</v>
      </c>
    </row>
    <row r="10" spans="1:9" ht="21.75" customHeight="1">
      <c r="A10" s="181" t="s">
        <v>323</v>
      </c>
      <c r="B10" s="209">
        <v>6714150314929</v>
      </c>
      <c r="C10" s="209">
        <v>5557524086231</v>
      </c>
      <c r="D10" s="209">
        <v>1156626228698</v>
      </c>
    </row>
    <row r="11" spans="1:9" ht="21.75" customHeight="1">
      <c r="A11" s="207" t="s">
        <v>296</v>
      </c>
      <c r="B11" s="208">
        <v>6714150314929</v>
      </c>
      <c r="C11" s="208">
        <v>5557524086231</v>
      </c>
      <c r="D11" s="208">
        <v>1156626228698</v>
      </c>
    </row>
    <row r="12" spans="1:9" ht="21.75" customHeight="1">
      <c r="A12" s="174" t="s">
        <v>297</v>
      </c>
      <c r="B12" s="233" t="s">
        <v>330</v>
      </c>
      <c r="C12" s="208">
        <v>237383673577</v>
      </c>
      <c r="D12" s="208">
        <v>237383673577</v>
      </c>
    </row>
    <row r="13" spans="1:9" ht="21.75" customHeight="1">
      <c r="A13" s="174" t="s">
        <v>322</v>
      </c>
      <c r="B13" s="175">
        <v>517935089690</v>
      </c>
      <c r="C13" s="233" t="s">
        <v>330</v>
      </c>
      <c r="D13" s="208">
        <v>517935089690</v>
      </c>
    </row>
    <row r="14" spans="1:9" ht="21.75" customHeight="1">
      <c r="A14" s="181" t="s">
        <v>298</v>
      </c>
      <c r="B14" s="209">
        <v>7232085404619</v>
      </c>
      <c r="C14" s="209">
        <v>5794907759808</v>
      </c>
      <c r="D14" s="220">
        <v>1437177644811</v>
      </c>
      <c r="E14" s="221"/>
    </row>
    <row r="16" spans="1:9" s="19" customFormat="1" ht="11.25">
      <c r="A16" s="18"/>
      <c r="B16" s="18"/>
      <c r="C16" s="18"/>
      <c r="D16" s="18"/>
    </row>
  </sheetData>
  <mergeCells count="3">
    <mergeCell ref="A1:D1"/>
    <mergeCell ref="A2:D2"/>
    <mergeCell ref="A3:D3"/>
  </mergeCells>
  <phoneticPr fontId="15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재무상태표</vt:lpstr>
      <vt:lpstr>손익계산서</vt:lpstr>
      <vt:lpstr>운영사업원가명세서</vt:lpstr>
      <vt:lpstr>현금흐름표</vt:lpstr>
      <vt:lpstr>자본변동표</vt:lpstr>
      <vt:lpstr>손익계산서!Print_Area</vt:lpstr>
      <vt:lpstr>운영사업원가명세서!Print_Area</vt:lpstr>
      <vt:lpstr>자본변동표!Print_Area</vt:lpstr>
      <vt:lpstr>재무상태표!Print_Area</vt:lpstr>
      <vt:lpstr>손익계산서!Print_Titles</vt:lpstr>
      <vt:lpstr>운영사업원가명세서!Print_Titles</vt:lpstr>
      <vt:lpstr>재무상태표!Print_Titles</vt:lpstr>
    </vt:vector>
  </TitlesOfParts>
  <Company>지하철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edu01</dc:creator>
  <cp:lastModifiedBy>YANG GIL-BAEK</cp:lastModifiedBy>
  <cp:lastPrinted>2017-06-22T07:55:38Z</cp:lastPrinted>
  <dcterms:created xsi:type="dcterms:W3CDTF">2003-02-10T09:22:46Z</dcterms:created>
  <dcterms:modified xsi:type="dcterms:W3CDTF">2017-07-09T07:41:39Z</dcterms:modified>
</cp:coreProperties>
</file>